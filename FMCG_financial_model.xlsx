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Рабочий стол\[SW.BAND] [Changellenge] Финансовое моделирование (2022)\[SW.BAND] Практика\"/>
    </mc:Choice>
  </mc:AlternateContent>
  <xr:revisionPtr revIDLastSave="0" documentId="13_ncr:1_{C73B6CE4-A2CA-44A6-8D1A-D0850E64BBCA}" xr6:coauthVersionLast="47" xr6:coauthVersionMax="47" xr10:uidLastSave="{00000000-0000-0000-0000-000000000000}"/>
  <bookViews>
    <workbookView xWindow="-103" yWindow="-103" windowWidth="21806" windowHeight="13886" firstSheet="3" activeTab="8" xr2:uid="{00000000-000D-0000-FFFF-FFFF00000000}"/>
  </bookViews>
  <sheets>
    <sheet name="Содержание" sheetId="14" r:id="rId1"/>
    <sheet name="Comments" sheetId="12" state="hidden" r:id="rId2"/>
    <sheet name="Введение" sheetId="3" r:id="rId3"/>
    <sheet name="Assumptions and inputs" sheetId="4" r:id="rId4"/>
    <sheet name="Прогнозы" sheetId="5" r:id="rId5"/>
    <sheet name="Себестоимость" sheetId="6" r:id="rId6"/>
    <sheet name="CF" sheetId="7" r:id="rId7"/>
    <sheet name="P&amp;L" sheetId="8" r:id="rId8"/>
    <sheet name="Показатели" sheetId="9" r:id="rId9"/>
    <sheet name="Данные" sheetId="15" r:id="rId10"/>
  </sheets>
  <definedNames>
    <definedName name="Sal_Adr_col" comment="Tech name for &quot;Comment&quot; sheet of Salutare" localSheetId="1" hidden="1">Comments!$C$3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a4kPRV5EB9ULS+ubEOB9sQpB4Lw=="/>
    </ext>
  </extLst>
</workbook>
</file>

<file path=xl/calcChain.xml><?xml version="1.0" encoding="utf-8"?>
<calcChain xmlns="http://schemas.openxmlformats.org/spreadsheetml/2006/main">
  <c r="I7" i="9" l="1"/>
  <c r="I6" i="9"/>
  <c r="J88" i="15" l="1"/>
  <c r="H100" i="4" s="1"/>
  <c r="I27" i="4"/>
  <c r="K43" i="7" l="1"/>
  <c r="K88" i="7"/>
  <c r="K51" i="8"/>
  <c r="H93" i="4" l="1"/>
  <c r="H94" i="4" s="1"/>
  <c r="H74" i="7"/>
  <c r="H75" i="7"/>
  <c r="D91" i="7"/>
  <c r="D89" i="7"/>
  <c r="D88" i="7"/>
  <c r="D87" i="7"/>
  <c r="D86" i="7"/>
  <c r="D85" i="7"/>
  <c r="D84" i="7"/>
  <c r="D83" i="7"/>
  <c r="D82" i="7"/>
  <c r="D81" i="7"/>
  <c r="E86" i="7"/>
  <c r="E85" i="7"/>
  <c r="E84" i="7"/>
  <c r="E83" i="7"/>
  <c r="E82" i="7"/>
  <c r="K87" i="7"/>
  <c r="H7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E57" i="7"/>
  <c r="E100" i="7" s="1"/>
  <c r="D57" i="7"/>
  <c r="D100" i="7" s="1"/>
  <c r="E56" i="7"/>
  <c r="E99" i="7" s="1"/>
  <c r="D56" i="7"/>
  <c r="D99" i="7" s="1"/>
  <c r="E55" i="7"/>
  <c r="E98" i="7" s="1"/>
  <c r="D55" i="7"/>
  <c r="D98" i="7" s="1"/>
  <c r="D54" i="7"/>
  <c r="D97" i="7" s="1"/>
  <c r="D53" i="7"/>
  <c r="D96" i="7" s="1"/>
  <c r="D52" i="7"/>
  <c r="D95" i="7" s="1"/>
  <c r="D51" i="7"/>
  <c r="D94" i="7" s="1"/>
  <c r="D50" i="7"/>
  <c r="D93" i="7" s="1"/>
  <c r="D49" i="7"/>
  <c r="D92" i="7" s="1"/>
  <c r="E53" i="7"/>
  <c r="E96" i="7" s="1"/>
  <c r="E52" i="7"/>
  <c r="E95" i="7" s="1"/>
  <c r="E51" i="7"/>
  <c r="E94" i="7" s="1"/>
  <c r="E50" i="7"/>
  <c r="E93" i="7" s="1"/>
  <c r="H36" i="7"/>
  <c r="H35" i="7"/>
  <c r="K37" i="7"/>
  <c r="I25" i="7"/>
  <c r="H25" i="7"/>
  <c r="I24" i="7"/>
  <c r="H24" i="7"/>
  <c r="E25" i="7"/>
  <c r="D25" i="7"/>
  <c r="E24" i="7"/>
  <c r="D24" i="7"/>
  <c r="I6" i="7"/>
  <c r="K5" i="7" s="1"/>
  <c r="K6" i="7" s="1"/>
  <c r="K7" i="7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H19" i="5"/>
  <c r="H18" i="5"/>
  <c r="E19" i="5"/>
  <c r="D19" i="5"/>
  <c r="E18" i="5"/>
  <c r="D18" i="5"/>
  <c r="D17" i="5"/>
  <c r="D16" i="5"/>
  <c r="D15" i="5"/>
  <c r="D14" i="5"/>
  <c r="D13" i="5"/>
  <c r="V17" i="5"/>
  <c r="U17" i="5"/>
  <c r="T17" i="5"/>
  <c r="S17" i="5"/>
  <c r="R17" i="5"/>
  <c r="Q17" i="5"/>
  <c r="P17" i="5"/>
  <c r="O17" i="5"/>
  <c r="N17" i="5"/>
  <c r="M17" i="5"/>
  <c r="L17" i="5"/>
  <c r="K17" i="5"/>
  <c r="E15" i="5"/>
  <c r="E14" i="5"/>
  <c r="J15" i="5"/>
  <c r="I15" i="5"/>
  <c r="O14" i="5"/>
  <c r="N14" i="5"/>
  <c r="M14" i="5"/>
  <c r="L14" i="5"/>
  <c r="J14" i="5"/>
  <c r="I14" i="5"/>
  <c r="J13" i="5"/>
  <c r="I7" i="5"/>
  <c r="K7" i="5" s="1"/>
  <c r="I6" i="5"/>
  <c r="K5" i="5" s="1"/>
  <c r="K4" i="5" s="1"/>
  <c r="K7" i="9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K5" i="9"/>
  <c r="K6" i="9" s="1"/>
  <c r="K7" i="8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K7" i="6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K7" i="4"/>
  <c r="K8" i="4" s="1"/>
  <c r="L7" i="4" l="1"/>
  <c r="L8" i="4" s="1"/>
  <c r="M7" i="4" s="1"/>
  <c r="M8" i="4" s="1"/>
  <c r="N7" i="4" s="1"/>
  <c r="N8" i="4" s="1"/>
  <c r="O7" i="4" s="1"/>
  <c r="O8" i="4" s="1"/>
  <c r="P7" i="4" s="1"/>
  <c r="P8" i="4" s="1"/>
  <c r="Q7" i="4" s="1"/>
  <c r="Q8" i="4" s="1"/>
  <c r="R7" i="4" s="1"/>
  <c r="R8" i="4" s="1"/>
  <c r="S7" i="4" s="1"/>
  <c r="S8" i="4" s="1"/>
  <c r="T7" i="4" s="1"/>
  <c r="T8" i="4" s="1"/>
  <c r="U7" i="4" s="1"/>
  <c r="U8" i="4" s="1"/>
  <c r="V7" i="4" s="1"/>
  <c r="V8" i="4" s="1"/>
  <c r="W7" i="4" s="1"/>
  <c r="W8" i="4" s="1"/>
  <c r="X7" i="4" s="1"/>
  <c r="X8" i="4" s="1"/>
  <c r="Y7" i="4" s="1"/>
  <c r="Y8" i="4" s="1"/>
  <c r="Z7" i="4" s="1"/>
  <c r="Z8" i="4" s="1"/>
  <c r="AA7" i="4" s="1"/>
  <c r="AA8" i="4" s="1"/>
  <c r="AB7" i="4" s="1"/>
  <c r="AB8" i="4" s="1"/>
  <c r="AC7" i="4" s="1"/>
  <c r="AC8" i="4" s="1"/>
  <c r="AD7" i="4" s="1"/>
  <c r="AD8" i="4" s="1"/>
  <c r="AE7" i="4" s="1"/>
  <c r="AE8" i="4" s="1"/>
  <c r="AF7" i="4" s="1"/>
  <c r="AF8" i="4" s="1"/>
  <c r="AG7" i="4" s="1"/>
  <c r="AG8" i="4" s="1"/>
  <c r="AH7" i="4" s="1"/>
  <c r="AH8" i="4" s="1"/>
  <c r="AI7" i="4" s="1"/>
  <c r="AI8" i="4" s="1"/>
  <c r="AJ7" i="4" s="1"/>
  <c r="AJ8" i="4" s="1"/>
  <c r="AK7" i="4" s="1"/>
  <c r="AK8" i="4" s="1"/>
  <c r="AL7" i="4" s="1"/>
  <c r="AL8" i="4" s="1"/>
  <c r="AM7" i="4" s="1"/>
  <c r="AM8" i="4" s="1"/>
  <c r="AN7" i="4" s="1"/>
  <c r="AN8" i="4" s="1"/>
  <c r="AO7" i="4" s="1"/>
  <c r="AO8" i="4" s="1"/>
  <c r="AP7" i="4" s="1"/>
  <c r="AP8" i="4" s="1"/>
  <c r="AQ7" i="4" s="1"/>
  <c r="AQ8" i="4" s="1"/>
  <c r="AR7" i="4" s="1"/>
  <c r="AR8" i="4" s="1"/>
  <c r="AS7" i="4" s="1"/>
  <c r="AS8" i="4" s="1"/>
  <c r="AT7" i="4" s="1"/>
  <c r="AT8" i="4" s="1"/>
  <c r="K10" i="4"/>
  <c r="L7" i="5"/>
  <c r="L25" i="5" s="1"/>
  <c r="K25" i="5"/>
  <c r="K24" i="5" s="1"/>
  <c r="K22" i="7" s="1"/>
  <c r="K33" i="5"/>
  <c r="K6" i="5"/>
  <c r="L5" i="5" s="1"/>
  <c r="L4" i="5" s="1"/>
  <c r="K4" i="7"/>
  <c r="K8" i="7"/>
  <c r="L5" i="7"/>
  <c r="K8" i="9"/>
  <c r="L5" i="9"/>
  <c r="L6" i="9" s="1"/>
  <c r="M7" i="5" l="1"/>
  <c r="M25" i="5" s="1"/>
  <c r="K16" i="7"/>
  <c r="L33" i="5"/>
  <c r="L16" i="7" s="1"/>
  <c r="K8" i="5"/>
  <c r="L6" i="5"/>
  <c r="L8" i="5" s="1"/>
  <c r="L6" i="7"/>
  <c r="L4" i="7"/>
  <c r="N7" i="5"/>
  <c r="M5" i="9"/>
  <c r="M6" i="9" s="1"/>
  <c r="L8" i="9"/>
  <c r="E13" i="8"/>
  <c r="E14" i="8"/>
  <c r="E17" i="8"/>
  <c r="E18" i="8"/>
  <c r="E19" i="8"/>
  <c r="D19" i="8"/>
  <c r="D13" i="8"/>
  <c r="D14" i="8"/>
  <c r="D16" i="8"/>
  <c r="D17" i="8"/>
  <c r="D18" i="8"/>
  <c r="D12" i="8"/>
  <c r="P78" i="4"/>
  <c r="P50" i="7" s="1"/>
  <c r="K28" i="4"/>
  <c r="K14" i="5" s="1"/>
  <c r="K15" i="5" s="1"/>
  <c r="L15" i="5" s="1"/>
  <c r="M15" i="5" s="1"/>
  <c r="N15" i="5" s="1"/>
  <c r="O15" i="5" s="1"/>
  <c r="K9" i="4"/>
  <c r="L9" i="4" s="1"/>
  <c r="P81" i="4"/>
  <c r="P53" i="7" s="1"/>
  <c r="P96" i="7" s="1"/>
  <c r="O81" i="4"/>
  <c r="O53" i="7" s="1"/>
  <c r="O96" i="7" s="1"/>
  <c r="O78" i="4"/>
  <c r="O50" i="7" s="1"/>
  <c r="O79" i="4"/>
  <c r="O51" i="7" s="1"/>
  <c r="O94" i="7" s="1"/>
  <c r="O80" i="4"/>
  <c r="O52" i="7" s="1"/>
  <c r="O95" i="7" s="1"/>
  <c r="N81" i="4"/>
  <c r="N53" i="7" s="1"/>
  <c r="N96" i="7" s="1"/>
  <c r="N80" i="4"/>
  <c r="N52" i="7" s="1"/>
  <c r="N95" i="7" s="1"/>
  <c r="N79" i="4"/>
  <c r="N51" i="7" s="1"/>
  <c r="N94" i="7" s="1"/>
  <c r="N78" i="4"/>
  <c r="N50" i="7" s="1"/>
  <c r="M78" i="4"/>
  <c r="M50" i="7" s="1"/>
  <c r="H105" i="4"/>
  <c r="H103" i="4" s="1"/>
  <c r="H99" i="4" s="1"/>
  <c r="H104" i="4" s="1"/>
  <c r="H64" i="7" s="1"/>
  <c r="H65" i="7" s="1"/>
  <c r="N25" i="5" l="1"/>
  <c r="M5" i="5"/>
  <c r="M6" i="5" s="1"/>
  <c r="N93" i="7"/>
  <c r="N49" i="7"/>
  <c r="O93" i="7"/>
  <c r="O49" i="7"/>
  <c r="M93" i="7"/>
  <c r="P93" i="7"/>
  <c r="L8" i="7"/>
  <c r="M5" i="7"/>
  <c r="O7" i="5"/>
  <c r="O25" i="5" s="1"/>
  <c r="N5" i="9"/>
  <c r="N6" i="9" s="1"/>
  <c r="M8" i="9"/>
  <c r="C33" i="12" a="1"/>
  <c r="C33" i="12" s="1"/>
  <c r="C18" i="12" a="1"/>
  <c r="C18" i="12" s="1"/>
  <c r="C14" i="12" a="1"/>
  <c r="C14" i="12" s="1"/>
  <c r="C13" i="12" a="1"/>
  <c r="C13" i="12" s="1"/>
  <c r="C9" i="12" a="1"/>
  <c r="C9" i="12" s="1"/>
  <c r="C7" i="12" a="1"/>
  <c r="C7" i="12" s="1"/>
  <c r="C5" i="12" a="1"/>
  <c r="C5" i="12" s="1"/>
  <c r="C4" i="12" a="1"/>
  <c r="C4" i="12" s="1"/>
  <c r="M4" i="5" l="1"/>
  <c r="O92" i="7"/>
  <c r="N92" i="7"/>
  <c r="H107" i="7"/>
  <c r="H108" i="7" s="1"/>
  <c r="M6" i="7"/>
  <c r="M4" i="7"/>
  <c r="P7" i="5"/>
  <c r="P25" i="5" s="1"/>
  <c r="M8" i="5"/>
  <c r="N5" i="5"/>
  <c r="N8" i="9"/>
  <c r="O5" i="9"/>
  <c r="O6" i="9" s="1"/>
  <c r="D16" i="9"/>
  <c r="D15" i="9"/>
  <c r="D13" i="9"/>
  <c r="D12" i="9"/>
  <c r="K4" i="9"/>
  <c r="H31" i="8"/>
  <c r="D31" i="8"/>
  <c r="H30" i="8"/>
  <c r="D30" i="8"/>
  <c r="H22" i="8"/>
  <c r="E22" i="8"/>
  <c r="D22" i="8"/>
  <c r="H21" i="8"/>
  <c r="E21" i="8"/>
  <c r="D21" i="8"/>
  <c r="I6" i="8"/>
  <c r="K5" i="8" s="1"/>
  <c r="K6" i="8" s="1"/>
  <c r="C32" i="12" a="1"/>
  <c r="C32" i="12" s="1"/>
  <c r="H73" i="6"/>
  <c r="D73" i="6"/>
  <c r="E68" i="6"/>
  <c r="D68" i="6"/>
  <c r="E67" i="6"/>
  <c r="D67" i="6"/>
  <c r="E66" i="6"/>
  <c r="D66" i="6"/>
  <c r="E63" i="6"/>
  <c r="D63" i="6"/>
  <c r="E62" i="6"/>
  <c r="D62" i="6"/>
  <c r="E61" i="6"/>
  <c r="D61" i="6"/>
  <c r="D60" i="6"/>
  <c r="D57" i="6"/>
  <c r="D56" i="6"/>
  <c r="D55" i="6"/>
  <c r="I42" i="6"/>
  <c r="I39" i="6"/>
  <c r="I38" i="6"/>
  <c r="I35" i="6"/>
  <c r="I63" i="6" s="1"/>
  <c r="K63" i="6" s="1"/>
  <c r="L63" i="6" s="1"/>
  <c r="M63" i="6" s="1"/>
  <c r="I34" i="6"/>
  <c r="I62" i="6" s="1"/>
  <c r="K62" i="6" s="1"/>
  <c r="L62" i="6" s="1"/>
  <c r="M62" i="6" s="1"/>
  <c r="D33" i="6"/>
  <c r="D32" i="6"/>
  <c r="D31" i="6"/>
  <c r="D30" i="6"/>
  <c r="D29" i="6"/>
  <c r="I25" i="6"/>
  <c r="I24" i="6"/>
  <c r="I23" i="6"/>
  <c r="I22" i="6"/>
  <c r="I21" i="6"/>
  <c r="I20" i="6"/>
  <c r="I17" i="6"/>
  <c r="I16" i="6"/>
  <c r="I15" i="6"/>
  <c r="I14" i="6"/>
  <c r="I13" i="6"/>
  <c r="AU7" i="6"/>
  <c r="I6" i="6"/>
  <c r="K5" i="6" s="1"/>
  <c r="K6" i="6" s="1"/>
  <c r="AT85" i="4"/>
  <c r="AT57" i="7" s="1"/>
  <c r="AT100" i="7" s="1"/>
  <c r="AS85" i="4"/>
  <c r="AS57" i="7" s="1"/>
  <c r="AS100" i="7" s="1"/>
  <c r="AR85" i="4"/>
  <c r="AR57" i="7" s="1"/>
  <c r="AR100" i="7" s="1"/>
  <c r="AQ85" i="4"/>
  <c r="AQ57" i="7" s="1"/>
  <c r="AQ100" i="7" s="1"/>
  <c r="AP85" i="4"/>
  <c r="AP57" i="7" s="1"/>
  <c r="AP100" i="7" s="1"/>
  <c r="AO85" i="4"/>
  <c r="AO57" i="7" s="1"/>
  <c r="AO100" i="7" s="1"/>
  <c r="AN85" i="4"/>
  <c r="AN57" i="7" s="1"/>
  <c r="AN100" i="7" s="1"/>
  <c r="AM85" i="4"/>
  <c r="AM57" i="7" s="1"/>
  <c r="AM100" i="7" s="1"/>
  <c r="AL85" i="4"/>
  <c r="AL57" i="7" s="1"/>
  <c r="AL100" i="7" s="1"/>
  <c r="AK85" i="4"/>
  <c r="AK57" i="7" s="1"/>
  <c r="AK100" i="7" s="1"/>
  <c r="AJ85" i="4"/>
  <c r="AJ57" i="7" s="1"/>
  <c r="AJ100" i="7" s="1"/>
  <c r="AI85" i="4"/>
  <c r="AI57" i="7" s="1"/>
  <c r="AI100" i="7" s="1"/>
  <c r="AH85" i="4"/>
  <c r="AH57" i="7" s="1"/>
  <c r="AH100" i="7" s="1"/>
  <c r="AG85" i="4"/>
  <c r="AG57" i="7" s="1"/>
  <c r="AG100" i="7" s="1"/>
  <c r="AF85" i="4"/>
  <c r="AF57" i="7" s="1"/>
  <c r="AF100" i="7" s="1"/>
  <c r="AE85" i="4"/>
  <c r="AE57" i="7" s="1"/>
  <c r="AE100" i="7" s="1"/>
  <c r="AD85" i="4"/>
  <c r="AD57" i="7" s="1"/>
  <c r="AD100" i="7" s="1"/>
  <c r="AC85" i="4"/>
  <c r="AC57" i="7" s="1"/>
  <c r="AC100" i="7" s="1"/>
  <c r="AB85" i="4"/>
  <c r="AB57" i="7" s="1"/>
  <c r="AB100" i="7" s="1"/>
  <c r="AA85" i="4"/>
  <c r="AA57" i="7" s="1"/>
  <c r="AA100" i="7" s="1"/>
  <c r="Z85" i="4"/>
  <c r="Z57" i="7" s="1"/>
  <c r="Z100" i="7" s="1"/>
  <c r="Y85" i="4"/>
  <c r="Y57" i="7" s="1"/>
  <c r="Y100" i="7" s="1"/>
  <c r="X85" i="4"/>
  <c r="X57" i="7" s="1"/>
  <c r="X100" i="7" s="1"/>
  <c r="W85" i="4"/>
  <c r="W57" i="7" s="1"/>
  <c r="W100" i="7" s="1"/>
  <c r="V85" i="4"/>
  <c r="V57" i="7" s="1"/>
  <c r="V100" i="7" s="1"/>
  <c r="U85" i="4"/>
  <c r="U57" i="7" s="1"/>
  <c r="U100" i="7" s="1"/>
  <c r="T85" i="4"/>
  <c r="T57" i="7" s="1"/>
  <c r="T100" i="7" s="1"/>
  <c r="S85" i="4"/>
  <c r="S57" i="7" s="1"/>
  <c r="S100" i="7" s="1"/>
  <c r="R85" i="4"/>
  <c r="R57" i="7" s="1"/>
  <c r="R100" i="7" s="1"/>
  <c r="Q85" i="4"/>
  <c r="Q57" i="7" s="1"/>
  <c r="Q100" i="7" s="1"/>
  <c r="P85" i="4"/>
  <c r="P57" i="7" s="1"/>
  <c r="P100" i="7" s="1"/>
  <c r="O85" i="4"/>
  <c r="O57" i="7" s="1"/>
  <c r="O100" i="7" s="1"/>
  <c r="N85" i="4"/>
  <c r="N57" i="7" s="1"/>
  <c r="N100" i="7" s="1"/>
  <c r="M85" i="4"/>
  <c r="M57" i="7" s="1"/>
  <c r="M100" i="7" s="1"/>
  <c r="L85" i="4"/>
  <c r="L57" i="7" s="1"/>
  <c r="L100" i="7" s="1"/>
  <c r="K85" i="4"/>
  <c r="K57" i="7" s="1"/>
  <c r="K100" i="7" s="1"/>
  <c r="AT84" i="4"/>
  <c r="AT56" i="7" s="1"/>
  <c r="AT99" i="7" s="1"/>
  <c r="AS84" i="4"/>
  <c r="AS56" i="7" s="1"/>
  <c r="AS99" i="7" s="1"/>
  <c r="AR84" i="4"/>
  <c r="AR56" i="7" s="1"/>
  <c r="AR99" i="7" s="1"/>
  <c r="AQ84" i="4"/>
  <c r="AQ56" i="7" s="1"/>
  <c r="AQ99" i="7" s="1"/>
  <c r="AP84" i="4"/>
  <c r="AP56" i="7" s="1"/>
  <c r="AP99" i="7" s="1"/>
  <c r="AO84" i="4"/>
  <c r="AO56" i="7" s="1"/>
  <c r="AO99" i="7" s="1"/>
  <c r="AN84" i="4"/>
  <c r="AN56" i="7" s="1"/>
  <c r="AN99" i="7" s="1"/>
  <c r="AM84" i="4"/>
  <c r="AM56" i="7" s="1"/>
  <c r="AM99" i="7" s="1"/>
  <c r="AL84" i="4"/>
  <c r="AL56" i="7" s="1"/>
  <c r="AL99" i="7" s="1"/>
  <c r="AK84" i="4"/>
  <c r="AK56" i="7" s="1"/>
  <c r="AK99" i="7" s="1"/>
  <c r="AJ84" i="4"/>
  <c r="AJ56" i="7" s="1"/>
  <c r="AJ99" i="7" s="1"/>
  <c r="AI84" i="4"/>
  <c r="AI56" i="7" s="1"/>
  <c r="AI99" i="7" s="1"/>
  <c r="AH84" i="4"/>
  <c r="AH56" i="7" s="1"/>
  <c r="AH99" i="7" s="1"/>
  <c r="AG84" i="4"/>
  <c r="AG56" i="7" s="1"/>
  <c r="AG99" i="7" s="1"/>
  <c r="AF84" i="4"/>
  <c r="AF56" i="7" s="1"/>
  <c r="AF99" i="7" s="1"/>
  <c r="AE84" i="4"/>
  <c r="AE56" i="7" s="1"/>
  <c r="AE99" i="7" s="1"/>
  <c r="AD84" i="4"/>
  <c r="AD56" i="7" s="1"/>
  <c r="AD99" i="7" s="1"/>
  <c r="AC84" i="4"/>
  <c r="AC56" i="7" s="1"/>
  <c r="AC99" i="7" s="1"/>
  <c r="AB84" i="4"/>
  <c r="AB56" i="7" s="1"/>
  <c r="AB99" i="7" s="1"/>
  <c r="AA84" i="4"/>
  <c r="AA56" i="7" s="1"/>
  <c r="AA99" i="7" s="1"/>
  <c r="Z84" i="4"/>
  <c r="Z56" i="7" s="1"/>
  <c r="Z99" i="7" s="1"/>
  <c r="Y84" i="4"/>
  <c r="Y56" i="7" s="1"/>
  <c r="Y99" i="7" s="1"/>
  <c r="X84" i="4"/>
  <c r="X56" i="7" s="1"/>
  <c r="X99" i="7" s="1"/>
  <c r="W84" i="4"/>
  <c r="W56" i="7" s="1"/>
  <c r="W99" i="7" s="1"/>
  <c r="V84" i="4"/>
  <c r="V56" i="7" s="1"/>
  <c r="V99" i="7" s="1"/>
  <c r="U84" i="4"/>
  <c r="U56" i="7" s="1"/>
  <c r="U99" i="7" s="1"/>
  <c r="T84" i="4"/>
  <c r="T56" i="7" s="1"/>
  <c r="T99" i="7" s="1"/>
  <c r="S84" i="4"/>
  <c r="S56" i="7" s="1"/>
  <c r="S99" i="7" s="1"/>
  <c r="R84" i="4"/>
  <c r="R56" i="7" s="1"/>
  <c r="R99" i="7" s="1"/>
  <c r="Q84" i="4"/>
  <c r="Q56" i="7" s="1"/>
  <c r="Q99" i="7" s="1"/>
  <c r="P84" i="4"/>
  <c r="P56" i="7" s="1"/>
  <c r="P99" i="7" s="1"/>
  <c r="O84" i="4"/>
  <c r="O56" i="7" s="1"/>
  <c r="O99" i="7" s="1"/>
  <c r="N84" i="4"/>
  <c r="N56" i="7" s="1"/>
  <c r="N99" i="7" s="1"/>
  <c r="M84" i="4"/>
  <c r="M56" i="7" s="1"/>
  <c r="M99" i="7" s="1"/>
  <c r="L84" i="4"/>
  <c r="L56" i="7" s="1"/>
  <c r="L99" i="7" s="1"/>
  <c r="K84" i="4"/>
  <c r="K56" i="7" s="1"/>
  <c r="K99" i="7" s="1"/>
  <c r="AT83" i="4"/>
  <c r="AT55" i="7" s="1"/>
  <c r="AS83" i="4"/>
  <c r="AS55" i="7" s="1"/>
  <c r="AR83" i="4"/>
  <c r="AR55" i="7" s="1"/>
  <c r="AQ83" i="4"/>
  <c r="AQ55" i="7" s="1"/>
  <c r="AP83" i="4"/>
  <c r="AP55" i="7" s="1"/>
  <c r="AO83" i="4"/>
  <c r="AO55" i="7" s="1"/>
  <c r="AN83" i="4"/>
  <c r="AN55" i="7" s="1"/>
  <c r="AM83" i="4"/>
  <c r="AM55" i="7" s="1"/>
  <c r="AL83" i="4"/>
  <c r="AL55" i="7" s="1"/>
  <c r="AK83" i="4"/>
  <c r="AK55" i="7" s="1"/>
  <c r="AJ83" i="4"/>
  <c r="AJ55" i="7" s="1"/>
  <c r="AI83" i="4"/>
  <c r="AI55" i="7" s="1"/>
  <c r="AH83" i="4"/>
  <c r="AH55" i="7" s="1"/>
  <c r="AG83" i="4"/>
  <c r="AG55" i="7" s="1"/>
  <c r="AF83" i="4"/>
  <c r="AF55" i="7" s="1"/>
  <c r="AE83" i="4"/>
  <c r="AE55" i="7" s="1"/>
  <c r="AD83" i="4"/>
  <c r="AD55" i="7" s="1"/>
  <c r="AC83" i="4"/>
  <c r="AC55" i="7" s="1"/>
  <c r="AB83" i="4"/>
  <c r="AB55" i="7" s="1"/>
  <c r="AA83" i="4"/>
  <c r="AA55" i="7" s="1"/>
  <c r="Z83" i="4"/>
  <c r="Z55" i="7" s="1"/>
  <c r="Y83" i="4"/>
  <c r="Y55" i="7" s="1"/>
  <c r="X83" i="4"/>
  <c r="X55" i="7" s="1"/>
  <c r="W83" i="4"/>
  <c r="W55" i="7" s="1"/>
  <c r="V83" i="4"/>
  <c r="V55" i="7" s="1"/>
  <c r="U83" i="4"/>
  <c r="U55" i="7" s="1"/>
  <c r="T83" i="4"/>
  <c r="T55" i="7" s="1"/>
  <c r="S83" i="4"/>
  <c r="S55" i="7" s="1"/>
  <c r="R83" i="4"/>
  <c r="R55" i="7" s="1"/>
  <c r="Q83" i="4"/>
  <c r="Q55" i="7" s="1"/>
  <c r="P83" i="4"/>
  <c r="P55" i="7" s="1"/>
  <c r="O83" i="4"/>
  <c r="O55" i="7" s="1"/>
  <c r="N83" i="4"/>
  <c r="N55" i="7" s="1"/>
  <c r="M83" i="4"/>
  <c r="M55" i="7" s="1"/>
  <c r="L83" i="4"/>
  <c r="L55" i="7" s="1"/>
  <c r="K83" i="4"/>
  <c r="K55" i="7" s="1"/>
  <c r="AT81" i="4"/>
  <c r="AT53" i="7" s="1"/>
  <c r="AT96" i="7" s="1"/>
  <c r="AS81" i="4"/>
  <c r="AS53" i="7" s="1"/>
  <c r="AS96" i="7" s="1"/>
  <c r="AR81" i="4"/>
  <c r="AR53" i="7" s="1"/>
  <c r="AR96" i="7" s="1"/>
  <c r="AQ81" i="4"/>
  <c r="AQ53" i="7" s="1"/>
  <c r="AQ96" i="7" s="1"/>
  <c r="AP81" i="4"/>
  <c r="AP53" i="7" s="1"/>
  <c r="AP96" i="7" s="1"/>
  <c r="AO81" i="4"/>
  <c r="AO53" i="7" s="1"/>
  <c r="AO96" i="7" s="1"/>
  <c r="AN81" i="4"/>
  <c r="AN53" i="7" s="1"/>
  <c r="AN96" i="7" s="1"/>
  <c r="AM81" i="4"/>
  <c r="AM53" i="7" s="1"/>
  <c r="AM96" i="7" s="1"/>
  <c r="AL81" i="4"/>
  <c r="AL53" i="7" s="1"/>
  <c r="AL96" i="7" s="1"/>
  <c r="AK81" i="4"/>
  <c r="AK53" i="7" s="1"/>
  <c r="AK96" i="7" s="1"/>
  <c r="AJ81" i="4"/>
  <c r="AJ53" i="7" s="1"/>
  <c r="AJ96" i="7" s="1"/>
  <c r="AI81" i="4"/>
  <c r="AI53" i="7" s="1"/>
  <c r="AI96" i="7" s="1"/>
  <c r="AH81" i="4"/>
  <c r="AH53" i="7" s="1"/>
  <c r="AH96" i="7" s="1"/>
  <c r="AG81" i="4"/>
  <c r="AG53" i="7" s="1"/>
  <c r="AG96" i="7" s="1"/>
  <c r="AF81" i="4"/>
  <c r="AF53" i="7" s="1"/>
  <c r="AF96" i="7" s="1"/>
  <c r="AE81" i="4"/>
  <c r="AE53" i="7" s="1"/>
  <c r="AE96" i="7" s="1"/>
  <c r="AD81" i="4"/>
  <c r="AD53" i="7" s="1"/>
  <c r="AD96" i="7" s="1"/>
  <c r="AC81" i="4"/>
  <c r="AC53" i="7" s="1"/>
  <c r="AC96" i="7" s="1"/>
  <c r="AB81" i="4"/>
  <c r="AB53" i="7" s="1"/>
  <c r="AB96" i="7" s="1"/>
  <c r="AA81" i="4"/>
  <c r="AA53" i="7" s="1"/>
  <c r="AA96" i="7" s="1"/>
  <c r="Z81" i="4"/>
  <c r="Z53" i="7" s="1"/>
  <c r="Z96" i="7" s="1"/>
  <c r="Y81" i="4"/>
  <c r="Y53" i="7" s="1"/>
  <c r="Y96" i="7" s="1"/>
  <c r="X81" i="4"/>
  <c r="X53" i="7" s="1"/>
  <c r="X96" i="7" s="1"/>
  <c r="W81" i="4"/>
  <c r="W53" i="7" s="1"/>
  <c r="W96" i="7" s="1"/>
  <c r="V81" i="4"/>
  <c r="V53" i="7" s="1"/>
  <c r="V96" i="7" s="1"/>
  <c r="U81" i="4"/>
  <c r="U53" i="7" s="1"/>
  <c r="U96" i="7" s="1"/>
  <c r="T81" i="4"/>
  <c r="T53" i="7" s="1"/>
  <c r="T96" i="7" s="1"/>
  <c r="S81" i="4"/>
  <c r="S53" i="7" s="1"/>
  <c r="S96" i="7" s="1"/>
  <c r="R81" i="4"/>
  <c r="R53" i="7" s="1"/>
  <c r="R96" i="7" s="1"/>
  <c r="Q81" i="4"/>
  <c r="Q53" i="7" s="1"/>
  <c r="Q96" i="7" s="1"/>
  <c r="M81" i="4"/>
  <c r="M53" i="7" s="1"/>
  <c r="M96" i="7" s="1"/>
  <c r="L81" i="4"/>
  <c r="L53" i="7" s="1"/>
  <c r="L96" i="7" s="1"/>
  <c r="K81" i="4"/>
  <c r="K53" i="7" s="1"/>
  <c r="K96" i="7" s="1"/>
  <c r="AT80" i="4"/>
  <c r="AT52" i="7" s="1"/>
  <c r="AT95" i="7" s="1"/>
  <c r="AS80" i="4"/>
  <c r="AS52" i="7" s="1"/>
  <c r="AS95" i="7" s="1"/>
  <c r="AR80" i="4"/>
  <c r="AR52" i="7" s="1"/>
  <c r="AR95" i="7" s="1"/>
  <c r="AQ80" i="4"/>
  <c r="AQ52" i="7" s="1"/>
  <c r="AQ95" i="7" s="1"/>
  <c r="AP80" i="4"/>
  <c r="AP52" i="7" s="1"/>
  <c r="AP95" i="7" s="1"/>
  <c r="AO80" i="4"/>
  <c r="AO52" i="7" s="1"/>
  <c r="AO95" i="7" s="1"/>
  <c r="AN80" i="4"/>
  <c r="AN52" i="7" s="1"/>
  <c r="AN95" i="7" s="1"/>
  <c r="AM80" i="4"/>
  <c r="AM52" i="7" s="1"/>
  <c r="AM95" i="7" s="1"/>
  <c r="AL80" i="4"/>
  <c r="AL52" i="7" s="1"/>
  <c r="AL95" i="7" s="1"/>
  <c r="AK80" i="4"/>
  <c r="AK52" i="7" s="1"/>
  <c r="AK95" i="7" s="1"/>
  <c r="AJ80" i="4"/>
  <c r="AJ52" i="7" s="1"/>
  <c r="AJ95" i="7" s="1"/>
  <c r="AI80" i="4"/>
  <c r="AI52" i="7" s="1"/>
  <c r="AI95" i="7" s="1"/>
  <c r="AH80" i="4"/>
  <c r="AH52" i="7" s="1"/>
  <c r="AH95" i="7" s="1"/>
  <c r="AG80" i="4"/>
  <c r="AG52" i="7" s="1"/>
  <c r="AG95" i="7" s="1"/>
  <c r="AF80" i="4"/>
  <c r="AF52" i="7" s="1"/>
  <c r="AF95" i="7" s="1"/>
  <c r="AE80" i="4"/>
  <c r="AE52" i="7" s="1"/>
  <c r="AE95" i="7" s="1"/>
  <c r="AD80" i="4"/>
  <c r="AD52" i="7" s="1"/>
  <c r="AD95" i="7" s="1"/>
  <c r="AC80" i="4"/>
  <c r="AC52" i="7" s="1"/>
  <c r="AC95" i="7" s="1"/>
  <c r="AB80" i="4"/>
  <c r="AB52" i="7" s="1"/>
  <c r="AB95" i="7" s="1"/>
  <c r="AA80" i="4"/>
  <c r="AA52" i="7" s="1"/>
  <c r="AA95" i="7" s="1"/>
  <c r="Z80" i="4"/>
  <c r="Z52" i="7" s="1"/>
  <c r="Z95" i="7" s="1"/>
  <c r="Y80" i="4"/>
  <c r="Y52" i="7" s="1"/>
  <c r="Y95" i="7" s="1"/>
  <c r="X80" i="4"/>
  <c r="X52" i="7" s="1"/>
  <c r="X95" i="7" s="1"/>
  <c r="W80" i="4"/>
  <c r="W52" i="7" s="1"/>
  <c r="W95" i="7" s="1"/>
  <c r="V80" i="4"/>
  <c r="V52" i="7" s="1"/>
  <c r="V95" i="7" s="1"/>
  <c r="U80" i="4"/>
  <c r="U52" i="7" s="1"/>
  <c r="U95" i="7" s="1"/>
  <c r="T80" i="4"/>
  <c r="T52" i="7" s="1"/>
  <c r="T95" i="7" s="1"/>
  <c r="S80" i="4"/>
  <c r="S52" i="7" s="1"/>
  <c r="S95" i="7" s="1"/>
  <c r="R80" i="4"/>
  <c r="R52" i="7" s="1"/>
  <c r="R95" i="7" s="1"/>
  <c r="Q80" i="4"/>
  <c r="Q52" i="7" s="1"/>
  <c r="Q95" i="7" s="1"/>
  <c r="P80" i="4"/>
  <c r="P52" i="7" s="1"/>
  <c r="P95" i="7" s="1"/>
  <c r="M80" i="4"/>
  <c r="M52" i="7" s="1"/>
  <c r="M95" i="7" s="1"/>
  <c r="L80" i="4"/>
  <c r="L52" i="7" s="1"/>
  <c r="L95" i="7" s="1"/>
  <c r="K80" i="4"/>
  <c r="K52" i="7" s="1"/>
  <c r="K95" i="7" s="1"/>
  <c r="AT79" i="4"/>
  <c r="AT51" i="7" s="1"/>
  <c r="AT94" i="7" s="1"/>
  <c r="AS79" i="4"/>
  <c r="AS51" i="7" s="1"/>
  <c r="AS94" i="7" s="1"/>
  <c r="AR79" i="4"/>
  <c r="AR51" i="7" s="1"/>
  <c r="AR94" i="7" s="1"/>
  <c r="AQ79" i="4"/>
  <c r="AQ51" i="7" s="1"/>
  <c r="AQ94" i="7" s="1"/>
  <c r="AP79" i="4"/>
  <c r="AP51" i="7" s="1"/>
  <c r="AP94" i="7" s="1"/>
  <c r="AO79" i="4"/>
  <c r="AO51" i="7" s="1"/>
  <c r="AO94" i="7" s="1"/>
  <c r="AN79" i="4"/>
  <c r="AN51" i="7" s="1"/>
  <c r="AN94" i="7" s="1"/>
  <c r="AM79" i="4"/>
  <c r="AM51" i="7" s="1"/>
  <c r="AM94" i="7" s="1"/>
  <c r="AL79" i="4"/>
  <c r="AL51" i="7" s="1"/>
  <c r="AL94" i="7" s="1"/>
  <c r="AK79" i="4"/>
  <c r="AK51" i="7" s="1"/>
  <c r="AK94" i="7" s="1"/>
  <c r="AJ79" i="4"/>
  <c r="AJ51" i="7" s="1"/>
  <c r="AJ94" i="7" s="1"/>
  <c r="AI79" i="4"/>
  <c r="AI51" i="7" s="1"/>
  <c r="AI94" i="7" s="1"/>
  <c r="AH79" i="4"/>
  <c r="AH51" i="7" s="1"/>
  <c r="AH94" i="7" s="1"/>
  <c r="AG79" i="4"/>
  <c r="AG51" i="7" s="1"/>
  <c r="AG94" i="7" s="1"/>
  <c r="AF79" i="4"/>
  <c r="AF51" i="7" s="1"/>
  <c r="AF94" i="7" s="1"/>
  <c r="AE79" i="4"/>
  <c r="AE51" i="7" s="1"/>
  <c r="AE94" i="7" s="1"/>
  <c r="AD79" i="4"/>
  <c r="AD51" i="7" s="1"/>
  <c r="AD94" i="7" s="1"/>
  <c r="AC79" i="4"/>
  <c r="AC51" i="7" s="1"/>
  <c r="AC94" i="7" s="1"/>
  <c r="AB79" i="4"/>
  <c r="AB51" i="7" s="1"/>
  <c r="AB94" i="7" s="1"/>
  <c r="AA79" i="4"/>
  <c r="AA51" i="7" s="1"/>
  <c r="AA94" i="7" s="1"/>
  <c r="Z79" i="4"/>
  <c r="Z51" i="7" s="1"/>
  <c r="Z94" i="7" s="1"/>
  <c r="Y79" i="4"/>
  <c r="Y51" i="7" s="1"/>
  <c r="Y94" i="7" s="1"/>
  <c r="X79" i="4"/>
  <c r="X51" i="7" s="1"/>
  <c r="X94" i="7" s="1"/>
  <c r="W79" i="4"/>
  <c r="W51" i="7" s="1"/>
  <c r="W94" i="7" s="1"/>
  <c r="V79" i="4"/>
  <c r="V51" i="7" s="1"/>
  <c r="V94" i="7" s="1"/>
  <c r="U79" i="4"/>
  <c r="U51" i="7" s="1"/>
  <c r="U94" i="7" s="1"/>
  <c r="T79" i="4"/>
  <c r="T51" i="7" s="1"/>
  <c r="T94" i="7" s="1"/>
  <c r="S79" i="4"/>
  <c r="S51" i="7" s="1"/>
  <c r="S94" i="7" s="1"/>
  <c r="R79" i="4"/>
  <c r="R51" i="7" s="1"/>
  <c r="R94" i="7" s="1"/>
  <c r="Q79" i="4"/>
  <c r="Q51" i="7" s="1"/>
  <c r="Q94" i="7" s="1"/>
  <c r="P79" i="4"/>
  <c r="P51" i="7" s="1"/>
  <c r="M79" i="4"/>
  <c r="M51" i="7" s="1"/>
  <c r="L79" i="4"/>
  <c r="L51" i="7" s="1"/>
  <c r="L94" i="7" s="1"/>
  <c r="K79" i="4"/>
  <c r="K51" i="7" s="1"/>
  <c r="K94" i="7" s="1"/>
  <c r="AT78" i="4"/>
  <c r="AT50" i="7" s="1"/>
  <c r="AS78" i="4"/>
  <c r="AS50" i="7" s="1"/>
  <c r="AR78" i="4"/>
  <c r="AR50" i="7" s="1"/>
  <c r="AQ78" i="4"/>
  <c r="AQ50" i="7" s="1"/>
  <c r="AP78" i="4"/>
  <c r="AP50" i="7" s="1"/>
  <c r="AO78" i="4"/>
  <c r="AO50" i="7" s="1"/>
  <c r="AN78" i="4"/>
  <c r="AN50" i="7" s="1"/>
  <c r="AM78" i="4"/>
  <c r="AM50" i="7" s="1"/>
  <c r="AL78" i="4"/>
  <c r="AL50" i="7" s="1"/>
  <c r="AK78" i="4"/>
  <c r="AK50" i="7" s="1"/>
  <c r="AJ78" i="4"/>
  <c r="AJ50" i="7" s="1"/>
  <c r="AI78" i="4"/>
  <c r="AI50" i="7" s="1"/>
  <c r="AH78" i="4"/>
  <c r="AH50" i="7" s="1"/>
  <c r="AG78" i="4"/>
  <c r="AG50" i="7" s="1"/>
  <c r="AF78" i="4"/>
  <c r="AF50" i="7" s="1"/>
  <c r="AE78" i="4"/>
  <c r="AE50" i="7" s="1"/>
  <c r="AD78" i="4"/>
  <c r="AD50" i="7" s="1"/>
  <c r="AC78" i="4"/>
  <c r="AC50" i="7" s="1"/>
  <c r="AB78" i="4"/>
  <c r="AB50" i="7" s="1"/>
  <c r="AA78" i="4"/>
  <c r="AA50" i="7" s="1"/>
  <c r="Z78" i="4"/>
  <c r="Z50" i="7" s="1"/>
  <c r="Y78" i="4"/>
  <c r="Y50" i="7" s="1"/>
  <c r="X78" i="4"/>
  <c r="X50" i="7" s="1"/>
  <c r="W78" i="4"/>
  <c r="W50" i="7" s="1"/>
  <c r="V78" i="4"/>
  <c r="V50" i="7" s="1"/>
  <c r="U78" i="4"/>
  <c r="U50" i="7" s="1"/>
  <c r="T78" i="4"/>
  <c r="T50" i="7" s="1"/>
  <c r="S78" i="4"/>
  <c r="S50" i="7" s="1"/>
  <c r="R78" i="4"/>
  <c r="R50" i="7" s="1"/>
  <c r="Q78" i="4"/>
  <c r="Q50" i="7" s="1"/>
  <c r="L78" i="4"/>
  <c r="L50" i="7" s="1"/>
  <c r="K78" i="4"/>
  <c r="K50" i="7" s="1"/>
  <c r="G76" i="4"/>
  <c r="D76" i="4"/>
  <c r="G75" i="4"/>
  <c r="D75" i="4"/>
  <c r="G74" i="4"/>
  <c r="D74" i="4"/>
  <c r="D73" i="4"/>
  <c r="G72" i="4"/>
  <c r="D72" i="4"/>
  <c r="G71" i="4"/>
  <c r="D71" i="4"/>
  <c r="G70" i="4"/>
  <c r="D70" i="4"/>
  <c r="G69" i="4"/>
  <c r="D69" i="4"/>
  <c r="D68" i="4"/>
  <c r="I13" i="5"/>
  <c r="I15" i="4"/>
  <c r="K15" i="4" s="1"/>
  <c r="I41" i="6" l="1"/>
  <c r="Q93" i="7"/>
  <c r="Q49" i="7"/>
  <c r="Y93" i="7"/>
  <c r="Y49" i="7"/>
  <c r="AO93" i="7"/>
  <c r="AO49" i="7"/>
  <c r="M94" i="7"/>
  <c r="M49" i="7"/>
  <c r="T98" i="7"/>
  <c r="T54" i="7"/>
  <c r="T97" i="7" s="1"/>
  <c r="AF98" i="7"/>
  <c r="AF54" i="7"/>
  <c r="AF97" i="7" s="1"/>
  <c r="R93" i="7"/>
  <c r="R49" i="7"/>
  <c r="V93" i="7"/>
  <c r="V49" i="7"/>
  <c r="Z93" i="7"/>
  <c r="Z49" i="7"/>
  <c r="AD93" i="7"/>
  <c r="AD49" i="7"/>
  <c r="AH93" i="7"/>
  <c r="AH49" i="7"/>
  <c r="AL93" i="7"/>
  <c r="AL49" i="7"/>
  <c r="AP93" i="7"/>
  <c r="AP49" i="7"/>
  <c r="AT93" i="7"/>
  <c r="AT49" i="7"/>
  <c r="P94" i="7"/>
  <c r="P49" i="7"/>
  <c r="M98" i="7"/>
  <c r="M54" i="7"/>
  <c r="M97" i="7" s="1"/>
  <c r="Q98" i="7"/>
  <c r="Q54" i="7"/>
  <c r="Q97" i="7" s="1"/>
  <c r="U98" i="7"/>
  <c r="U54" i="7"/>
  <c r="U97" i="7" s="1"/>
  <c r="Y98" i="7"/>
  <c r="Y54" i="7"/>
  <c r="Y97" i="7" s="1"/>
  <c r="AC98" i="7"/>
  <c r="AC54" i="7"/>
  <c r="AC97" i="7" s="1"/>
  <c r="AG98" i="7"/>
  <c r="AG54" i="7"/>
  <c r="AG97" i="7" s="1"/>
  <c r="AK98" i="7"/>
  <c r="AK54" i="7"/>
  <c r="AK97" i="7" s="1"/>
  <c r="AO98" i="7"/>
  <c r="AO54" i="7"/>
  <c r="AO97" i="7" s="1"/>
  <c r="AS98" i="7"/>
  <c r="AS54" i="7"/>
  <c r="AS97" i="7" s="1"/>
  <c r="K8" i="8"/>
  <c r="L5" i="8"/>
  <c r="L6" i="8" s="1"/>
  <c r="U93" i="7"/>
  <c r="U49" i="7"/>
  <c r="AG93" i="7"/>
  <c r="AG49" i="7"/>
  <c r="AS93" i="7"/>
  <c r="AS49" i="7"/>
  <c r="P98" i="7"/>
  <c r="P54" i="7"/>
  <c r="P97" i="7" s="1"/>
  <c r="AB98" i="7"/>
  <c r="AB54" i="7"/>
  <c r="AB97" i="7" s="1"/>
  <c r="AN98" i="7"/>
  <c r="AN54" i="7"/>
  <c r="AN97" i="7" s="1"/>
  <c r="K93" i="7"/>
  <c r="K49" i="7"/>
  <c r="S93" i="7"/>
  <c r="S49" i="7"/>
  <c r="W93" i="7"/>
  <c r="W49" i="7"/>
  <c r="AA93" i="7"/>
  <c r="AA49" i="7"/>
  <c r="AE93" i="7"/>
  <c r="AE49" i="7"/>
  <c r="AI93" i="7"/>
  <c r="AI49" i="7"/>
  <c r="AM93" i="7"/>
  <c r="AM49" i="7"/>
  <c r="AQ93" i="7"/>
  <c r="AQ49" i="7"/>
  <c r="N98" i="7"/>
  <c r="N54" i="7"/>
  <c r="R98" i="7"/>
  <c r="R54" i="7"/>
  <c r="R97" i="7" s="1"/>
  <c r="V98" i="7"/>
  <c r="V54" i="7"/>
  <c r="V97" i="7" s="1"/>
  <c r="Z98" i="7"/>
  <c r="Z54" i="7"/>
  <c r="Z97" i="7" s="1"/>
  <c r="AD98" i="7"/>
  <c r="AD54" i="7"/>
  <c r="AD97" i="7" s="1"/>
  <c r="AH98" i="7"/>
  <c r="AH54" i="7"/>
  <c r="AH97" i="7" s="1"/>
  <c r="AL98" i="7"/>
  <c r="AL54" i="7"/>
  <c r="AL97" i="7" s="1"/>
  <c r="AP98" i="7"/>
  <c r="AP54" i="7"/>
  <c r="AP97" i="7" s="1"/>
  <c r="AT98" i="7"/>
  <c r="AT54" i="7"/>
  <c r="AT97" i="7" s="1"/>
  <c r="AC93" i="7"/>
  <c r="AC49" i="7"/>
  <c r="AK93" i="7"/>
  <c r="AK49" i="7"/>
  <c r="L98" i="7"/>
  <c r="L54" i="7"/>
  <c r="L97" i="7" s="1"/>
  <c r="X98" i="7"/>
  <c r="X54" i="7"/>
  <c r="X97" i="7" s="1"/>
  <c r="AJ98" i="7"/>
  <c r="AJ54" i="7"/>
  <c r="AJ97" i="7" s="1"/>
  <c r="AR98" i="7"/>
  <c r="AR54" i="7"/>
  <c r="AR97" i="7" s="1"/>
  <c r="L93" i="7"/>
  <c r="L49" i="7"/>
  <c r="T93" i="7"/>
  <c r="T49" i="7"/>
  <c r="X93" i="7"/>
  <c r="X49" i="7"/>
  <c r="AB93" i="7"/>
  <c r="AB49" i="7"/>
  <c r="AF93" i="7"/>
  <c r="AF49" i="7"/>
  <c r="AJ93" i="7"/>
  <c r="AJ49" i="7"/>
  <c r="AN93" i="7"/>
  <c r="AN49" i="7"/>
  <c r="AR93" i="7"/>
  <c r="AR49" i="7"/>
  <c r="K98" i="7"/>
  <c r="K54" i="7"/>
  <c r="K97" i="7" s="1"/>
  <c r="O98" i="7"/>
  <c r="O54" i="7"/>
  <c r="S98" i="7"/>
  <c r="S54" i="7"/>
  <c r="S97" i="7" s="1"/>
  <c r="W98" i="7"/>
  <c r="W54" i="7"/>
  <c r="W97" i="7" s="1"/>
  <c r="AA98" i="7"/>
  <c r="AA54" i="7"/>
  <c r="AA97" i="7" s="1"/>
  <c r="AE98" i="7"/>
  <c r="AE54" i="7"/>
  <c r="AE97" i="7" s="1"/>
  <c r="AI98" i="7"/>
  <c r="AI54" i="7"/>
  <c r="AI97" i="7" s="1"/>
  <c r="AM98" i="7"/>
  <c r="AM54" i="7"/>
  <c r="AM97" i="7" s="1"/>
  <c r="AQ98" i="7"/>
  <c r="AQ54" i="7"/>
  <c r="AQ97" i="7" s="1"/>
  <c r="L5" i="6"/>
  <c r="L6" i="6" s="1"/>
  <c r="K8" i="6"/>
  <c r="M8" i="7"/>
  <c r="N5" i="7"/>
  <c r="N6" i="5"/>
  <c r="N4" i="5"/>
  <c r="Q7" i="5"/>
  <c r="Q25" i="5" s="1"/>
  <c r="P5" i="9"/>
  <c r="P6" i="9" s="1"/>
  <c r="O8" i="9"/>
  <c r="I31" i="6"/>
  <c r="L15" i="4"/>
  <c r="M15" i="4" s="1"/>
  <c r="N15" i="4" s="1"/>
  <c r="O15" i="4" s="1"/>
  <c r="K27" i="4"/>
  <c r="I30" i="6"/>
  <c r="K31" i="4"/>
  <c r="K16" i="5" s="1"/>
  <c r="I29" i="6"/>
  <c r="I33" i="6"/>
  <c r="I32" i="6"/>
  <c r="K6" i="4"/>
  <c r="K17" i="4" s="1"/>
  <c r="K18" i="4" s="1"/>
  <c r="G78" i="4"/>
  <c r="G79" i="4"/>
  <c r="G80" i="4"/>
  <c r="G81" i="4"/>
  <c r="G83" i="4"/>
  <c r="G84" i="4"/>
  <c r="K94" i="4"/>
  <c r="I50" i="6"/>
  <c r="K50" i="6" s="1"/>
  <c r="G85" i="4"/>
  <c r="L94" i="4"/>
  <c r="I37" i="6"/>
  <c r="K4" i="8"/>
  <c r="O97" i="7" l="1"/>
  <c r="O48" i="7"/>
  <c r="O91" i="7" s="1"/>
  <c r="AB92" i="7"/>
  <c r="AB48" i="7"/>
  <c r="AB91" i="7" s="1"/>
  <c r="N97" i="7"/>
  <c r="N48" i="7"/>
  <c r="N91" i="7" s="1"/>
  <c r="AM92" i="7"/>
  <c r="AM48" i="7"/>
  <c r="AM91" i="7" s="1"/>
  <c r="W92" i="7"/>
  <c r="W48" i="7"/>
  <c r="W91" i="7" s="1"/>
  <c r="AS92" i="7"/>
  <c r="AS48" i="7"/>
  <c r="AS91" i="7" s="1"/>
  <c r="U92" i="7"/>
  <c r="U48" i="7"/>
  <c r="U91" i="7" s="1"/>
  <c r="AT92" i="7"/>
  <c r="AT48" i="7"/>
  <c r="AT91" i="7" s="1"/>
  <c r="AL92" i="7"/>
  <c r="AL48" i="7"/>
  <c r="AL91" i="7" s="1"/>
  <c r="AD92" i="7"/>
  <c r="AD48" i="7"/>
  <c r="AD91" i="7" s="1"/>
  <c r="V92" i="7"/>
  <c r="V48" i="7"/>
  <c r="V91" i="7" s="1"/>
  <c r="M92" i="7"/>
  <c r="M48" i="7"/>
  <c r="M91" i="7" s="1"/>
  <c r="Y92" i="7"/>
  <c r="Y48" i="7"/>
  <c r="Y91" i="7" s="1"/>
  <c r="M5" i="6"/>
  <c r="M6" i="6" s="1"/>
  <c r="L8" i="6"/>
  <c r="AJ92" i="7"/>
  <c r="AJ48" i="7"/>
  <c r="AJ91" i="7" s="1"/>
  <c r="AK92" i="7"/>
  <c r="AK48" i="7"/>
  <c r="AK91" i="7" s="1"/>
  <c r="AE92" i="7"/>
  <c r="AE48" i="7"/>
  <c r="AE91" i="7" s="1"/>
  <c r="L27" i="4"/>
  <c r="L13" i="5" s="1"/>
  <c r="K13" i="5"/>
  <c r="K26" i="5" s="1"/>
  <c r="AN92" i="7"/>
  <c r="AN48" i="7"/>
  <c r="AN91" i="7" s="1"/>
  <c r="X92" i="7"/>
  <c r="X48" i="7"/>
  <c r="X91" i="7" s="1"/>
  <c r="AQ92" i="7"/>
  <c r="AQ48" i="7"/>
  <c r="AQ91" i="7" s="1"/>
  <c r="AI92" i="7"/>
  <c r="AI48" i="7"/>
  <c r="AI91" i="7" s="1"/>
  <c r="AA92" i="7"/>
  <c r="AA48" i="7"/>
  <c r="AA91" i="7" s="1"/>
  <c r="S92" i="7"/>
  <c r="S48" i="7"/>
  <c r="S91" i="7" s="1"/>
  <c r="AG92" i="7"/>
  <c r="AG48" i="7"/>
  <c r="AG91" i="7" s="1"/>
  <c r="L8" i="8"/>
  <c r="M5" i="8"/>
  <c r="M6" i="8" s="1"/>
  <c r="P92" i="7"/>
  <c r="P48" i="7"/>
  <c r="P91" i="7" s="1"/>
  <c r="AP92" i="7"/>
  <c r="AP48" i="7"/>
  <c r="AP91" i="7" s="1"/>
  <c r="AH92" i="7"/>
  <c r="AH48" i="7"/>
  <c r="AH91" i="7" s="1"/>
  <c r="Z92" i="7"/>
  <c r="Z48" i="7"/>
  <c r="Z91" i="7" s="1"/>
  <c r="R92" i="7"/>
  <c r="R48" i="7"/>
  <c r="R91" i="7" s="1"/>
  <c r="AO92" i="7"/>
  <c r="AO48" i="7"/>
  <c r="AO91" i="7" s="1"/>
  <c r="Q92" i="7"/>
  <c r="Q48" i="7"/>
  <c r="Q91" i="7" s="1"/>
  <c r="AR92" i="7"/>
  <c r="AR48" i="7"/>
  <c r="AR91" i="7" s="1"/>
  <c r="T92" i="7"/>
  <c r="T48" i="7"/>
  <c r="T91" i="7" s="1"/>
  <c r="K92" i="7"/>
  <c r="K48" i="7"/>
  <c r="K91" i="7" s="1"/>
  <c r="AF92" i="7"/>
  <c r="AF48" i="7"/>
  <c r="AF91" i="7" s="1"/>
  <c r="L92" i="7"/>
  <c r="L48" i="7"/>
  <c r="L91" i="7" s="1"/>
  <c r="AC92" i="7"/>
  <c r="AC48" i="7"/>
  <c r="AC91" i="7" s="1"/>
  <c r="N6" i="7"/>
  <c r="N4" i="7"/>
  <c r="R7" i="5"/>
  <c r="R25" i="5" s="1"/>
  <c r="N8" i="5"/>
  <c r="O5" i="5"/>
  <c r="K51" i="6"/>
  <c r="K55" i="6" s="1"/>
  <c r="Q5" i="9"/>
  <c r="Q6" i="9" s="1"/>
  <c r="P8" i="9"/>
  <c r="C23" i="12" a="1"/>
  <c r="C23" i="12" s="1"/>
  <c r="I28" i="6"/>
  <c r="I27" i="6" s="1"/>
  <c r="K19" i="8"/>
  <c r="C10" i="12" a="1"/>
  <c r="C10" i="12" s="1"/>
  <c r="M9" i="4"/>
  <c r="K13" i="8"/>
  <c r="K33" i="8"/>
  <c r="K50" i="8" s="1"/>
  <c r="L4" i="9"/>
  <c r="L33" i="8"/>
  <c r="L50" i="8" s="1"/>
  <c r="K53" i="6"/>
  <c r="K59" i="6"/>
  <c r="L50" i="6"/>
  <c r="K4" i="6"/>
  <c r="L6" i="4"/>
  <c r="L31" i="4"/>
  <c r="L16" i="5" s="1"/>
  <c r="K56" i="6" l="1"/>
  <c r="K67" i="6" s="1"/>
  <c r="K57" i="6"/>
  <c r="M27" i="4"/>
  <c r="M13" i="5" s="1"/>
  <c r="N5" i="8"/>
  <c r="N6" i="8" s="1"/>
  <c r="M8" i="8"/>
  <c r="K27" i="5"/>
  <c r="K28" i="5" s="1"/>
  <c r="L26" i="5"/>
  <c r="L27" i="5" s="1"/>
  <c r="M26" i="5"/>
  <c r="M27" i="5" s="1"/>
  <c r="M8" i="6"/>
  <c r="N5" i="6"/>
  <c r="N6" i="6" s="1"/>
  <c r="K19" i="4"/>
  <c r="K12" i="7"/>
  <c r="N26" i="5"/>
  <c r="N27" i="5" s="1"/>
  <c r="O5" i="7"/>
  <c r="N8" i="7"/>
  <c r="S7" i="5"/>
  <c r="S25" i="5" s="1"/>
  <c r="O6" i="5"/>
  <c r="O4" i="5"/>
  <c r="L51" i="6"/>
  <c r="L55" i="6" s="1"/>
  <c r="R5" i="9"/>
  <c r="R6" i="9" s="1"/>
  <c r="Q8" i="9"/>
  <c r="L13" i="8"/>
  <c r="C8" i="12" a="1"/>
  <c r="K66" i="6"/>
  <c r="I60" i="6"/>
  <c r="K60" i="6" s="1"/>
  <c r="L60" i="6" s="1"/>
  <c r="M60" i="6" s="1"/>
  <c r="I61" i="6"/>
  <c r="N9" i="4"/>
  <c r="M94" i="4"/>
  <c r="L10" i="4"/>
  <c r="L53" i="6"/>
  <c r="L59" i="6"/>
  <c r="M50" i="6"/>
  <c r="L4" i="8"/>
  <c r="L17" i="4"/>
  <c r="L28" i="5" l="1"/>
  <c r="L24" i="5" s="1"/>
  <c r="N27" i="4"/>
  <c r="N13" i="5" s="1"/>
  <c r="L57" i="6"/>
  <c r="L66" i="6"/>
  <c r="L56" i="6"/>
  <c r="L67" i="6" s="1"/>
  <c r="K61" i="6"/>
  <c r="L61" i="6" s="1"/>
  <c r="M61" i="6" s="1"/>
  <c r="K13" i="7"/>
  <c r="C6" i="12" a="1"/>
  <c r="C8" i="12"/>
  <c r="N8" i="6"/>
  <c r="O5" i="6"/>
  <c r="O6" i="6" s="1"/>
  <c r="C6" i="12"/>
  <c r="O5" i="8"/>
  <c r="O6" i="8" s="1"/>
  <c r="N8" i="8"/>
  <c r="O6" i="7"/>
  <c r="O4" i="7"/>
  <c r="O8" i="5"/>
  <c r="P5" i="5"/>
  <c r="O26" i="5"/>
  <c r="T7" i="5"/>
  <c r="T25" i="5" s="1"/>
  <c r="M51" i="6"/>
  <c r="M55" i="6" s="1"/>
  <c r="R8" i="9"/>
  <c r="S5" i="9"/>
  <c r="S6" i="9" s="1"/>
  <c r="L18" i="4"/>
  <c r="M33" i="8"/>
  <c r="M50" i="8" s="1"/>
  <c r="O9" i="4"/>
  <c r="N94" i="4"/>
  <c r="L4" i="6"/>
  <c r="M53" i="6"/>
  <c r="M59" i="6"/>
  <c r="M4" i="9"/>
  <c r="M6" i="4"/>
  <c r="M31" i="4"/>
  <c r="M16" i="5" s="1"/>
  <c r="O27" i="4" l="1"/>
  <c r="O13" i="5" s="1"/>
  <c r="M33" i="5"/>
  <c r="L22" i="7"/>
  <c r="L19" i="8" s="1"/>
  <c r="M56" i="6"/>
  <c r="M67" i="6" s="1"/>
  <c r="M57" i="6"/>
  <c r="M66" i="6"/>
  <c r="L19" i="4"/>
  <c r="L13" i="7" s="1"/>
  <c r="L12" i="7"/>
  <c r="M28" i="5"/>
  <c r="M24" i="5" s="1"/>
  <c r="N33" i="5" s="1"/>
  <c r="O8" i="8"/>
  <c r="P5" i="8"/>
  <c r="P6" i="8" s="1"/>
  <c r="P5" i="6"/>
  <c r="P6" i="6" s="1"/>
  <c r="O8" i="6"/>
  <c r="O8" i="7"/>
  <c r="P5" i="7"/>
  <c r="U7" i="5"/>
  <c r="U25" i="5" s="1"/>
  <c r="P6" i="5"/>
  <c r="P4" i="5"/>
  <c r="P26" i="5" s="1"/>
  <c r="O27" i="5"/>
  <c r="S8" i="9"/>
  <c r="T5" i="9"/>
  <c r="T6" i="9" s="1"/>
  <c r="N33" i="8"/>
  <c r="N50" i="8" s="1"/>
  <c r="P9" i="4"/>
  <c r="O94" i="4"/>
  <c r="M17" i="4"/>
  <c r="M10" i="4"/>
  <c r="M4" i="8"/>
  <c r="M16" i="7" l="1"/>
  <c r="M13" i="8" s="1"/>
  <c r="N16" i="7"/>
  <c r="N13" i="8" s="1"/>
  <c r="M22" i="7"/>
  <c r="M19" i="8" s="1"/>
  <c r="Q5" i="6"/>
  <c r="Q6" i="6" s="1"/>
  <c r="P8" i="6"/>
  <c r="Q5" i="8"/>
  <c r="Q6" i="8" s="1"/>
  <c r="P8" i="8"/>
  <c r="P6" i="7"/>
  <c r="P4" i="7"/>
  <c r="P8" i="5"/>
  <c r="P27" i="5" s="1"/>
  <c r="Q5" i="5"/>
  <c r="V7" i="5"/>
  <c r="V25" i="5" s="1"/>
  <c r="U5" i="9"/>
  <c r="U6" i="9" s="1"/>
  <c r="T8" i="9"/>
  <c r="P94" i="4"/>
  <c r="Q9" i="4"/>
  <c r="O33" i="8"/>
  <c r="O50" i="8" s="1"/>
  <c r="N4" i="9"/>
  <c r="M18" i="4"/>
  <c r="N31" i="4"/>
  <c r="N16" i="5" s="1"/>
  <c r="N28" i="5" s="1"/>
  <c r="N24" i="5" s="1"/>
  <c r="N6" i="4"/>
  <c r="M4" i="6"/>
  <c r="O33" i="5" l="1"/>
  <c r="N22" i="7"/>
  <c r="R5" i="8"/>
  <c r="R6" i="8" s="1"/>
  <c r="Q8" i="8"/>
  <c r="Q8" i="6"/>
  <c r="R5" i="6"/>
  <c r="R6" i="6" s="1"/>
  <c r="M19" i="4"/>
  <c r="M13" i="7" s="1"/>
  <c r="M12" i="7"/>
  <c r="P8" i="7"/>
  <c r="Q5" i="7"/>
  <c r="W7" i="5"/>
  <c r="W25" i="5" s="1"/>
  <c r="Q6" i="5"/>
  <c r="Q4" i="5"/>
  <c r="Q26" i="5" s="1"/>
  <c r="V5" i="9"/>
  <c r="V6" i="9" s="1"/>
  <c r="U8" i="9"/>
  <c r="Q94" i="4"/>
  <c r="R9" i="4"/>
  <c r="P33" i="8"/>
  <c r="P50" i="8" s="1"/>
  <c r="N17" i="4"/>
  <c r="N10" i="4"/>
  <c r="N4" i="8"/>
  <c r="O16" i="7" l="1"/>
  <c r="O13" i="8" s="1"/>
  <c r="S5" i="6"/>
  <c r="S6" i="6" s="1"/>
  <c r="R8" i="6"/>
  <c r="R8" i="8"/>
  <c r="S5" i="8"/>
  <c r="S6" i="8" s="1"/>
  <c r="Q6" i="7"/>
  <c r="Q4" i="7"/>
  <c r="X7" i="5"/>
  <c r="X25" i="5" s="1"/>
  <c r="Q8" i="5"/>
  <c r="Q27" i="5" s="1"/>
  <c r="R5" i="5"/>
  <c r="V8" i="9"/>
  <c r="W5" i="9"/>
  <c r="W6" i="9" s="1"/>
  <c r="R94" i="4"/>
  <c r="S9" i="4"/>
  <c r="Q33" i="8"/>
  <c r="Q50" i="8" s="1"/>
  <c r="N4" i="6"/>
  <c r="O6" i="4"/>
  <c r="O31" i="4"/>
  <c r="O16" i="5" s="1"/>
  <c r="O4" i="9"/>
  <c r="N18" i="4"/>
  <c r="N12" i="7" s="1"/>
  <c r="T5" i="8" l="1"/>
  <c r="T6" i="8" s="1"/>
  <c r="S8" i="8"/>
  <c r="O28" i="5"/>
  <c r="O24" i="5" s="1"/>
  <c r="S8" i="6"/>
  <c r="T5" i="6"/>
  <c r="T6" i="6" s="1"/>
  <c r="R5" i="7"/>
  <c r="Q8" i="7"/>
  <c r="R6" i="5"/>
  <c r="R4" i="5"/>
  <c r="R26" i="5" s="1"/>
  <c r="Y7" i="5"/>
  <c r="Y25" i="5" s="1"/>
  <c r="X5" i="9"/>
  <c r="X6" i="9" s="1"/>
  <c r="W8" i="9"/>
  <c r="S94" i="4"/>
  <c r="T9" i="4"/>
  <c r="R33" i="8"/>
  <c r="R50" i="8" s="1"/>
  <c r="O17" i="4"/>
  <c r="O4" i="8"/>
  <c r="O10" i="4"/>
  <c r="N19" i="4"/>
  <c r="N13" i="7" s="1"/>
  <c r="U5" i="6" l="1"/>
  <c r="U6" i="6" s="1"/>
  <c r="T8" i="6"/>
  <c r="P33" i="5"/>
  <c r="O22" i="7"/>
  <c r="T8" i="8"/>
  <c r="U5" i="8"/>
  <c r="U6" i="8" s="1"/>
  <c r="R4" i="7"/>
  <c r="R6" i="7"/>
  <c r="Z7" i="5"/>
  <c r="Z25" i="5" s="1"/>
  <c r="R8" i="5"/>
  <c r="R27" i="5" s="1"/>
  <c r="S5" i="5"/>
  <c r="Y5" i="9"/>
  <c r="Y6" i="9" s="1"/>
  <c r="X8" i="9"/>
  <c r="U9" i="4"/>
  <c r="T94" i="4"/>
  <c r="S33" i="8"/>
  <c r="S50" i="8" s="1"/>
  <c r="P4" i="9"/>
  <c r="P6" i="4"/>
  <c r="P31" i="4"/>
  <c r="P16" i="5" s="1"/>
  <c r="O18" i="4"/>
  <c r="O12" i="7" s="1"/>
  <c r="O4" i="6"/>
  <c r="P16" i="7" l="1"/>
  <c r="P28" i="5"/>
  <c r="P24" i="5" s="1"/>
  <c r="V5" i="8"/>
  <c r="V6" i="8" s="1"/>
  <c r="U8" i="8"/>
  <c r="V5" i="6"/>
  <c r="V6" i="6" s="1"/>
  <c r="U8" i="6"/>
  <c r="S5" i="7"/>
  <c r="R8" i="7"/>
  <c r="AA7" i="5"/>
  <c r="AA25" i="5" s="1"/>
  <c r="S6" i="5"/>
  <c r="S4" i="5"/>
  <c r="S26" i="5" s="1"/>
  <c r="Z5" i="9"/>
  <c r="Z6" i="9" s="1"/>
  <c r="Y8" i="9"/>
  <c r="T33" i="8"/>
  <c r="T50" i="8" s="1"/>
  <c r="U94" i="4"/>
  <c r="V9" i="4"/>
  <c r="P17" i="4"/>
  <c r="P4" i="8"/>
  <c r="P10" i="4"/>
  <c r="O19" i="4"/>
  <c r="O13" i="7" s="1"/>
  <c r="Q33" i="5" l="1"/>
  <c r="P22" i="7"/>
  <c r="V8" i="8"/>
  <c r="W5" i="8"/>
  <c r="W6" i="8" s="1"/>
  <c r="W5" i="6"/>
  <c r="W6" i="6" s="1"/>
  <c r="V8" i="6"/>
  <c r="S6" i="7"/>
  <c r="S4" i="7"/>
  <c r="AB7" i="5"/>
  <c r="AB25" i="5" s="1"/>
  <c r="S8" i="5"/>
  <c r="S27" i="5" s="1"/>
  <c r="T5" i="5"/>
  <c r="Z8" i="9"/>
  <c r="AA5" i="9"/>
  <c r="AA6" i="9" s="1"/>
  <c r="V94" i="4"/>
  <c r="W9" i="4"/>
  <c r="U33" i="8"/>
  <c r="U50" i="8" s="1"/>
  <c r="Q4" i="9"/>
  <c r="Q6" i="4"/>
  <c r="Q31" i="4"/>
  <c r="Q16" i="5" s="1"/>
  <c r="P18" i="4"/>
  <c r="P12" i="7" s="1"/>
  <c r="P4" i="6"/>
  <c r="Q16" i="7" l="1"/>
  <c r="Q28" i="5"/>
  <c r="Q24" i="5" s="1"/>
  <c r="W8" i="8"/>
  <c r="X5" i="8"/>
  <c r="X6" i="8" s="1"/>
  <c r="X5" i="6"/>
  <c r="X6" i="6" s="1"/>
  <c r="W8" i="6"/>
  <c r="S8" i="7"/>
  <c r="T5" i="7"/>
  <c r="T6" i="5"/>
  <c r="T4" i="5"/>
  <c r="T26" i="5" s="1"/>
  <c r="AC7" i="5"/>
  <c r="AC25" i="5" s="1"/>
  <c r="AA8" i="9"/>
  <c r="AB5" i="9"/>
  <c r="AB6" i="9" s="1"/>
  <c r="X9" i="4"/>
  <c r="W94" i="4"/>
  <c r="P19" i="4"/>
  <c r="P13" i="7" s="1"/>
  <c r="V33" i="8"/>
  <c r="V50" i="8" s="1"/>
  <c r="Q4" i="8"/>
  <c r="Q17" i="4"/>
  <c r="Q10" i="4"/>
  <c r="R33" i="5" l="1"/>
  <c r="R16" i="7" s="1"/>
  <c r="Q22" i="7"/>
  <c r="Y5" i="6"/>
  <c r="Y6" i="6" s="1"/>
  <c r="X8" i="6"/>
  <c r="Y5" i="8"/>
  <c r="Y6" i="8" s="1"/>
  <c r="X8" i="8"/>
  <c r="T6" i="7"/>
  <c r="T4" i="7"/>
  <c r="T8" i="5"/>
  <c r="T27" i="5" s="1"/>
  <c r="U5" i="5"/>
  <c r="AD7" i="5"/>
  <c r="AD25" i="5" s="1"/>
  <c r="AC5" i="9"/>
  <c r="AC6" i="9" s="1"/>
  <c r="AB8" i="9"/>
  <c r="W33" i="8"/>
  <c r="W50" i="8" s="1"/>
  <c r="Y9" i="4"/>
  <c r="X94" i="4"/>
  <c r="R31" i="4"/>
  <c r="R16" i="5" s="1"/>
  <c r="R6" i="4"/>
  <c r="Q4" i="6"/>
  <c r="Q18" i="4"/>
  <c r="Q12" i="7" s="1"/>
  <c r="R4" i="9"/>
  <c r="Z5" i="6" l="1"/>
  <c r="Z6" i="6" s="1"/>
  <c r="Y8" i="6"/>
  <c r="R28" i="5"/>
  <c r="R24" i="5" s="1"/>
  <c r="Y8" i="8"/>
  <c r="Z5" i="8"/>
  <c r="Z6" i="8" s="1"/>
  <c r="T8" i="7"/>
  <c r="U5" i="7"/>
  <c r="U6" i="5"/>
  <c r="U4" i="5"/>
  <c r="U26" i="5" s="1"/>
  <c r="AE7" i="5"/>
  <c r="AE25" i="5" s="1"/>
  <c r="AD5" i="9"/>
  <c r="AD6" i="9" s="1"/>
  <c r="AC8" i="9"/>
  <c r="Y94" i="4"/>
  <c r="Z9" i="4"/>
  <c r="X33" i="8"/>
  <c r="X50" i="8" s="1"/>
  <c r="Q19" i="4"/>
  <c r="Q13" i="7" s="1"/>
  <c r="R10" i="4"/>
  <c r="R4" i="8"/>
  <c r="R17" i="4"/>
  <c r="S33" i="5" l="1"/>
  <c r="S16" i="7" s="1"/>
  <c r="R22" i="7"/>
  <c r="Z8" i="8"/>
  <c r="AA5" i="8"/>
  <c r="AA6" i="8" s="1"/>
  <c r="Z8" i="6"/>
  <c r="AA5" i="6"/>
  <c r="AA6" i="6" s="1"/>
  <c r="U6" i="7"/>
  <c r="U4" i="7"/>
  <c r="AF7" i="5"/>
  <c r="AF25" i="5" s="1"/>
  <c r="U8" i="5"/>
  <c r="U27" i="5" s="1"/>
  <c r="V5" i="5"/>
  <c r="AD8" i="9"/>
  <c r="AE5" i="9"/>
  <c r="AE6" i="9" s="1"/>
  <c r="Y33" i="8"/>
  <c r="Y50" i="8" s="1"/>
  <c r="AA9" i="4"/>
  <c r="Z94" i="4"/>
  <c r="R18" i="4"/>
  <c r="R12" i="7" s="1"/>
  <c r="S31" i="4"/>
  <c r="S16" i="5" s="1"/>
  <c r="S6" i="4"/>
  <c r="R4" i="6"/>
  <c r="S4" i="9"/>
  <c r="AB5" i="8" l="1"/>
  <c r="AB6" i="8" s="1"/>
  <c r="AA8" i="8"/>
  <c r="AA8" i="6"/>
  <c r="AB5" i="6"/>
  <c r="AB6" i="6" s="1"/>
  <c r="S28" i="5"/>
  <c r="S24" i="5" s="1"/>
  <c r="U8" i="7"/>
  <c r="V5" i="7"/>
  <c r="V6" i="5"/>
  <c r="V4" i="5"/>
  <c r="V26" i="5" s="1"/>
  <c r="AG7" i="5"/>
  <c r="AG25" i="5" s="1"/>
  <c r="AF5" i="9"/>
  <c r="AF6" i="9" s="1"/>
  <c r="AE8" i="9"/>
  <c r="R19" i="4"/>
  <c r="R13" i="7" s="1"/>
  <c r="AA94" i="4"/>
  <c r="AB9" i="4"/>
  <c r="Z33" i="8"/>
  <c r="Z50" i="8" s="1"/>
  <c r="S4" i="8"/>
  <c r="S17" i="4"/>
  <c r="S10" i="4"/>
  <c r="T33" i="5" l="1"/>
  <c r="T16" i="7" s="1"/>
  <c r="S22" i="7"/>
  <c r="AC5" i="8"/>
  <c r="AC6" i="8" s="1"/>
  <c r="AB8" i="8"/>
  <c r="AC5" i="6"/>
  <c r="AC6" i="6" s="1"/>
  <c r="AB8" i="6"/>
  <c r="V6" i="7"/>
  <c r="V4" i="7"/>
  <c r="AH7" i="5"/>
  <c r="AH25" i="5" s="1"/>
  <c r="V8" i="5"/>
  <c r="V27" i="5" s="1"/>
  <c r="W5" i="5"/>
  <c r="AG5" i="9"/>
  <c r="AG6" i="9" s="1"/>
  <c r="AF8" i="9"/>
  <c r="AC9" i="4"/>
  <c r="AB94" i="4"/>
  <c r="AA33" i="8"/>
  <c r="AA50" i="8" s="1"/>
  <c r="T4" i="9"/>
  <c r="S18" i="4"/>
  <c r="S12" i="7" s="1"/>
  <c r="S4" i="6"/>
  <c r="T6" i="4"/>
  <c r="T31" i="4"/>
  <c r="T16" i="5" s="1"/>
  <c r="AC8" i="8" l="1"/>
  <c r="AD5" i="8"/>
  <c r="AD6" i="8" s="1"/>
  <c r="T28" i="5"/>
  <c r="T24" i="5" s="1"/>
  <c r="AD5" i="6"/>
  <c r="AD6" i="6" s="1"/>
  <c r="AC8" i="6"/>
  <c r="W5" i="7"/>
  <c r="V8" i="7"/>
  <c r="W6" i="5"/>
  <c r="W4" i="5"/>
  <c r="W26" i="5" s="1"/>
  <c r="AI7" i="5"/>
  <c r="AI25" i="5" s="1"/>
  <c r="AH5" i="9"/>
  <c r="AH6" i="9" s="1"/>
  <c r="AG8" i="9"/>
  <c r="AD9" i="4"/>
  <c r="AC94" i="4"/>
  <c r="AB33" i="8"/>
  <c r="AB50" i="8" s="1"/>
  <c r="T10" i="4"/>
  <c r="S19" i="4"/>
  <c r="S13" i="7" s="1"/>
  <c r="T17" i="4"/>
  <c r="T4" i="8"/>
  <c r="AD8" i="8" l="1"/>
  <c r="AE5" i="8"/>
  <c r="AE6" i="8" s="1"/>
  <c r="AD8" i="6"/>
  <c r="AE5" i="6"/>
  <c r="AE6" i="6" s="1"/>
  <c r="U33" i="5"/>
  <c r="U16" i="7" s="1"/>
  <c r="T22" i="7"/>
  <c r="W6" i="7"/>
  <c r="W4" i="7"/>
  <c r="AJ7" i="5"/>
  <c r="AJ25" i="5" s="1"/>
  <c r="W8" i="5"/>
  <c r="W27" i="5" s="1"/>
  <c r="W28" i="5" s="1"/>
  <c r="W24" i="5" s="1"/>
  <c r="X5" i="5"/>
  <c r="AH8" i="9"/>
  <c r="AI5" i="9"/>
  <c r="AI6" i="9" s="1"/>
  <c r="AE9" i="4"/>
  <c r="AD94" i="4"/>
  <c r="AC33" i="8"/>
  <c r="AC50" i="8" s="1"/>
  <c r="U4" i="9"/>
  <c r="U6" i="4"/>
  <c r="U31" i="4"/>
  <c r="U16" i="5" s="1"/>
  <c r="T4" i="6"/>
  <c r="T18" i="4"/>
  <c r="T12" i="7" s="1"/>
  <c r="W22" i="7" l="1"/>
  <c r="U28" i="5"/>
  <c r="U24" i="5" s="1"/>
  <c r="AF5" i="6"/>
  <c r="AF6" i="6" s="1"/>
  <c r="AE8" i="6"/>
  <c r="AE8" i="8"/>
  <c r="AF5" i="8"/>
  <c r="AF6" i="8" s="1"/>
  <c r="W8" i="7"/>
  <c r="X5" i="7"/>
  <c r="X6" i="5"/>
  <c r="X4" i="5"/>
  <c r="X26" i="5" s="1"/>
  <c r="AK7" i="5"/>
  <c r="AK25" i="5" s="1"/>
  <c r="AI8" i="9"/>
  <c r="AJ5" i="9"/>
  <c r="AJ6" i="9" s="1"/>
  <c r="AD33" i="8"/>
  <c r="AD50" i="8" s="1"/>
  <c r="AE94" i="4"/>
  <c r="AF9" i="4"/>
  <c r="T19" i="4"/>
  <c r="T13" i="7" s="1"/>
  <c r="U10" i="4"/>
  <c r="U4" i="8"/>
  <c r="U17" i="4"/>
  <c r="V33" i="5" l="1"/>
  <c r="V16" i="7" s="1"/>
  <c r="U22" i="7"/>
  <c r="AF8" i="8"/>
  <c r="AG5" i="8"/>
  <c r="AG6" i="8" s="1"/>
  <c r="AG5" i="6"/>
  <c r="AG6" i="6" s="1"/>
  <c r="AF8" i="6"/>
  <c r="X6" i="7"/>
  <c r="X4" i="7"/>
  <c r="AL7" i="5"/>
  <c r="AL25" i="5" s="1"/>
  <c r="X8" i="5"/>
  <c r="X27" i="5" s="1"/>
  <c r="X28" i="5" s="1"/>
  <c r="X24" i="5" s="1"/>
  <c r="Y5" i="5"/>
  <c r="AK5" i="9"/>
  <c r="AK6" i="9" s="1"/>
  <c r="AJ8" i="9"/>
  <c r="U18" i="4"/>
  <c r="U12" i="7" s="1"/>
  <c r="AG9" i="4"/>
  <c r="AF94" i="4"/>
  <c r="AE33" i="8"/>
  <c r="AE50" i="8" s="1"/>
  <c r="V31" i="4"/>
  <c r="V16" i="5" s="1"/>
  <c r="V28" i="5" s="1"/>
  <c r="V24" i="5" s="1"/>
  <c r="X33" i="5" s="1"/>
  <c r="X16" i="7" s="1"/>
  <c r="V6" i="4"/>
  <c r="U4" i="6"/>
  <c r="V4" i="9"/>
  <c r="Y33" i="5" l="1"/>
  <c r="Y16" i="7" s="1"/>
  <c r="X22" i="7"/>
  <c r="AG8" i="8"/>
  <c r="AH5" i="8"/>
  <c r="AH6" i="8" s="1"/>
  <c r="W33" i="5"/>
  <c r="V22" i="7"/>
  <c r="AH5" i="6"/>
  <c r="AH6" i="6" s="1"/>
  <c r="AG8" i="6"/>
  <c r="X8" i="7"/>
  <c r="Y5" i="7"/>
  <c r="Y6" i="5"/>
  <c r="Y4" i="5"/>
  <c r="Y26" i="5" s="1"/>
  <c r="AM7" i="5"/>
  <c r="AM25" i="5" s="1"/>
  <c r="AL5" i="9"/>
  <c r="AL6" i="9" s="1"/>
  <c r="AK8" i="9"/>
  <c r="U19" i="4"/>
  <c r="U13" i="7" s="1"/>
  <c r="AF33" i="8"/>
  <c r="AF50" i="8" s="1"/>
  <c r="AG94" i="4"/>
  <c r="AH9" i="4"/>
  <c r="V4" i="8"/>
  <c r="V17" i="4"/>
  <c r="V10" i="4"/>
  <c r="W16" i="7" l="1"/>
  <c r="AH8" i="8"/>
  <c r="AI5" i="8"/>
  <c r="AI6" i="8" s="1"/>
  <c r="AH8" i="6"/>
  <c r="AI5" i="6"/>
  <c r="AI6" i="6" s="1"/>
  <c r="Y6" i="7"/>
  <c r="Y4" i="7"/>
  <c r="AN7" i="5"/>
  <c r="AN25" i="5" s="1"/>
  <c r="Y8" i="5"/>
  <c r="Y27" i="5" s="1"/>
  <c r="Y28" i="5" s="1"/>
  <c r="Y24" i="5" s="1"/>
  <c r="Z5" i="5"/>
  <c r="AL8" i="9"/>
  <c r="AM5" i="9"/>
  <c r="AM6" i="9" s="1"/>
  <c r="AG33" i="8"/>
  <c r="AG50" i="8" s="1"/>
  <c r="AH94" i="4"/>
  <c r="AI9" i="4"/>
  <c r="V4" i="6"/>
  <c r="W6" i="4"/>
  <c r="W4" i="9"/>
  <c r="V18" i="4"/>
  <c r="V12" i="7" s="1"/>
  <c r="Z33" i="5" l="1"/>
  <c r="Y22" i="7"/>
  <c r="AI8" i="6"/>
  <c r="AJ5" i="6"/>
  <c r="AJ6" i="6" s="1"/>
  <c r="AJ5" i="8"/>
  <c r="AJ6" i="8" s="1"/>
  <c r="AI8" i="8"/>
  <c r="Z5" i="7"/>
  <c r="Y8" i="7"/>
  <c r="Z6" i="5"/>
  <c r="Z4" i="5"/>
  <c r="Z26" i="5" s="1"/>
  <c r="AO7" i="5"/>
  <c r="AO25" i="5" s="1"/>
  <c r="AM8" i="9"/>
  <c r="AN5" i="9"/>
  <c r="AN6" i="9" s="1"/>
  <c r="AH33" i="8"/>
  <c r="AH50" i="8" s="1"/>
  <c r="AJ9" i="4"/>
  <c r="AI94" i="4"/>
  <c r="W10" i="4"/>
  <c r="T19" i="8"/>
  <c r="Q19" i="8"/>
  <c r="P19" i="8"/>
  <c r="O19" i="8"/>
  <c r="Q13" i="8"/>
  <c r="V19" i="4"/>
  <c r="V13" i="7" s="1"/>
  <c r="U19" i="8"/>
  <c r="N19" i="8"/>
  <c r="V19" i="8"/>
  <c r="W4" i="8"/>
  <c r="W17" i="4"/>
  <c r="R19" i="8"/>
  <c r="S19" i="8"/>
  <c r="Z16" i="7" l="1"/>
  <c r="AK5" i="8"/>
  <c r="AK6" i="8" s="1"/>
  <c r="AJ8" i="8"/>
  <c r="AK5" i="6"/>
  <c r="AK6" i="6" s="1"/>
  <c r="AJ8" i="6"/>
  <c r="Z4" i="7"/>
  <c r="Z6" i="7"/>
  <c r="AP7" i="5"/>
  <c r="AP25" i="5" s="1"/>
  <c r="Z8" i="5"/>
  <c r="Z27" i="5" s="1"/>
  <c r="Z28" i="5" s="1"/>
  <c r="Z24" i="5" s="1"/>
  <c r="AA5" i="5"/>
  <c r="AO5" i="9"/>
  <c r="AO6" i="9" s="1"/>
  <c r="AN8" i="9"/>
  <c r="W18" i="4"/>
  <c r="W12" i="7" s="1"/>
  <c r="U13" i="8"/>
  <c r="X13" i="8"/>
  <c r="W13" i="8"/>
  <c r="V13" i="8"/>
  <c r="R13" i="8"/>
  <c r="S13" i="8"/>
  <c r="T13" i="8"/>
  <c r="C11" i="12" a="1"/>
  <c r="AI33" i="8"/>
  <c r="AI50" i="8" s="1"/>
  <c r="AJ94" i="4"/>
  <c r="AK9" i="4"/>
  <c r="P13" i="8"/>
  <c r="X4" i="9"/>
  <c r="W4" i="6"/>
  <c r="X6" i="4"/>
  <c r="AL5" i="6" l="1"/>
  <c r="AL6" i="6" s="1"/>
  <c r="AK8" i="6"/>
  <c r="AA33" i="5"/>
  <c r="Z22" i="7"/>
  <c r="AL5" i="8"/>
  <c r="AL6" i="8" s="1"/>
  <c r="AK8" i="8"/>
  <c r="AA5" i="7"/>
  <c r="Z8" i="7"/>
  <c r="AA6" i="5"/>
  <c r="AA4" i="5"/>
  <c r="AA26" i="5" s="1"/>
  <c r="AQ7" i="5"/>
  <c r="AQ25" i="5" s="1"/>
  <c r="AP5" i="9"/>
  <c r="AP6" i="9" s="1"/>
  <c r="AO8" i="9"/>
  <c r="W19" i="4"/>
  <c r="W13" i="7" s="1"/>
  <c r="W19" i="8"/>
  <c r="C11" i="12"/>
  <c r="AJ33" i="8"/>
  <c r="AJ50" i="8" s="1"/>
  <c r="AL9" i="4"/>
  <c r="AK94" i="4"/>
  <c r="X4" i="8"/>
  <c r="Y13" i="8"/>
  <c r="X17" i="4"/>
  <c r="X10" i="4"/>
  <c r="AA16" i="7" l="1"/>
  <c r="AM5" i="8"/>
  <c r="AM6" i="8" s="1"/>
  <c r="AL8" i="8"/>
  <c r="AL8" i="6"/>
  <c r="AM5" i="6"/>
  <c r="AM6" i="6" s="1"/>
  <c r="AA6" i="7"/>
  <c r="AA4" i="7"/>
  <c r="AR7" i="5"/>
  <c r="AR25" i="5" s="1"/>
  <c r="AB5" i="5"/>
  <c r="AA8" i="5"/>
  <c r="AA27" i="5" s="1"/>
  <c r="AA28" i="5" s="1"/>
  <c r="AA24" i="5" s="1"/>
  <c r="AP8" i="9"/>
  <c r="AQ5" i="9"/>
  <c r="AQ6" i="9" s="1"/>
  <c r="X19" i="8"/>
  <c r="AK33" i="8"/>
  <c r="AK50" i="8" s="1"/>
  <c r="AM9" i="4"/>
  <c r="AL94" i="4"/>
  <c r="X4" i="6"/>
  <c r="Y6" i="4"/>
  <c r="Y4" i="9"/>
  <c r="X18" i="4"/>
  <c r="X12" i="7" s="1"/>
  <c r="AN5" i="6" l="1"/>
  <c r="AN6" i="6" s="1"/>
  <c r="AM8" i="6"/>
  <c r="AB33" i="5"/>
  <c r="AA22" i="7"/>
  <c r="AM8" i="8"/>
  <c r="AN5" i="8"/>
  <c r="AN6" i="8" s="1"/>
  <c r="AA8" i="7"/>
  <c r="AB5" i="7"/>
  <c r="AB6" i="5"/>
  <c r="AB4" i="5"/>
  <c r="AB26" i="5" s="1"/>
  <c r="AS7" i="5"/>
  <c r="AS25" i="5" s="1"/>
  <c r="AR5" i="9"/>
  <c r="AR6" i="9" s="1"/>
  <c r="AQ8" i="9"/>
  <c r="AM94" i="4"/>
  <c r="AN9" i="4"/>
  <c r="AL33" i="8"/>
  <c r="AL50" i="8" s="1"/>
  <c r="Z13" i="8"/>
  <c r="Y17" i="4"/>
  <c r="Y10" i="4"/>
  <c r="X19" i="4"/>
  <c r="X13" i="7" s="1"/>
  <c r="Y4" i="8"/>
  <c r="AB16" i="7" l="1"/>
  <c r="AO5" i="8"/>
  <c r="AO6" i="8" s="1"/>
  <c r="AN8" i="8"/>
  <c r="AO5" i="6"/>
  <c r="AO6" i="6" s="1"/>
  <c r="AN8" i="6"/>
  <c r="AB6" i="7"/>
  <c r="AB4" i="7"/>
  <c r="AT7" i="5"/>
  <c r="AT25" i="5" s="1"/>
  <c r="AB8" i="5"/>
  <c r="AB27" i="5" s="1"/>
  <c r="AB28" i="5" s="1"/>
  <c r="AB24" i="5" s="1"/>
  <c r="AC5" i="5"/>
  <c r="AS5" i="9"/>
  <c r="AS6" i="9" s="1"/>
  <c r="AR8" i="9"/>
  <c r="Y19" i="8"/>
  <c r="AM33" i="8"/>
  <c r="AM50" i="8" s="1"/>
  <c r="AN94" i="4"/>
  <c r="AO9" i="4"/>
  <c r="Y4" i="6"/>
  <c r="Z6" i="4"/>
  <c r="Z4" i="9"/>
  <c r="Y18" i="4"/>
  <c r="Y12" i="7" s="1"/>
  <c r="AP5" i="6" l="1"/>
  <c r="AP6" i="6" s="1"/>
  <c r="AO8" i="6"/>
  <c r="AC33" i="5"/>
  <c r="AB22" i="7"/>
  <c r="AP5" i="8"/>
  <c r="AP6" i="8" s="1"/>
  <c r="AO8" i="8"/>
  <c r="AB8" i="7"/>
  <c r="AC5" i="7"/>
  <c r="AC6" i="5"/>
  <c r="AC4" i="5"/>
  <c r="AC26" i="5" s="1"/>
  <c r="AT5" i="9"/>
  <c r="AT6" i="9" s="1"/>
  <c r="AT8" i="9" s="1"/>
  <c r="AS8" i="9"/>
  <c r="AO94" i="4"/>
  <c r="AP9" i="4"/>
  <c r="AN33" i="8"/>
  <c r="AN50" i="8" s="1"/>
  <c r="Z17" i="4"/>
  <c r="Z10" i="4"/>
  <c r="Z4" i="8"/>
  <c r="Y19" i="4"/>
  <c r="Y13" i="7" s="1"/>
  <c r="AC16" i="7" l="1"/>
  <c r="AP8" i="8"/>
  <c r="AQ5" i="8"/>
  <c r="AQ6" i="8" s="1"/>
  <c r="AP8" i="6"/>
  <c r="AQ5" i="6"/>
  <c r="AQ6" i="6" s="1"/>
  <c r="AC6" i="7"/>
  <c r="AC4" i="7"/>
  <c r="AC8" i="5"/>
  <c r="AC27" i="5" s="1"/>
  <c r="AC28" i="5" s="1"/>
  <c r="AC24" i="5" s="1"/>
  <c r="AD5" i="5"/>
  <c r="AA13" i="8"/>
  <c r="AO33" i="8"/>
  <c r="AO50" i="8" s="1"/>
  <c r="AP94" i="4"/>
  <c r="AQ9" i="4"/>
  <c r="Z19" i="8"/>
  <c r="AA6" i="4"/>
  <c r="Z4" i="6"/>
  <c r="AA4" i="9"/>
  <c r="Z18" i="4"/>
  <c r="Z12" i="7" s="1"/>
  <c r="AD33" i="5" l="1"/>
  <c r="AD16" i="7" s="1"/>
  <c r="AC22" i="7"/>
  <c r="AQ8" i="8"/>
  <c r="AR5" i="8"/>
  <c r="AR6" i="8" s="1"/>
  <c r="AQ8" i="6"/>
  <c r="AR5" i="6"/>
  <c r="AR6" i="6" s="1"/>
  <c r="AC8" i="7"/>
  <c r="AD5" i="7"/>
  <c r="AD6" i="5"/>
  <c r="AD4" i="5"/>
  <c r="AD26" i="5" s="1"/>
  <c r="AP33" i="8"/>
  <c r="AP50" i="8" s="1"/>
  <c r="AQ94" i="4"/>
  <c r="AR9" i="4"/>
  <c r="Z19" i="4"/>
  <c r="Z13" i="7" s="1"/>
  <c r="AA4" i="8"/>
  <c r="AA17" i="4"/>
  <c r="AA10" i="4"/>
  <c r="AS5" i="8" l="1"/>
  <c r="AS6" i="8" s="1"/>
  <c r="AR8" i="8"/>
  <c r="AR8" i="6"/>
  <c r="AS5" i="6"/>
  <c r="AS6" i="6" s="1"/>
  <c r="AD4" i="7"/>
  <c r="AD6" i="7"/>
  <c r="AD8" i="5"/>
  <c r="AD27" i="5" s="1"/>
  <c r="AD28" i="5" s="1"/>
  <c r="AD24" i="5" s="1"/>
  <c r="AE5" i="5"/>
  <c r="AB13" i="8"/>
  <c r="AQ33" i="8"/>
  <c r="AQ50" i="8" s="1"/>
  <c r="AR94" i="4"/>
  <c r="AS9" i="4"/>
  <c r="AB6" i="4"/>
  <c r="AB4" i="9"/>
  <c r="AA4" i="6"/>
  <c r="AA18" i="4"/>
  <c r="AA12" i="7" s="1"/>
  <c r="AE33" i="5" l="1"/>
  <c r="AE16" i="7" s="1"/>
  <c r="AD22" i="7"/>
  <c r="AS8" i="6"/>
  <c r="AT5" i="6"/>
  <c r="AT6" i="6" s="1"/>
  <c r="AT8" i="6" s="1"/>
  <c r="AT5" i="8"/>
  <c r="AT6" i="8" s="1"/>
  <c r="AT8" i="8" s="1"/>
  <c r="AS8" i="8"/>
  <c r="AE5" i="7"/>
  <c r="AD8" i="7"/>
  <c r="AE6" i="5"/>
  <c r="AE4" i="5"/>
  <c r="AE26" i="5" s="1"/>
  <c r="AT9" i="4"/>
  <c r="AS94" i="4"/>
  <c r="AR33" i="8"/>
  <c r="AR50" i="8" s="1"/>
  <c r="AB4" i="8"/>
  <c r="AB17" i="4"/>
  <c r="AB10" i="4"/>
  <c r="AA19" i="4"/>
  <c r="AA13" i="7" s="1"/>
  <c r="AA19" i="8"/>
  <c r="AE6" i="7" l="1"/>
  <c r="AE4" i="7"/>
  <c r="AE8" i="5"/>
  <c r="AE27" i="5" s="1"/>
  <c r="AE28" i="5" s="1"/>
  <c r="AE24" i="5" s="1"/>
  <c r="AF5" i="5"/>
  <c r="AC13" i="8"/>
  <c r="AS33" i="8"/>
  <c r="AS50" i="8" s="1"/>
  <c r="AB18" i="4"/>
  <c r="AB12" i="7" s="1"/>
  <c r="AT94" i="4"/>
  <c r="AC6" i="4"/>
  <c r="AB4" i="6"/>
  <c r="AC4" i="9"/>
  <c r="AF33" i="5" l="1"/>
  <c r="AF16" i="7" s="1"/>
  <c r="AE22" i="7"/>
  <c r="AE8" i="7"/>
  <c r="AF5" i="7"/>
  <c r="AF6" i="5"/>
  <c r="AF4" i="5"/>
  <c r="AF26" i="5" s="1"/>
  <c r="AB19" i="4"/>
  <c r="AB13" i="7" s="1"/>
  <c r="AT33" i="8"/>
  <c r="AT50" i="8" s="1"/>
  <c r="AC10" i="4"/>
  <c r="AC4" i="8"/>
  <c r="AB19" i="8"/>
  <c r="AC17" i="4"/>
  <c r="AF6" i="7" l="1"/>
  <c r="AF4" i="7"/>
  <c r="AF8" i="5"/>
  <c r="AF27" i="5" s="1"/>
  <c r="AF28" i="5" s="1"/>
  <c r="AF24" i="5" s="1"/>
  <c r="AG5" i="5"/>
  <c r="AC18" i="4"/>
  <c r="AC12" i="7" s="1"/>
  <c r="AD13" i="8"/>
  <c r="AC19" i="8"/>
  <c r="AD4" i="9"/>
  <c r="AD6" i="4"/>
  <c r="AC4" i="6"/>
  <c r="AG33" i="5" l="1"/>
  <c r="AG16" i="7" s="1"/>
  <c r="AF22" i="7"/>
  <c r="AF8" i="7"/>
  <c r="AG5" i="7"/>
  <c r="AG6" i="5"/>
  <c r="AG4" i="5"/>
  <c r="AG26" i="5" s="1"/>
  <c r="AC19" i="4"/>
  <c r="AC13" i="7" s="1"/>
  <c r="AD17" i="4"/>
  <c r="AD10" i="4"/>
  <c r="AD4" i="8"/>
  <c r="AG6" i="7" l="1"/>
  <c r="AG4" i="7"/>
  <c r="AG8" i="5"/>
  <c r="AG27" i="5" s="1"/>
  <c r="AG28" i="5" s="1"/>
  <c r="AG24" i="5" s="1"/>
  <c r="AH5" i="5"/>
  <c r="AE13" i="8"/>
  <c r="AD4" i="6"/>
  <c r="AD18" i="4"/>
  <c r="AD12" i="7" s="1"/>
  <c r="AE4" i="9"/>
  <c r="AE6" i="4"/>
  <c r="AH33" i="5" l="1"/>
  <c r="AH16" i="7" s="1"/>
  <c r="AG22" i="7"/>
  <c r="AH5" i="7"/>
  <c r="AG8" i="7"/>
  <c r="AH6" i="5"/>
  <c r="AH4" i="5"/>
  <c r="AH26" i="5" s="1"/>
  <c r="AE17" i="4"/>
  <c r="AD19" i="4"/>
  <c r="AD13" i="7" s="1"/>
  <c r="AE10" i="4"/>
  <c r="AE4" i="8"/>
  <c r="AD19" i="8"/>
  <c r="AH4" i="7" l="1"/>
  <c r="AH6" i="7"/>
  <c r="AH8" i="5"/>
  <c r="AH27" i="5" s="1"/>
  <c r="AH28" i="5" s="1"/>
  <c r="AH24" i="5" s="1"/>
  <c r="AI5" i="5"/>
  <c r="AF13" i="8"/>
  <c r="AE18" i="4"/>
  <c r="AE12" i="7" s="1"/>
  <c r="AE4" i="6"/>
  <c r="AF6" i="4"/>
  <c r="AF4" i="9"/>
  <c r="AI33" i="5" l="1"/>
  <c r="AI16" i="7" s="1"/>
  <c r="AH22" i="7"/>
  <c r="AI5" i="7"/>
  <c r="AH8" i="7"/>
  <c r="AI6" i="5"/>
  <c r="AI4" i="5"/>
  <c r="AI26" i="5" s="1"/>
  <c r="AE19" i="4"/>
  <c r="AE13" i="7" s="1"/>
  <c r="AF4" i="8"/>
  <c r="AF17" i="4"/>
  <c r="AF10" i="4"/>
  <c r="AE19" i="8"/>
  <c r="AI6" i="7" l="1"/>
  <c r="AI4" i="7"/>
  <c r="AI8" i="5"/>
  <c r="AI27" i="5" s="1"/>
  <c r="AI28" i="5" s="1"/>
  <c r="AI24" i="5" s="1"/>
  <c r="AJ5" i="5"/>
  <c r="AG13" i="8"/>
  <c r="AF19" i="8"/>
  <c r="AF18" i="4"/>
  <c r="AF12" i="7" s="1"/>
  <c r="AG6" i="4"/>
  <c r="AG4" i="9"/>
  <c r="AF4" i="6"/>
  <c r="AJ33" i="5" l="1"/>
  <c r="AJ16" i="7" s="1"/>
  <c r="AI22" i="7"/>
  <c r="AI8" i="7"/>
  <c r="AJ5" i="7"/>
  <c r="AJ6" i="5"/>
  <c r="AJ4" i="5"/>
  <c r="AJ26" i="5" s="1"/>
  <c r="AF19" i="4"/>
  <c r="AF13" i="7" s="1"/>
  <c r="AG4" i="8"/>
  <c r="AG17" i="4"/>
  <c r="AG10" i="4"/>
  <c r="AJ6" i="7" l="1"/>
  <c r="AJ4" i="7"/>
  <c r="AJ8" i="5"/>
  <c r="AJ27" i="5" s="1"/>
  <c r="AJ28" i="5" s="1"/>
  <c r="AJ24" i="5" s="1"/>
  <c r="AK5" i="5"/>
  <c r="AH13" i="8"/>
  <c r="AG4" i="6"/>
  <c r="AH6" i="4"/>
  <c r="AG18" i="4"/>
  <c r="AG12" i="7" s="1"/>
  <c r="AH4" i="9"/>
  <c r="AK33" i="5" l="1"/>
  <c r="AK16" i="7" s="1"/>
  <c r="AJ22" i="7"/>
  <c r="AJ8" i="7"/>
  <c r="AK5" i="7"/>
  <c r="AK6" i="5"/>
  <c r="AK4" i="5"/>
  <c r="AK26" i="5" s="1"/>
  <c r="AH10" i="4"/>
  <c r="AG19" i="8"/>
  <c r="AH17" i="4"/>
  <c r="AH4" i="8"/>
  <c r="AG19" i="4"/>
  <c r="AG13" i="7" s="1"/>
  <c r="AK6" i="7" l="1"/>
  <c r="AK4" i="7"/>
  <c r="AK8" i="5"/>
  <c r="AK27" i="5" s="1"/>
  <c r="AK28" i="5" s="1"/>
  <c r="AK24" i="5" s="1"/>
  <c r="AL5" i="5"/>
  <c r="AH18" i="4"/>
  <c r="AH12" i="7" s="1"/>
  <c r="AI13" i="8"/>
  <c r="AH4" i="6"/>
  <c r="AI4" i="9"/>
  <c r="AI6" i="4"/>
  <c r="AL33" i="5" l="1"/>
  <c r="AL16" i="7" s="1"/>
  <c r="AK22" i="7"/>
  <c r="AK8" i="7"/>
  <c r="AL5" i="7"/>
  <c r="AL4" i="5"/>
  <c r="AL26" i="5" s="1"/>
  <c r="AL6" i="5"/>
  <c r="AH19" i="4"/>
  <c r="AH13" i="7" s="1"/>
  <c r="AI10" i="4"/>
  <c r="AI17" i="4"/>
  <c r="AH19" i="8"/>
  <c r="AI4" i="8"/>
  <c r="AI18" i="4" l="1"/>
  <c r="AI12" i="7" s="1"/>
  <c r="AL6" i="7"/>
  <c r="AL4" i="7"/>
  <c r="AL8" i="5"/>
  <c r="AL27" i="5" s="1"/>
  <c r="AL28" i="5" s="1"/>
  <c r="AL24" i="5" s="1"/>
  <c r="AM5" i="5"/>
  <c r="AJ13" i="8"/>
  <c r="AI4" i="6"/>
  <c r="AJ4" i="9"/>
  <c r="AJ6" i="4"/>
  <c r="AI19" i="4" l="1"/>
  <c r="AI13" i="7" s="1"/>
  <c r="AM33" i="5"/>
  <c r="AM16" i="7" s="1"/>
  <c r="AL22" i="7"/>
  <c r="AM5" i="7"/>
  <c r="AL8" i="7"/>
  <c r="AM6" i="5"/>
  <c r="AM4" i="5"/>
  <c r="AM26" i="5" s="1"/>
  <c r="AI19" i="8"/>
  <c r="AJ4" i="8"/>
  <c r="AJ17" i="4"/>
  <c r="AJ10" i="4"/>
  <c r="AM6" i="7" l="1"/>
  <c r="AM4" i="7"/>
  <c r="AM8" i="5"/>
  <c r="AM27" i="5" s="1"/>
  <c r="AM28" i="5" s="1"/>
  <c r="AM24" i="5" s="1"/>
  <c r="AN5" i="5"/>
  <c r="AK13" i="8"/>
  <c r="AJ18" i="4"/>
  <c r="AJ12" i="7" s="1"/>
  <c r="AJ4" i="6"/>
  <c r="AK6" i="4"/>
  <c r="AK4" i="9"/>
  <c r="AN33" i="5" l="1"/>
  <c r="AN16" i="7" s="1"/>
  <c r="AM22" i="7"/>
  <c r="AM8" i="7"/>
  <c r="AN5" i="7"/>
  <c r="AN6" i="5"/>
  <c r="AN4" i="5"/>
  <c r="AN26" i="5" s="1"/>
  <c r="AJ19" i="8"/>
  <c r="AJ19" i="4"/>
  <c r="AJ13" i="7" s="1"/>
  <c r="AK17" i="4"/>
  <c r="AK10" i="4"/>
  <c r="AK4" i="8"/>
  <c r="AL13" i="8"/>
  <c r="AN6" i="7" l="1"/>
  <c r="AN4" i="7"/>
  <c r="AN8" i="5"/>
  <c r="AN27" i="5" s="1"/>
  <c r="AN28" i="5" s="1"/>
  <c r="AN24" i="5" s="1"/>
  <c r="AO5" i="5"/>
  <c r="AK18" i="4"/>
  <c r="AK12" i="7" s="1"/>
  <c r="AK19" i="8"/>
  <c r="AL4" i="9"/>
  <c r="AK4" i="6"/>
  <c r="AL6" i="4"/>
  <c r="AO33" i="5" l="1"/>
  <c r="AO16" i="7" s="1"/>
  <c r="AN22" i="7"/>
  <c r="AN8" i="7"/>
  <c r="AO5" i="7"/>
  <c r="AO6" i="5"/>
  <c r="AO4" i="5"/>
  <c r="AO26" i="5" s="1"/>
  <c r="AK19" i="4"/>
  <c r="AK13" i="7" s="1"/>
  <c r="AL17" i="4"/>
  <c r="AL4" i="8"/>
  <c r="AL10" i="4"/>
  <c r="AO6" i="7" l="1"/>
  <c r="AO4" i="7"/>
  <c r="AO8" i="5"/>
  <c r="AO27" i="5" s="1"/>
  <c r="AO28" i="5" s="1"/>
  <c r="AO24" i="5" s="1"/>
  <c r="AP5" i="5"/>
  <c r="AM13" i="8"/>
  <c r="AL19" i="8"/>
  <c r="AL4" i="6"/>
  <c r="AM4" i="9"/>
  <c r="AM6" i="4"/>
  <c r="AL18" i="4"/>
  <c r="AL12" i="7" s="1"/>
  <c r="AP33" i="5" l="1"/>
  <c r="AP16" i="7" s="1"/>
  <c r="AO22" i="7"/>
  <c r="AP5" i="7"/>
  <c r="AO8" i="7"/>
  <c r="AP6" i="5"/>
  <c r="AP4" i="5"/>
  <c r="AP26" i="5" s="1"/>
  <c r="AM17" i="4"/>
  <c r="AM10" i="4"/>
  <c r="AM4" i="8"/>
  <c r="AL19" i="4"/>
  <c r="AL13" i="7" s="1"/>
  <c r="AP4" i="7" l="1"/>
  <c r="AP6" i="7"/>
  <c r="AP8" i="5"/>
  <c r="AP27" i="5" s="1"/>
  <c r="AP28" i="5" s="1"/>
  <c r="AP24" i="5" s="1"/>
  <c r="AQ5" i="5"/>
  <c r="AN13" i="8"/>
  <c r="AM4" i="6"/>
  <c r="AM18" i="4"/>
  <c r="AM12" i="7" s="1"/>
  <c r="AN6" i="4"/>
  <c r="AN4" i="9"/>
  <c r="AQ33" i="5" l="1"/>
  <c r="AQ16" i="7" s="1"/>
  <c r="AP22" i="7"/>
  <c r="AQ5" i="7"/>
  <c r="AP8" i="7"/>
  <c r="AQ6" i="5"/>
  <c r="AQ4" i="5"/>
  <c r="AQ26" i="5" s="1"/>
  <c r="AN10" i="4"/>
  <c r="AN4" i="8"/>
  <c r="AN17" i="4"/>
  <c r="AM19" i="8"/>
  <c r="AM19" i="4"/>
  <c r="AM13" i="7" s="1"/>
  <c r="AN18" i="4" l="1"/>
  <c r="AN12" i="7" s="1"/>
  <c r="AQ6" i="7"/>
  <c r="AQ4" i="7"/>
  <c r="AQ8" i="5"/>
  <c r="AQ27" i="5" s="1"/>
  <c r="AQ28" i="5" s="1"/>
  <c r="AQ24" i="5" s="1"/>
  <c r="AR5" i="5"/>
  <c r="AO13" i="8"/>
  <c r="AN19" i="8"/>
  <c r="AO6" i="4"/>
  <c r="AN4" i="6"/>
  <c r="AO4" i="9"/>
  <c r="AN19" i="4" l="1"/>
  <c r="AN13" i="7" s="1"/>
  <c r="AR33" i="5"/>
  <c r="AR16" i="7" s="1"/>
  <c r="AQ22" i="7"/>
  <c r="AQ8" i="7"/>
  <c r="AR5" i="7"/>
  <c r="AR6" i="5"/>
  <c r="AR4" i="5"/>
  <c r="AR26" i="5" s="1"/>
  <c r="AO4" i="8"/>
  <c r="AO17" i="4"/>
  <c r="AO10" i="4"/>
  <c r="AR6" i="7" l="1"/>
  <c r="AR4" i="7"/>
  <c r="AS5" i="5"/>
  <c r="AR8" i="5"/>
  <c r="AR27" i="5" s="1"/>
  <c r="AR28" i="5" s="1"/>
  <c r="AR24" i="5" s="1"/>
  <c r="AP13" i="8"/>
  <c r="AO19" i="8"/>
  <c r="AO4" i="6"/>
  <c r="AP6" i="4"/>
  <c r="AO18" i="4"/>
  <c r="AO12" i="7" s="1"/>
  <c r="AP4" i="9"/>
  <c r="AS33" i="5" l="1"/>
  <c r="AS16" i="7" s="1"/>
  <c r="AR22" i="7"/>
  <c r="AR8" i="7"/>
  <c r="AS5" i="7"/>
  <c r="AS6" i="5"/>
  <c r="AS4" i="5"/>
  <c r="AS26" i="5" s="1"/>
  <c r="AP17" i="4"/>
  <c r="AP10" i="4"/>
  <c r="AP4" i="8"/>
  <c r="AO19" i="4"/>
  <c r="AO13" i="7" s="1"/>
  <c r="AS6" i="7" l="1"/>
  <c r="AS4" i="7"/>
  <c r="AS8" i="5"/>
  <c r="AS27" i="5" s="1"/>
  <c r="AS28" i="5" s="1"/>
  <c r="AS24" i="5" s="1"/>
  <c r="AT5" i="5"/>
  <c r="AQ13" i="8"/>
  <c r="AP19" i="8"/>
  <c r="AP18" i="4"/>
  <c r="AP12" i="7" s="1"/>
  <c r="AQ6" i="4"/>
  <c r="AQ4" i="9"/>
  <c r="AP4" i="6"/>
  <c r="AT33" i="5" l="1"/>
  <c r="AS22" i="7"/>
  <c r="AS8" i="7"/>
  <c r="AT5" i="7"/>
  <c r="AT4" i="5"/>
  <c r="AT6" i="5"/>
  <c r="AT8" i="5" s="1"/>
  <c r="AP19" i="4"/>
  <c r="AP13" i="7" s="1"/>
  <c r="AQ17" i="4"/>
  <c r="AQ4" i="8"/>
  <c r="AQ10" i="4"/>
  <c r="K34" i="5" l="1"/>
  <c r="L34" i="5"/>
  <c r="AT16" i="7"/>
  <c r="AT4" i="7"/>
  <c r="AT6" i="7"/>
  <c r="AT8" i="7" s="1"/>
  <c r="AT26" i="5"/>
  <c r="AT27" i="5" s="1"/>
  <c r="AT28" i="5" s="1"/>
  <c r="AT24" i="5" s="1"/>
  <c r="AT22" i="7" s="1"/>
  <c r="M34" i="5"/>
  <c r="AR13" i="8"/>
  <c r="AQ18" i="4"/>
  <c r="AQ12" i="7" s="1"/>
  <c r="AR6" i="4"/>
  <c r="AQ4" i="6"/>
  <c r="AR4" i="9"/>
  <c r="AQ19" i="8" l="1"/>
  <c r="AQ19" i="4"/>
  <c r="AQ13" i="7" s="1"/>
  <c r="AR17" i="4"/>
  <c r="AR4" i="8"/>
  <c r="AR10" i="4"/>
  <c r="AS13" i="8" l="1"/>
  <c r="AR19" i="8"/>
  <c r="AS6" i="4"/>
  <c r="AR4" i="6"/>
  <c r="AS4" i="9"/>
  <c r="AR18" i="4"/>
  <c r="AR12" i="7" s="1"/>
  <c r="AT13" i="8" l="1"/>
  <c r="AS4" i="8"/>
  <c r="AS17" i="4"/>
  <c r="AR19" i="4"/>
  <c r="AR13" i="7" s="1"/>
  <c r="AS10" i="4"/>
  <c r="AS18" i="4" l="1"/>
  <c r="AS12" i="7" s="1"/>
  <c r="AS19" i="8"/>
  <c r="AT4" i="9"/>
  <c r="AT10" i="4"/>
  <c r="AT6" i="4"/>
  <c r="AS4" i="6"/>
  <c r="AS19" i="4" l="1"/>
  <c r="AS13" i="7" s="1"/>
  <c r="AT19" i="8"/>
  <c r="M68" i="6"/>
  <c r="AT17" i="4"/>
  <c r="AT18" i="4" s="1"/>
  <c r="AT12" i="7" s="1"/>
  <c r="L68" i="6"/>
  <c r="L65" i="6" s="1"/>
  <c r="L70" i="6" s="1"/>
  <c r="AT4" i="8"/>
  <c r="M65" i="6" l="1"/>
  <c r="W20" i="7"/>
  <c r="W21" i="7" s="1"/>
  <c r="W34" i="7" s="1"/>
  <c r="X20" i="7"/>
  <c r="X21" i="7" s="1"/>
  <c r="X34" i="7" s="1"/>
  <c r="Y20" i="7"/>
  <c r="Y21" i="7" s="1"/>
  <c r="Y34" i="7" s="1"/>
  <c r="Z20" i="7"/>
  <c r="Z21" i="7" s="1"/>
  <c r="Z34" i="7" s="1"/>
  <c r="AA20" i="7"/>
  <c r="AA21" i="7" s="1"/>
  <c r="AA34" i="7" s="1"/>
  <c r="AB20" i="7"/>
  <c r="AB21" i="7" s="1"/>
  <c r="AB34" i="7" s="1"/>
  <c r="AC20" i="7"/>
  <c r="AC21" i="7" s="1"/>
  <c r="AC34" i="7" s="1"/>
  <c r="AD20" i="7"/>
  <c r="AD21" i="7" s="1"/>
  <c r="AD34" i="7" s="1"/>
  <c r="AE20" i="7"/>
  <c r="AE21" i="7" s="1"/>
  <c r="AE34" i="7" s="1"/>
  <c r="AF20" i="7"/>
  <c r="AF21" i="7" s="1"/>
  <c r="AF34" i="7" s="1"/>
  <c r="AG20" i="7"/>
  <c r="AG21" i="7" s="1"/>
  <c r="AG34" i="7" s="1"/>
  <c r="AH20" i="7"/>
  <c r="AH21" i="7" s="1"/>
  <c r="AH34" i="7" s="1"/>
  <c r="AT4" i="6"/>
  <c r="AT19" i="4"/>
  <c r="AT13" i="7" s="1"/>
  <c r="M70" i="6" l="1"/>
  <c r="I74" i="6" s="1"/>
  <c r="I75" i="6" s="1"/>
  <c r="I76" i="6" s="1"/>
  <c r="K68" i="6"/>
  <c r="K65" i="6" s="1"/>
  <c r="K70" i="6" s="1"/>
  <c r="AH84" i="7"/>
  <c r="AD84" i="7"/>
  <c r="Z84" i="7"/>
  <c r="AG84" i="7"/>
  <c r="AC84" i="7"/>
  <c r="Y84" i="7"/>
  <c r="AF84" i="7"/>
  <c r="AB84" i="7"/>
  <c r="X84" i="7"/>
  <c r="AE84" i="7"/>
  <c r="AA84" i="7"/>
  <c r="W84" i="7"/>
  <c r="AB17" i="8"/>
  <c r="AE17" i="8"/>
  <c r="AA17" i="8"/>
  <c r="W17" i="8"/>
  <c r="X17" i="8"/>
  <c r="AH17" i="8"/>
  <c r="AD17" i="8"/>
  <c r="Z17" i="8"/>
  <c r="AF17" i="8"/>
  <c r="AG17" i="8"/>
  <c r="AC17" i="8"/>
  <c r="Y17" i="8"/>
  <c r="AU5" i="6"/>
  <c r="AL20" i="7" l="1"/>
  <c r="AL21" i="7" s="1"/>
  <c r="AJ20" i="7"/>
  <c r="AJ21" i="7" s="1"/>
  <c r="AJ34" i="7" s="1"/>
  <c r="AJ84" i="7" s="1"/>
  <c r="AR20" i="7"/>
  <c r="AI20" i="7"/>
  <c r="AO20" i="7"/>
  <c r="AS20" i="7"/>
  <c r="AP20" i="7"/>
  <c r="AT20" i="7"/>
  <c r="AK20" i="7"/>
  <c r="AM20" i="7"/>
  <c r="AQ20" i="7"/>
  <c r="AN20" i="7"/>
  <c r="N20" i="7"/>
  <c r="N21" i="7" s="1"/>
  <c r="N34" i="7" s="1"/>
  <c r="N84" i="7" s="1"/>
  <c r="R20" i="7"/>
  <c r="R21" i="7" s="1"/>
  <c r="R34" i="7" s="1"/>
  <c r="R84" i="7" s="1"/>
  <c r="V20" i="7"/>
  <c r="V21" i="7" s="1"/>
  <c r="V34" i="7" s="1"/>
  <c r="V84" i="7" s="1"/>
  <c r="T20" i="7"/>
  <c r="T21" i="7" s="1"/>
  <c r="T34" i="7" s="1"/>
  <c r="T84" i="7" s="1"/>
  <c r="U20" i="7"/>
  <c r="U21" i="7" s="1"/>
  <c r="U34" i="7" s="1"/>
  <c r="U84" i="7" s="1"/>
  <c r="K20" i="7"/>
  <c r="K21" i="7" s="1"/>
  <c r="K34" i="7" s="1"/>
  <c r="K84" i="7" s="1"/>
  <c r="O20" i="7"/>
  <c r="O21" i="7" s="1"/>
  <c r="O34" i="7" s="1"/>
  <c r="O84" i="7" s="1"/>
  <c r="S20" i="7"/>
  <c r="S21" i="7" s="1"/>
  <c r="S34" i="7" s="1"/>
  <c r="S84" i="7" s="1"/>
  <c r="Q20" i="7"/>
  <c r="Q21" i="7" s="1"/>
  <c r="Q34" i="7" s="1"/>
  <c r="Q84" i="7" s="1"/>
  <c r="L20" i="7"/>
  <c r="L21" i="7" s="1"/>
  <c r="L34" i="7" s="1"/>
  <c r="L84" i="7" s="1"/>
  <c r="P20" i="7"/>
  <c r="P21" i="7" s="1"/>
  <c r="P34" i="7" s="1"/>
  <c r="P84" i="7" s="1"/>
  <c r="M20" i="7"/>
  <c r="M21" i="7" s="1"/>
  <c r="M34" i="7" s="1"/>
  <c r="M84" i="7" s="1"/>
  <c r="AD18" i="8"/>
  <c r="AD29" i="8" s="1"/>
  <c r="AD46" i="8" s="1"/>
  <c r="AA18" i="8"/>
  <c r="AA29" i="8" s="1"/>
  <c r="AA46" i="8" s="1"/>
  <c r="X18" i="8"/>
  <c r="X29" i="8" s="1"/>
  <c r="X46" i="8" s="1"/>
  <c r="AF18" i="8"/>
  <c r="AF29" i="8" s="1"/>
  <c r="AF46" i="8" s="1"/>
  <c r="Z18" i="8"/>
  <c r="Z29" i="8" s="1"/>
  <c r="Z46" i="8" s="1"/>
  <c r="AH18" i="8"/>
  <c r="AH29" i="8" s="1"/>
  <c r="AH46" i="8" s="1"/>
  <c r="AG18" i="8"/>
  <c r="AG29" i="8" s="1"/>
  <c r="AG46" i="8" s="1"/>
  <c r="AE18" i="8"/>
  <c r="AE29" i="8" s="1"/>
  <c r="AE46" i="8" s="1"/>
  <c r="Y18" i="8"/>
  <c r="Y29" i="8" s="1"/>
  <c r="Y46" i="8" s="1"/>
  <c r="AB18" i="8"/>
  <c r="AB29" i="8" s="1"/>
  <c r="AB46" i="8" s="1"/>
  <c r="AC18" i="8"/>
  <c r="AC29" i="8" s="1"/>
  <c r="AC46" i="8" s="1"/>
  <c r="C12" i="12" a="1"/>
  <c r="AU4" i="6"/>
  <c r="AU6" i="6"/>
  <c r="AU8" i="6" s="1"/>
  <c r="AL34" i="7" l="1"/>
  <c r="AL84" i="7" s="1"/>
  <c r="AL18" i="8"/>
  <c r="AL29" i="8" s="1"/>
  <c r="AL46" i="8" s="1"/>
  <c r="AJ17" i="8"/>
  <c r="AL17" i="8"/>
  <c r="AJ18" i="8"/>
  <c r="AJ29" i="8" s="1"/>
  <c r="AJ46" i="8" s="1"/>
  <c r="N17" i="8"/>
  <c r="K17" i="8"/>
  <c r="K18" i="8"/>
  <c r="K29" i="8" s="1"/>
  <c r="K46" i="8" s="1"/>
  <c r="R17" i="8"/>
  <c r="AQ21" i="7"/>
  <c r="AQ17" i="8"/>
  <c r="AP21" i="7"/>
  <c r="AP17" i="8"/>
  <c r="Q17" i="8"/>
  <c r="U17" i="8"/>
  <c r="AM21" i="7"/>
  <c r="AM17" i="8"/>
  <c r="AS21" i="7"/>
  <c r="AS17" i="8"/>
  <c r="AO21" i="7"/>
  <c r="AO17" i="8"/>
  <c r="AN21" i="7"/>
  <c r="AN17" i="8"/>
  <c r="AK21" i="7"/>
  <c r="AK17" i="8"/>
  <c r="AT17" i="8"/>
  <c r="AT21" i="7"/>
  <c r="AI21" i="7"/>
  <c r="AI17" i="8"/>
  <c r="AR21" i="7"/>
  <c r="AR17" i="8"/>
  <c r="O17" i="8"/>
  <c r="P17" i="8"/>
  <c r="V17" i="8"/>
  <c r="L17" i="8"/>
  <c r="C15" i="12" a="1"/>
  <c r="C15" i="12" s="1"/>
  <c r="T17" i="8"/>
  <c r="S17" i="8"/>
  <c r="M18" i="8"/>
  <c r="M29" i="8" s="1"/>
  <c r="M46" i="8" s="1"/>
  <c r="M17" i="8"/>
  <c r="T18" i="8"/>
  <c r="T29" i="8" s="1"/>
  <c r="T46" i="8" s="1"/>
  <c r="U18" i="8"/>
  <c r="U29" i="8" s="1"/>
  <c r="U46" i="8" s="1"/>
  <c r="W18" i="8"/>
  <c r="W29" i="8" s="1"/>
  <c r="W46" i="8" s="1"/>
  <c r="V18" i="8"/>
  <c r="V29" i="8" s="1"/>
  <c r="V46" i="8" s="1"/>
  <c r="O18" i="8"/>
  <c r="O29" i="8" s="1"/>
  <c r="O46" i="8" s="1"/>
  <c r="R18" i="8"/>
  <c r="R29" i="8" s="1"/>
  <c r="R46" i="8" s="1"/>
  <c r="Q18" i="8"/>
  <c r="Q29" i="8" s="1"/>
  <c r="Q46" i="8" s="1"/>
  <c r="L18" i="8"/>
  <c r="L29" i="8" s="1"/>
  <c r="L46" i="8" s="1"/>
  <c r="N18" i="8"/>
  <c r="N29" i="8" s="1"/>
  <c r="N46" i="8" s="1"/>
  <c r="S18" i="8"/>
  <c r="S29" i="8" s="1"/>
  <c r="S46" i="8" s="1"/>
  <c r="P18" i="8"/>
  <c r="P29" i="8" s="1"/>
  <c r="P46" i="8" s="1"/>
  <c r="C31" i="12" a="1"/>
  <c r="C31" i="12" s="1"/>
  <c r="C16" i="12" a="1"/>
  <c r="C16" i="12" s="1"/>
  <c r="I17" i="7" l="1"/>
  <c r="K17" i="7" s="1"/>
  <c r="K14" i="8" s="1"/>
  <c r="C12" i="12"/>
  <c r="AR34" i="7"/>
  <c r="AR84" i="7" s="1"/>
  <c r="AR18" i="8"/>
  <c r="AR29" i="8" s="1"/>
  <c r="AR46" i="8" s="1"/>
  <c r="AN34" i="7"/>
  <c r="AN84" i="7" s="1"/>
  <c r="AN18" i="8"/>
  <c r="AN29" i="8" s="1"/>
  <c r="AN46" i="8" s="1"/>
  <c r="AS34" i="7"/>
  <c r="AS84" i="7" s="1"/>
  <c r="AS18" i="8"/>
  <c r="AS29" i="8" s="1"/>
  <c r="AS46" i="8" s="1"/>
  <c r="AQ34" i="7"/>
  <c r="AQ84" i="7" s="1"/>
  <c r="AQ18" i="8"/>
  <c r="AQ29" i="8" s="1"/>
  <c r="AQ46" i="8" s="1"/>
  <c r="AI34" i="7"/>
  <c r="AI84" i="7" s="1"/>
  <c r="AI18" i="8"/>
  <c r="AI29" i="8" s="1"/>
  <c r="AI46" i="8" s="1"/>
  <c r="AK34" i="7"/>
  <c r="AK84" i="7" s="1"/>
  <c r="AK18" i="8"/>
  <c r="AK29" i="8" s="1"/>
  <c r="AK46" i="8" s="1"/>
  <c r="AO34" i="7"/>
  <c r="AO84" i="7" s="1"/>
  <c r="AO18" i="8"/>
  <c r="AO29" i="8" s="1"/>
  <c r="AO46" i="8" s="1"/>
  <c r="AM34" i="7"/>
  <c r="AM84" i="7" s="1"/>
  <c r="AM18" i="8"/>
  <c r="AM29" i="8" s="1"/>
  <c r="AM46" i="8" s="1"/>
  <c r="AP34" i="7"/>
  <c r="AP84" i="7" s="1"/>
  <c r="AP18" i="8"/>
  <c r="AP29" i="8" s="1"/>
  <c r="AP46" i="8" s="1"/>
  <c r="AT34" i="7"/>
  <c r="AT84" i="7" s="1"/>
  <c r="AT18" i="8"/>
  <c r="AT29" i="8" s="1"/>
  <c r="AT46" i="8" s="1"/>
  <c r="C19" i="12" a="1"/>
  <c r="C19" i="12" s="1"/>
  <c r="C17" i="12" a="1"/>
  <c r="C17" i="12" s="1"/>
  <c r="L17" i="7" l="1"/>
  <c r="M17" i="7" s="1"/>
  <c r="I14" i="8"/>
  <c r="K32" i="7"/>
  <c r="C30" i="12" a="1"/>
  <c r="C30" i="12" s="1"/>
  <c r="K82" i="7" l="1"/>
  <c r="K27" i="8"/>
  <c r="K44" i="8" s="1"/>
  <c r="L14" i="8"/>
  <c r="L32" i="7"/>
  <c r="L39" i="7" s="1"/>
  <c r="K35" i="7"/>
  <c r="K85" i="7" s="1"/>
  <c r="K36" i="7"/>
  <c r="K86" i="7" s="1"/>
  <c r="K39" i="7"/>
  <c r="C22" i="12" s="1" a="1"/>
  <c r="C22" i="12" s="1"/>
  <c r="N17" i="7"/>
  <c r="M32" i="7"/>
  <c r="M14" i="8"/>
  <c r="C34" i="12" a="1"/>
  <c r="C34" i="12" s="1"/>
  <c r="L35" i="7" l="1"/>
  <c r="L85" i="7" s="1"/>
  <c r="L27" i="8"/>
  <c r="L44" i="8" s="1"/>
  <c r="L36" i="7"/>
  <c r="L86" i="7" s="1"/>
  <c r="L82" i="7"/>
  <c r="K33" i="7"/>
  <c r="K83" i="7" s="1"/>
  <c r="K31" i="8"/>
  <c r="K48" i="8" s="1"/>
  <c r="K30" i="8"/>
  <c r="K47" i="8" s="1"/>
  <c r="M27" i="8"/>
  <c r="M44" i="8" s="1"/>
  <c r="M36" i="7"/>
  <c r="M86" i="7" s="1"/>
  <c r="M35" i="7"/>
  <c r="M82" i="7"/>
  <c r="M39" i="7"/>
  <c r="N14" i="8"/>
  <c r="N32" i="7"/>
  <c r="O17" i="7"/>
  <c r="C20" i="12" a="1"/>
  <c r="C20" i="12" s="1"/>
  <c r="K40" i="7" l="1"/>
  <c r="K41" i="7" s="1"/>
  <c r="L31" i="8"/>
  <c r="L48" i="8" s="1"/>
  <c r="L30" i="8"/>
  <c r="L47" i="8" s="1"/>
  <c r="L33" i="7"/>
  <c r="L40" i="7" s="1"/>
  <c r="K28" i="8"/>
  <c r="K32" i="8" s="1"/>
  <c r="K34" i="8" s="1"/>
  <c r="K35" i="8" s="1"/>
  <c r="K36" i="8" s="1"/>
  <c r="O14" i="8"/>
  <c r="P17" i="7"/>
  <c r="O32" i="7"/>
  <c r="M85" i="7"/>
  <c r="M33" i="7"/>
  <c r="N39" i="7"/>
  <c r="N36" i="7"/>
  <c r="N86" i="7" s="1"/>
  <c r="N82" i="7"/>
  <c r="N27" i="8"/>
  <c r="N44" i="8" s="1"/>
  <c r="N35" i="7"/>
  <c r="M30" i="8"/>
  <c r="M47" i="8" s="1"/>
  <c r="M31" i="8"/>
  <c r="M48" i="8" s="1"/>
  <c r="L83" i="7" l="1"/>
  <c r="L28" i="8"/>
  <c r="L32" i="8" s="1"/>
  <c r="L34" i="8" s="1"/>
  <c r="L35" i="8" s="1"/>
  <c r="L36" i="8" s="1"/>
  <c r="K45" i="8"/>
  <c r="K39" i="8"/>
  <c r="K44" i="7"/>
  <c r="K45" i="7" s="1"/>
  <c r="L41" i="7"/>
  <c r="N85" i="7"/>
  <c r="N33" i="7"/>
  <c r="N31" i="8"/>
  <c r="N48" i="8" s="1"/>
  <c r="N30" i="8"/>
  <c r="N47" i="8" s="1"/>
  <c r="O35" i="7"/>
  <c r="O36" i="7"/>
  <c r="O86" i="7" s="1"/>
  <c r="O82" i="7"/>
  <c r="O27" i="8"/>
  <c r="O44" i="8" s="1"/>
  <c r="O39" i="7"/>
  <c r="P14" i="8"/>
  <c r="Q17" i="7"/>
  <c r="P32" i="7"/>
  <c r="M28" i="8"/>
  <c r="M83" i="7"/>
  <c r="M40" i="7"/>
  <c r="K49" i="8" l="1"/>
  <c r="K52" i="8" s="1"/>
  <c r="K53" i="8" s="1"/>
  <c r="L45" i="8"/>
  <c r="L49" i="8" s="1"/>
  <c r="K38" i="7"/>
  <c r="C21" i="12" s="1" a="1"/>
  <c r="C21" i="12" s="1"/>
  <c r="L44" i="7"/>
  <c r="K46" i="7"/>
  <c r="L43" i="7" s="1"/>
  <c r="M41" i="7"/>
  <c r="M32" i="8"/>
  <c r="M34" i="8" s="1"/>
  <c r="M35" i="8" s="1"/>
  <c r="M36" i="8" s="1"/>
  <c r="M45" i="8"/>
  <c r="N28" i="8"/>
  <c r="L37" i="8"/>
  <c r="O85" i="7"/>
  <c r="O33" i="7"/>
  <c r="P36" i="7"/>
  <c r="P86" i="7" s="1"/>
  <c r="P39" i="7"/>
  <c r="P35" i="7"/>
  <c r="P27" i="8"/>
  <c r="P44" i="8" s="1"/>
  <c r="P82" i="7"/>
  <c r="O31" i="8"/>
  <c r="O48" i="8" s="1"/>
  <c r="O30" i="8"/>
  <c r="O47" i="8" s="1"/>
  <c r="N40" i="7"/>
  <c r="N83" i="7"/>
  <c r="Q14" i="8"/>
  <c r="Q32" i="7"/>
  <c r="R17" i="7"/>
  <c r="K54" i="8" l="1"/>
  <c r="K57" i="8"/>
  <c r="K31" i="7"/>
  <c r="K63" i="7" s="1"/>
  <c r="K12" i="9" s="1"/>
  <c r="K89" i="7"/>
  <c r="K81" i="7" s="1"/>
  <c r="L45" i="7"/>
  <c r="L46" i="7" s="1"/>
  <c r="M43" i="7" s="1"/>
  <c r="M44" i="7"/>
  <c r="N41" i="7"/>
  <c r="N32" i="8"/>
  <c r="N34" i="8" s="1"/>
  <c r="N35" i="8" s="1"/>
  <c r="N36" i="8" s="1"/>
  <c r="N45" i="8"/>
  <c r="M49" i="8"/>
  <c r="R14" i="8"/>
  <c r="S17" i="7"/>
  <c r="R32" i="7"/>
  <c r="P31" i="8"/>
  <c r="P48" i="8" s="1"/>
  <c r="P30" i="8"/>
  <c r="P47" i="8" s="1"/>
  <c r="O83" i="7"/>
  <c r="O40" i="7"/>
  <c r="L37" i="7"/>
  <c r="L39" i="8"/>
  <c r="Q35" i="7"/>
  <c r="Q82" i="7"/>
  <c r="Q39" i="7"/>
  <c r="Q36" i="7"/>
  <c r="Q86" i="7" s="1"/>
  <c r="Q27" i="8"/>
  <c r="Q44" i="8" s="1"/>
  <c r="O28" i="8"/>
  <c r="P85" i="7"/>
  <c r="P33" i="7"/>
  <c r="M37" i="8"/>
  <c r="K66" i="7" l="1"/>
  <c r="K13" i="9" s="1"/>
  <c r="K71" i="7"/>
  <c r="K72" i="7"/>
  <c r="L38" i="7"/>
  <c r="L89" i="7" s="1"/>
  <c r="M45" i="7"/>
  <c r="M46" i="7" s="1"/>
  <c r="N43" i="7" s="1"/>
  <c r="N44" i="7"/>
  <c r="O41" i="7"/>
  <c r="O32" i="8"/>
  <c r="O34" i="8" s="1"/>
  <c r="O35" i="8" s="1"/>
  <c r="O36" i="8" s="1"/>
  <c r="O45" i="8"/>
  <c r="N49" i="8"/>
  <c r="R27" i="8"/>
  <c r="R44" i="8" s="1"/>
  <c r="R36" i="7"/>
  <c r="R86" i="7" s="1"/>
  <c r="R35" i="7"/>
  <c r="R39" i="7"/>
  <c r="R82" i="7"/>
  <c r="M37" i="7"/>
  <c r="M39" i="8"/>
  <c r="Q30" i="8"/>
  <c r="Q47" i="8" s="1"/>
  <c r="Q31" i="8"/>
  <c r="Q48" i="8" s="1"/>
  <c r="Q85" i="7"/>
  <c r="Q33" i="7"/>
  <c r="S14" i="8"/>
  <c r="T17" i="7"/>
  <c r="S32" i="7"/>
  <c r="N37" i="8"/>
  <c r="P40" i="7"/>
  <c r="P83" i="7"/>
  <c r="P28" i="8"/>
  <c r="K20" i="9" l="1"/>
  <c r="K24" i="9"/>
  <c r="L31" i="7"/>
  <c r="L63" i="7" s="1"/>
  <c r="L12" i="9" s="1"/>
  <c r="M38" i="7"/>
  <c r="M89" i="7" s="1"/>
  <c r="N45" i="7"/>
  <c r="N38" i="7" s="1"/>
  <c r="N89" i="7" s="1"/>
  <c r="O44" i="7"/>
  <c r="P41" i="7"/>
  <c r="O49" i="8"/>
  <c r="P32" i="8"/>
  <c r="P34" i="8" s="1"/>
  <c r="P35" i="8" s="1"/>
  <c r="P45" i="8"/>
  <c r="S82" i="7"/>
  <c r="S36" i="7"/>
  <c r="S86" i="7" s="1"/>
  <c r="S39" i="7"/>
  <c r="S27" i="8"/>
  <c r="S44" i="8" s="1"/>
  <c r="S35" i="7"/>
  <c r="T14" i="8"/>
  <c r="U17" i="7"/>
  <c r="T32" i="7"/>
  <c r="Q28" i="8"/>
  <c r="R31" i="8"/>
  <c r="R48" i="8" s="1"/>
  <c r="R30" i="8"/>
  <c r="R47" i="8" s="1"/>
  <c r="N37" i="7"/>
  <c r="N39" i="8"/>
  <c r="O37" i="8"/>
  <c r="Q83" i="7"/>
  <c r="Q40" i="7"/>
  <c r="R85" i="7"/>
  <c r="R33" i="7"/>
  <c r="K22" i="9" l="1"/>
  <c r="K21" i="9"/>
  <c r="L20" i="9"/>
  <c r="M31" i="7"/>
  <c r="M63" i="7" s="1"/>
  <c r="M12" i="9" s="1"/>
  <c r="L72" i="7"/>
  <c r="L66" i="7"/>
  <c r="L13" i="9" s="1"/>
  <c r="N46" i="7"/>
  <c r="O43" i="7" s="1"/>
  <c r="O45" i="7" s="1"/>
  <c r="O38" i="7" s="1"/>
  <c r="O89" i="7" s="1"/>
  <c r="P44" i="7"/>
  <c r="Q41" i="7"/>
  <c r="P49" i="8"/>
  <c r="Q32" i="8"/>
  <c r="Q34" i="8" s="1"/>
  <c r="Q35" i="8" s="1"/>
  <c r="Q45" i="8"/>
  <c r="P36" i="8"/>
  <c r="P37" i="8" s="1"/>
  <c r="K25" i="9"/>
  <c r="S31" i="8"/>
  <c r="S48" i="8" s="1"/>
  <c r="S30" i="8"/>
  <c r="S47" i="8" s="1"/>
  <c r="O37" i="7"/>
  <c r="O39" i="8"/>
  <c r="R83" i="7"/>
  <c r="R40" i="7"/>
  <c r="N31" i="7"/>
  <c r="N63" i="7" s="1"/>
  <c r="N12" i="9" s="1"/>
  <c r="T39" i="7"/>
  <c r="T35" i="7"/>
  <c r="T36" i="7"/>
  <c r="T86" i="7" s="1"/>
  <c r="T27" i="8"/>
  <c r="T44" i="8" s="1"/>
  <c r="T82" i="7"/>
  <c r="R28" i="8"/>
  <c r="U14" i="8"/>
  <c r="V17" i="7"/>
  <c r="U32" i="7"/>
  <c r="S85" i="7"/>
  <c r="S33" i="7"/>
  <c r="M20" i="9" l="1"/>
  <c r="M21" i="9" s="1"/>
  <c r="M72" i="7"/>
  <c r="N72" i="7" s="1"/>
  <c r="M66" i="7"/>
  <c r="M13" i="9" s="1"/>
  <c r="O46" i="7"/>
  <c r="P43" i="7" s="1"/>
  <c r="P45" i="7" s="1"/>
  <c r="Q44" i="7"/>
  <c r="R41" i="7"/>
  <c r="Q36" i="8"/>
  <c r="Q37" i="8" s="1"/>
  <c r="R32" i="8"/>
  <c r="R34" i="8" s="1"/>
  <c r="R35" i="8" s="1"/>
  <c r="R45" i="8"/>
  <c r="Q49" i="8"/>
  <c r="K26" i="9"/>
  <c r="S28" i="8"/>
  <c r="S83" i="7"/>
  <c r="S40" i="7"/>
  <c r="N66" i="7"/>
  <c r="N13" i="9" s="1"/>
  <c r="T85" i="7"/>
  <c r="T33" i="7"/>
  <c r="P37" i="7"/>
  <c r="P39" i="8"/>
  <c r="O31" i="7"/>
  <c r="O63" i="7" s="1"/>
  <c r="O12" i="9" s="1"/>
  <c r="U82" i="7"/>
  <c r="U39" i="7"/>
  <c r="U27" i="8"/>
  <c r="U44" i="8" s="1"/>
  <c r="U36" i="7"/>
  <c r="U86" i="7" s="1"/>
  <c r="U35" i="7"/>
  <c r="V14" i="8"/>
  <c r="V32" i="7"/>
  <c r="W17" i="7"/>
  <c r="T30" i="8"/>
  <c r="T47" i="8" s="1"/>
  <c r="T31" i="8"/>
  <c r="T48" i="8" s="1"/>
  <c r="N24" i="9" l="1"/>
  <c r="L22" i="9"/>
  <c r="L21" i="9"/>
  <c r="L24" i="9"/>
  <c r="L26" i="9" s="1"/>
  <c r="M24" i="9"/>
  <c r="P38" i="7"/>
  <c r="P89" i="7" s="1"/>
  <c r="P46" i="7"/>
  <c r="Q43" i="7" s="1"/>
  <c r="Q45" i="7" s="1"/>
  <c r="Q38" i="7" s="1"/>
  <c r="Q89" i="7" s="1"/>
  <c r="R44" i="7"/>
  <c r="S41" i="7"/>
  <c r="R36" i="8"/>
  <c r="R37" i="8" s="1"/>
  <c r="S32" i="8"/>
  <c r="S34" i="8" s="1"/>
  <c r="S35" i="8" s="1"/>
  <c r="S45" i="8"/>
  <c r="R49" i="8"/>
  <c r="V36" i="7"/>
  <c r="V86" i="7" s="1"/>
  <c r="V39" i="7"/>
  <c r="V35" i="7"/>
  <c r="V82" i="7"/>
  <c r="V27" i="8"/>
  <c r="V44" i="8" s="1"/>
  <c r="U33" i="7"/>
  <c r="U85" i="7"/>
  <c r="T28" i="8"/>
  <c r="T83" i="7"/>
  <c r="T40" i="7"/>
  <c r="U31" i="8"/>
  <c r="U48" i="8" s="1"/>
  <c r="U30" i="8"/>
  <c r="U47" i="8" s="1"/>
  <c r="O66" i="7"/>
  <c r="O13" i="9" s="1"/>
  <c r="O72" i="7"/>
  <c r="N20" i="9"/>
  <c r="W14" i="8"/>
  <c r="X17" i="7"/>
  <c r="W32" i="7"/>
  <c r="Q37" i="7"/>
  <c r="Q39" i="8"/>
  <c r="M22" i="9"/>
  <c r="M25" i="9" l="1"/>
  <c r="L25" i="9"/>
  <c r="N26" i="9"/>
  <c r="P31" i="7"/>
  <c r="P63" i="7" s="1"/>
  <c r="P12" i="9" s="1"/>
  <c r="Q46" i="7"/>
  <c r="R43" i="7" s="1"/>
  <c r="R45" i="7" s="1"/>
  <c r="R38" i="7" s="1"/>
  <c r="R89" i="7" s="1"/>
  <c r="S44" i="7"/>
  <c r="T41" i="7"/>
  <c r="S36" i="8"/>
  <c r="S37" i="8" s="1"/>
  <c r="S49" i="8"/>
  <c r="T32" i="8"/>
  <c r="T34" i="8" s="1"/>
  <c r="T35" i="8" s="1"/>
  <c r="T45" i="8"/>
  <c r="M26" i="9"/>
  <c r="U28" i="8"/>
  <c r="W27" i="8"/>
  <c r="W44" i="8" s="1"/>
  <c r="W82" i="7"/>
  <c r="W36" i="7"/>
  <c r="W86" i="7" s="1"/>
  <c r="W35" i="7"/>
  <c r="W39" i="7"/>
  <c r="R37" i="7"/>
  <c r="R39" i="8"/>
  <c r="X14" i="8"/>
  <c r="Y17" i="7"/>
  <c r="X32" i="7"/>
  <c r="V85" i="7"/>
  <c r="V33" i="7"/>
  <c r="U83" i="7"/>
  <c r="U40" i="7"/>
  <c r="Q31" i="7"/>
  <c r="Q63" i="7" s="1"/>
  <c r="Q12" i="9" s="1"/>
  <c r="N21" i="9"/>
  <c r="N22" i="9"/>
  <c r="V31" i="8"/>
  <c r="V48" i="8" s="1"/>
  <c r="V30" i="8"/>
  <c r="V47" i="8" s="1"/>
  <c r="O24" i="9" l="1"/>
  <c r="O25" i="9" s="1"/>
  <c r="P66" i="7"/>
  <c r="P13" i="9" s="1"/>
  <c r="P72" i="7"/>
  <c r="Q72" i="7" s="1"/>
  <c r="R46" i="7"/>
  <c r="S43" i="7" s="1"/>
  <c r="S45" i="7" s="1"/>
  <c r="S38" i="7" s="1"/>
  <c r="S89" i="7" s="1"/>
  <c r="T44" i="7"/>
  <c r="T36" i="8"/>
  <c r="T37" i="8" s="1"/>
  <c r="U41" i="7"/>
  <c r="T49" i="8"/>
  <c r="U32" i="8"/>
  <c r="U34" i="8" s="1"/>
  <c r="U35" i="8" s="1"/>
  <c r="U45" i="8"/>
  <c r="N25" i="9"/>
  <c r="Q66" i="7"/>
  <c r="Q13" i="9" s="1"/>
  <c r="V40" i="7"/>
  <c r="V83" i="7"/>
  <c r="W85" i="7"/>
  <c r="W33" i="7"/>
  <c r="V28" i="8"/>
  <c r="S37" i="7"/>
  <c r="S39" i="8"/>
  <c r="X39" i="7"/>
  <c r="X27" i="8"/>
  <c r="X44" i="8" s="1"/>
  <c r="X36" i="7"/>
  <c r="X86" i="7" s="1"/>
  <c r="X35" i="7"/>
  <c r="X82" i="7"/>
  <c r="R31" i="7"/>
  <c r="R63" i="7" s="1"/>
  <c r="R12" i="9" s="1"/>
  <c r="O20" i="9"/>
  <c r="P20" i="9"/>
  <c r="Y14" i="8"/>
  <c r="Y32" i="7"/>
  <c r="Z17" i="7"/>
  <c r="W31" i="8"/>
  <c r="W48" i="8" s="1"/>
  <c r="W30" i="8"/>
  <c r="W47" i="8" s="1"/>
  <c r="P24" i="9" l="1"/>
  <c r="P26" i="9" s="1"/>
  <c r="U36" i="8"/>
  <c r="U37" i="8" s="1"/>
  <c r="S46" i="7"/>
  <c r="T43" i="7" s="1"/>
  <c r="T45" i="7" s="1"/>
  <c r="T38" i="7" s="1"/>
  <c r="T89" i="7" s="1"/>
  <c r="U44" i="7"/>
  <c r="V41" i="7"/>
  <c r="U49" i="8"/>
  <c r="V32" i="8"/>
  <c r="V34" i="8" s="1"/>
  <c r="V35" i="8" s="1"/>
  <c r="V45" i="8"/>
  <c r="O26" i="9"/>
  <c r="W28" i="8"/>
  <c r="S31" i="7"/>
  <c r="S63" i="7" s="1"/>
  <c r="S12" i="9" s="1"/>
  <c r="Z14" i="8"/>
  <c r="Z32" i="7"/>
  <c r="AA17" i="7"/>
  <c r="R72" i="7"/>
  <c r="R66" i="7"/>
  <c r="R13" i="9" s="1"/>
  <c r="Q20" i="9"/>
  <c r="Q21" i="9" s="1"/>
  <c r="T37" i="7"/>
  <c r="T39" i="8"/>
  <c r="X31" i="8"/>
  <c r="X48" i="8" s="1"/>
  <c r="X30" i="8"/>
  <c r="X47" i="8" s="1"/>
  <c r="Y82" i="7"/>
  <c r="Y27" i="8"/>
  <c r="Y44" i="8" s="1"/>
  <c r="Y39" i="7"/>
  <c r="Y36" i="7"/>
  <c r="Y86" i="7" s="1"/>
  <c r="Y35" i="7"/>
  <c r="P21" i="9"/>
  <c r="P22" i="9"/>
  <c r="W83" i="7"/>
  <c r="W40" i="7"/>
  <c r="O21" i="9"/>
  <c r="O22" i="9"/>
  <c r="X85" i="7"/>
  <c r="X33" i="7"/>
  <c r="Q24" i="9" l="1"/>
  <c r="Q26" i="9" s="1"/>
  <c r="P25" i="9"/>
  <c r="V36" i="8"/>
  <c r="V37" i="8" s="1"/>
  <c r="T46" i="7"/>
  <c r="U43" i="7" s="1"/>
  <c r="U45" i="7" s="1"/>
  <c r="U38" i="7" s="1"/>
  <c r="U89" i="7" s="1"/>
  <c r="V44" i="7"/>
  <c r="W41" i="7"/>
  <c r="V49" i="8"/>
  <c r="W32" i="8"/>
  <c r="W34" i="8" s="1"/>
  <c r="W35" i="8" s="1"/>
  <c r="W45" i="8"/>
  <c r="X28" i="8"/>
  <c r="Y33" i="7"/>
  <c r="Y85" i="7"/>
  <c r="T31" i="7"/>
  <c r="T63" i="7" s="1"/>
  <c r="T12" i="9" s="1"/>
  <c r="AA14" i="8"/>
  <c r="AB17" i="7"/>
  <c r="AA32" i="7"/>
  <c r="Q22" i="9"/>
  <c r="Z39" i="7"/>
  <c r="Z82" i="7"/>
  <c r="Z35" i="7"/>
  <c r="Z36" i="7"/>
  <c r="Z86" i="7" s="1"/>
  <c r="Z27" i="8"/>
  <c r="Z44" i="8" s="1"/>
  <c r="X83" i="7"/>
  <c r="X40" i="7"/>
  <c r="U37" i="7"/>
  <c r="U39" i="8"/>
  <c r="Y30" i="8"/>
  <c r="Y47" i="8" s="1"/>
  <c r="Y31" i="8"/>
  <c r="Y48" i="8" s="1"/>
  <c r="S66" i="7"/>
  <c r="S13" i="9" s="1"/>
  <c r="S72" i="7"/>
  <c r="R20" i="9"/>
  <c r="R22" i="9" s="1"/>
  <c r="W36" i="8" l="1"/>
  <c r="W37" i="8" s="1"/>
  <c r="R24" i="9"/>
  <c r="R25" i="9" s="1"/>
  <c r="U46" i="7"/>
  <c r="V43" i="7" s="1"/>
  <c r="V45" i="7" s="1"/>
  <c r="V38" i="7" s="1"/>
  <c r="V89" i="7" s="1"/>
  <c r="W44" i="7"/>
  <c r="X41" i="7"/>
  <c r="Q25" i="9"/>
  <c r="W49" i="8"/>
  <c r="X32" i="8"/>
  <c r="X34" i="8" s="1"/>
  <c r="X35" i="8" s="1"/>
  <c r="X45" i="8"/>
  <c r="S24" i="9"/>
  <c r="Z85" i="7"/>
  <c r="Z33" i="7"/>
  <c r="T72" i="7"/>
  <c r="T66" i="7"/>
  <c r="T13" i="9" s="1"/>
  <c r="S20" i="9"/>
  <c r="V37" i="7"/>
  <c r="V39" i="8"/>
  <c r="AA39" i="7"/>
  <c r="AA82" i="7"/>
  <c r="AA35" i="7"/>
  <c r="AA36" i="7"/>
  <c r="AA86" i="7" s="1"/>
  <c r="AA27" i="8"/>
  <c r="AA44" i="8" s="1"/>
  <c r="Z31" i="8"/>
  <c r="Z48" i="8" s="1"/>
  <c r="Z30" i="8"/>
  <c r="Z47" i="8" s="1"/>
  <c r="AB32" i="7"/>
  <c r="AC17" i="7"/>
  <c r="AB14" i="8"/>
  <c r="U31" i="7"/>
  <c r="U63" i="7" s="1"/>
  <c r="U12" i="9" s="1"/>
  <c r="Y28" i="8"/>
  <c r="R21" i="9"/>
  <c r="Y83" i="7"/>
  <c r="Y40" i="7"/>
  <c r="X36" i="8" l="1"/>
  <c r="X37" i="8" s="1"/>
  <c r="V46" i="7"/>
  <c r="W43" i="7" s="1"/>
  <c r="W45" i="7" s="1"/>
  <c r="W38" i="7" s="1"/>
  <c r="W89" i="7" s="1"/>
  <c r="X44" i="7"/>
  <c r="R26" i="9"/>
  <c r="Y41" i="7"/>
  <c r="X49" i="8"/>
  <c r="Y32" i="8"/>
  <c r="Y34" i="8" s="1"/>
  <c r="Y35" i="8" s="1"/>
  <c r="Y45" i="8"/>
  <c r="S26" i="9"/>
  <c r="T24" i="9"/>
  <c r="Z28" i="8"/>
  <c r="AC14" i="8"/>
  <c r="AD17" i="7"/>
  <c r="AC32" i="7"/>
  <c r="AA85" i="7"/>
  <c r="AA33" i="7"/>
  <c r="V31" i="7"/>
  <c r="V63" i="7" s="1"/>
  <c r="V12" i="9" s="1"/>
  <c r="Z83" i="7"/>
  <c r="Z40" i="7"/>
  <c r="AB27" i="8"/>
  <c r="AB44" i="8" s="1"/>
  <c r="AB35" i="7"/>
  <c r="AB39" i="7"/>
  <c r="AB82" i="7"/>
  <c r="AB36" i="7"/>
  <c r="AB86" i="7" s="1"/>
  <c r="S21" i="9"/>
  <c r="S22" i="9"/>
  <c r="U66" i="7"/>
  <c r="U13" i="9" s="1"/>
  <c r="U72" i="7"/>
  <c r="T20" i="9"/>
  <c r="AA30" i="8"/>
  <c r="AA47" i="8" s="1"/>
  <c r="AA31" i="8"/>
  <c r="AA48" i="8" s="1"/>
  <c r="W37" i="7"/>
  <c r="W39" i="8"/>
  <c r="Y36" i="8" l="1"/>
  <c r="Y37" i="8" s="1"/>
  <c r="W46" i="7"/>
  <c r="X43" i="7" s="1"/>
  <c r="X45" i="7" s="1"/>
  <c r="X38" i="7" s="1"/>
  <c r="X89" i="7" s="1"/>
  <c r="Y44" i="7"/>
  <c r="Z41" i="7"/>
  <c r="Z32" i="8"/>
  <c r="Z34" i="8" s="1"/>
  <c r="Z35" i="8" s="1"/>
  <c r="Z45" i="8"/>
  <c r="Y49" i="8"/>
  <c r="T25" i="9"/>
  <c r="U24" i="9"/>
  <c r="S25" i="9"/>
  <c r="W31" i="7"/>
  <c r="W63" i="7" s="1"/>
  <c r="W12" i="9" s="1"/>
  <c r="X37" i="7"/>
  <c r="X39" i="8"/>
  <c r="T21" i="9"/>
  <c r="T22" i="9"/>
  <c r="AB33" i="7"/>
  <c r="AB85" i="7"/>
  <c r="AC27" i="8"/>
  <c r="AC44" i="8" s="1"/>
  <c r="AC36" i="7"/>
  <c r="AC86" i="7" s="1"/>
  <c r="AC35" i="7"/>
  <c r="AC82" i="7"/>
  <c r="AC39" i="7"/>
  <c r="AB31" i="8"/>
  <c r="AB48" i="8" s="1"/>
  <c r="AB30" i="8"/>
  <c r="AB47" i="8" s="1"/>
  <c r="V66" i="7"/>
  <c r="V13" i="9" s="1"/>
  <c r="V72" i="7"/>
  <c r="U20" i="9"/>
  <c r="AE17" i="7"/>
  <c r="AD32" i="7"/>
  <c r="AD14" i="8"/>
  <c r="AA28" i="8"/>
  <c r="AA83" i="7"/>
  <c r="AA40" i="7"/>
  <c r="Z36" i="8" l="1"/>
  <c r="Z37" i="8" s="1"/>
  <c r="X46" i="7"/>
  <c r="Y43" i="7" s="1"/>
  <c r="Y45" i="7" s="1"/>
  <c r="Y38" i="7" s="1"/>
  <c r="Y89" i="7" s="1"/>
  <c r="Z44" i="7"/>
  <c r="AA41" i="7"/>
  <c r="AA32" i="8"/>
  <c r="AA34" i="8" s="1"/>
  <c r="AA35" i="8" s="1"/>
  <c r="AA45" i="8"/>
  <c r="Z49" i="8"/>
  <c r="T26" i="9"/>
  <c r="U26" i="9"/>
  <c r="V24" i="9"/>
  <c r="AB28" i="8"/>
  <c r="U21" i="9"/>
  <c r="U22" i="9"/>
  <c r="AC85" i="7"/>
  <c r="AC33" i="7"/>
  <c r="AB83" i="7"/>
  <c r="AB40" i="7"/>
  <c r="X31" i="7"/>
  <c r="X63" i="7" s="1"/>
  <c r="X12" i="9" s="1"/>
  <c r="AD27" i="8"/>
  <c r="AD44" i="8" s="1"/>
  <c r="AD36" i="7"/>
  <c r="AD86" i="7" s="1"/>
  <c r="AD35" i="7"/>
  <c r="AD82" i="7"/>
  <c r="AD39" i="7"/>
  <c r="Y37" i="7"/>
  <c r="Y39" i="8"/>
  <c r="W66" i="7"/>
  <c r="W13" i="9" s="1"/>
  <c r="W72" i="7"/>
  <c r="V20" i="9"/>
  <c r="V22" i="9" s="1"/>
  <c r="AF17" i="7"/>
  <c r="AE32" i="7"/>
  <c r="AE14" i="8"/>
  <c r="AC31" i="8"/>
  <c r="AC48" i="8" s="1"/>
  <c r="AC30" i="8"/>
  <c r="AC47" i="8" s="1"/>
  <c r="Y46" i="7" l="1"/>
  <c r="Z43" i="7" s="1"/>
  <c r="Z45" i="7" s="1"/>
  <c r="Z38" i="7" s="1"/>
  <c r="Z89" i="7" s="1"/>
  <c r="AA44" i="7"/>
  <c r="AB41" i="7"/>
  <c r="AB32" i="8"/>
  <c r="AB34" i="8" s="1"/>
  <c r="AB35" i="8" s="1"/>
  <c r="AB45" i="8"/>
  <c r="AA49" i="8"/>
  <c r="U25" i="9"/>
  <c r="AA36" i="8"/>
  <c r="V25" i="9"/>
  <c r="W24" i="9"/>
  <c r="AE27" i="8"/>
  <c r="AE44" i="8" s="1"/>
  <c r="AE35" i="7"/>
  <c r="AE82" i="7"/>
  <c r="AE36" i="7"/>
  <c r="AE86" i="7" s="1"/>
  <c r="AE39" i="7"/>
  <c r="AC28" i="8"/>
  <c r="AG17" i="7"/>
  <c r="AF32" i="7"/>
  <c r="AF14" i="8"/>
  <c r="AD30" i="8"/>
  <c r="AD47" i="8" s="1"/>
  <c r="AD31" i="8"/>
  <c r="AD48" i="8" s="1"/>
  <c r="X66" i="7"/>
  <c r="X13" i="9" s="1"/>
  <c r="X72" i="7"/>
  <c r="W20" i="9"/>
  <c r="AC83" i="7"/>
  <c r="AC40" i="7"/>
  <c r="V21" i="9"/>
  <c r="Y31" i="7"/>
  <c r="Y63" i="7" s="1"/>
  <c r="Y12" i="9" s="1"/>
  <c r="AD85" i="7"/>
  <c r="AD33" i="7"/>
  <c r="Z37" i="7"/>
  <c r="Z39" i="8"/>
  <c r="Z46" i="7" l="1"/>
  <c r="AA43" i="7" s="1"/>
  <c r="AA45" i="7" s="1"/>
  <c r="AA38" i="7" s="1"/>
  <c r="AA89" i="7" s="1"/>
  <c r="AB44" i="7"/>
  <c r="AB36" i="8"/>
  <c r="AB37" i="8" s="1"/>
  <c r="AC41" i="7"/>
  <c r="AA37" i="8"/>
  <c r="AA39" i="8" s="1"/>
  <c r="AB49" i="8"/>
  <c r="AC32" i="8"/>
  <c r="AC34" i="8" s="1"/>
  <c r="AC35" i="8" s="1"/>
  <c r="AC45" i="8"/>
  <c r="V26" i="9"/>
  <c r="W26" i="9"/>
  <c r="X24" i="9"/>
  <c r="AE31" i="8"/>
  <c r="AE48" i="8" s="1"/>
  <c r="AE30" i="8"/>
  <c r="AE47" i="8" s="1"/>
  <c r="Y72" i="7"/>
  <c r="Y66" i="7"/>
  <c r="Y13" i="9" s="1"/>
  <c r="X20" i="9"/>
  <c r="W21" i="9"/>
  <c r="W22" i="9"/>
  <c r="AF27" i="8"/>
  <c r="AF44" i="8" s="1"/>
  <c r="AF82" i="7"/>
  <c r="AF36" i="7"/>
  <c r="AF86" i="7" s="1"/>
  <c r="AF35" i="7"/>
  <c r="AF39" i="7"/>
  <c r="AD83" i="7"/>
  <c r="AD40" i="7"/>
  <c r="AG32" i="7"/>
  <c r="AG14" i="8"/>
  <c r="AH17" i="7"/>
  <c r="Z31" i="7"/>
  <c r="Z63" i="7" s="1"/>
  <c r="Z12" i="9" s="1"/>
  <c r="AD28" i="8"/>
  <c r="AE85" i="7"/>
  <c r="AE33" i="7"/>
  <c r="AA46" i="7" l="1"/>
  <c r="AB43" i="7" s="1"/>
  <c r="AB45" i="7" s="1"/>
  <c r="AB38" i="7" s="1"/>
  <c r="AB89" i="7" s="1"/>
  <c r="AC44" i="7"/>
  <c r="AA37" i="7"/>
  <c r="AA31" i="7" s="1"/>
  <c r="AA63" i="7" s="1"/>
  <c r="AA12" i="9" s="1"/>
  <c r="AD41" i="7"/>
  <c r="AC49" i="8"/>
  <c r="AD32" i="8"/>
  <c r="AD34" i="8" s="1"/>
  <c r="AD35" i="8" s="1"/>
  <c r="AD45" i="8"/>
  <c r="AC36" i="8"/>
  <c r="AC37" i="8" s="1"/>
  <c r="W25" i="9"/>
  <c r="X25" i="9"/>
  <c r="Y24" i="9"/>
  <c r="AE28" i="8"/>
  <c r="AE40" i="7"/>
  <c r="AE83" i="7"/>
  <c r="Z66" i="7"/>
  <c r="Z13" i="9" s="1"/>
  <c r="Z72" i="7"/>
  <c r="Y20" i="9"/>
  <c r="AI17" i="7"/>
  <c r="AH32" i="7"/>
  <c r="AH14" i="8"/>
  <c r="AB37" i="7"/>
  <c r="AB39" i="8"/>
  <c r="AF30" i="8"/>
  <c r="AF47" i="8" s="1"/>
  <c r="AF31" i="8"/>
  <c r="AF48" i="8" s="1"/>
  <c r="AG27" i="8"/>
  <c r="AG44" i="8" s="1"/>
  <c r="AG82" i="7"/>
  <c r="AG39" i="7"/>
  <c r="AG36" i="7"/>
  <c r="AG86" i="7" s="1"/>
  <c r="AG35" i="7"/>
  <c r="AF33" i="7"/>
  <c r="AF85" i="7"/>
  <c r="X21" i="9"/>
  <c r="X22" i="9"/>
  <c r="AB46" i="7" l="1"/>
  <c r="AC43" i="7" s="1"/>
  <c r="AC45" i="7" s="1"/>
  <c r="AC38" i="7" s="1"/>
  <c r="AC89" i="7" s="1"/>
  <c r="AD44" i="7"/>
  <c r="AE41" i="7"/>
  <c r="AD36" i="8"/>
  <c r="AD37" i="8" s="1"/>
  <c r="AE32" i="8"/>
  <c r="AE34" i="8" s="1"/>
  <c r="AE35" i="8" s="1"/>
  <c r="AE45" i="8"/>
  <c r="AD49" i="8"/>
  <c r="X26" i="9"/>
  <c r="Y25" i="9"/>
  <c r="Z24" i="9"/>
  <c r="AF28" i="8"/>
  <c r="AB31" i="7"/>
  <c r="AB63" i="7" s="1"/>
  <c r="AB12" i="9" s="1"/>
  <c r="Y21" i="9"/>
  <c r="Y22" i="9"/>
  <c r="AF40" i="7"/>
  <c r="AF83" i="7"/>
  <c r="AG31" i="8"/>
  <c r="AG48" i="8" s="1"/>
  <c r="AG30" i="8"/>
  <c r="AG47" i="8" s="1"/>
  <c r="AG85" i="7"/>
  <c r="AG33" i="7"/>
  <c r="AH27" i="8"/>
  <c r="AH44" i="8" s="1"/>
  <c r="AH35" i="7"/>
  <c r="AH82" i="7"/>
  <c r="AH36" i="7"/>
  <c r="AH86" i="7" s="1"/>
  <c r="AH39" i="7"/>
  <c r="AA72" i="7"/>
  <c r="AA66" i="7"/>
  <c r="AA13" i="9" s="1"/>
  <c r="Z20" i="9"/>
  <c r="AC37" i="7"/>
  <c r="AC39" i="8"/>
  <c r="AJ17" i="7"/>
  <c r="AI14" i="8"/>
  <c r="AI32" i="7"/>
  <c r="AC46" i="7" l="1"/>
  <c r="AD43" i="7" s="1"/>
  <c r="AD45" i="7" s="1"/>
  <c r="AD38" i="7" s="1"/>
  <c r="AD89" i="7" s="1"/>
  <c r="AE44" i="7"/>
  <c r="AF41" i="7"/>
  <c r="AE36" i="8"/>
  <c r="AE37" i="8" s="1"/>
  <c r="AF32" i="8"/>
  <c r="AF34" i="8" s="1"/>
  <c r="AF35" i="8" s="1"/>
  <c r="AF45" i="8"/>
  <c r="AE49" i="8"/>
  <c r="Y26" i="9"/>
  <c r="Z26" i="9"/>
  <c r="AA24" i="9"/>
  <c r="AJ32" i="7"/>
  <c r="AJ14" i="8"/>
  <c r="AK17" i="7"/>
  <c r="AH85" i="7"/>
  <c r="AH33" i="7"/>
  <c r="AG28" i="8"/>
  <c r="AD37" i="7"/>
  <c r="AD39" i="8"/>
  <c r="AH30" i="8"/>
  <c r="AH47" i="8" s="1"/>
  <c r="AH31" i="8"/>
  <c r="AH48" i="8" s="1"/>
  <c r="AI27" i="8"/>
  <c r="AI44" i="8" s="1"/>
  <c r="AI82" i="7"/>
  <c r="AI39" i="7"/>
  <c r="AI36" i="7"/>
  <c r="AI86" i="7" s="1"/>
  <c r="AI35" i="7"/>
  <c r="AC31" i="7"/>
  <c r="AC63" i="7" s="1"/>
  <c r="AC12" i="9" s="1"/>
  <c r="Z21" i="9"/>
  <c r="Z22" i="9"/>
  <c r="AG83" i="7"/>
  <c r="AG40" i="7"/>
  <c r="AB72" i="7"/>
  <c r="AB66" i="7"/>
  <c r="AB13" i="9" s="1"/>
  <c r="AA20" i="9"/>
  <c r="AD46" i="7" l="1"/>
  <c r="AE43" i="7" s="1"/>
  <c r="AE45" i="7" s="1"/>
  <c r="AE38" i="7" s="1"/>
  <c r="AE89" i="7" s="1"/>
  <c r="AF44" i="7"/>
  <c r="AF36" i="8"/>
  <c r="AF37" i="8" s="1"/>
  <c r="AG41" i="7"/>
  <c r="AG32" i="8"/>
  <c r="AG34" i="8" s="1"/>
  <c r="AG35" i="8" s="1"/>
  <c r="AG45" i="8"/>
  <c r="Z25" i="9"/>
  <c r="AF49" i="8"/>
  <c r="AA25" i="9"/>
  <c r="AB24" i="9"/>
  <c r="AH28" i="8"/>
  <c r="AI33" i="7"/>
  <c r="AI85" i="7"/>
  <c r="AI30" i="8"/>
  <c r="AI47" i="8" s="1"/>
  <c r="AI31" i="8"/>
  <c r="AI48" i="8" s="1"/>
  <c r="AD31" i="7"/>
  <c r="AD63" i="7" s="1"/>
  <c r="AD12" i="9" s="1"/>
  <c r="AL17" i="7"/>
  <c r="AK32" i="7"/>
  <c r="AK14" i="8"/>
  <c r="AC72" i="7"/>
  <c r="AC66" i="7"/>
  <c r="AC13" i="9" s="1"/>
  <c r="AB20" i="9"/>
  <c r="AH83" i="7"/>
  <c r="AH40" i="7"/>
  <c r="AJ27" i="8"/>
  <c r="AJ44" i="8" s="1"/>
  <c r="AJ35" i="7"/>
  <c r="AJ36" i="7"/>
  <c r="AJ86" i="7" s="1"/>
  <c r="AJ82" i="7"/>
  <c r="AJ39" i="7"/>
  <c r="AA21" i="9"/>
  <c r="AA22" i="9"/>
  <c r="AE37" i="7"/>
  <c r="AE39" i="8"/>
  <c r="AE46" i="7" l="1"/>
  <c r="AF43" i="7" s="1"/>
  <c r="AF45" i="7" s="1"/>
  <c r="AF38" i="7" s="1"/>
  <c r="AF89" i="7" s="1"/>
  <c r="AG36" i="8"/>
  <c r="AG37" i="8" s="1"/>
  <c r="AG44" i="7"/>
  <c r="AH41" i="7"/>
  <c r="AH32" i="8"/>
  <c r="AH34" i="8" s="1"/>
  <c r="AH35" i="8" s="1"/>
  <c r="AH45" i="8"/>
  <c r="AG49" i="8"/>
  <c r="AA26" i="9"/>
  <c r="AB26" i="9"/>
  <c r="AC24" i="9"/>
  <c r="AJ30" i="8"/>
  <c r="AJ47" i="8" s="1"/>
  <c r="AJ31" i="8"/>
  <c r="AJ48" i="8" s="1"/>
  <c r="AD66" i="7"/>
  <c r="AD13" i="9" s="1"/>
  <c r="AD72" i="7"/>
  <c r="AC20" i="9"/>
  <c r="AI40" i="7"/>
  <c r="AI83" i="7"/>
  <c r="AE31" i="7"/>
  <c r="AE63" i="7" s="1"/>
  <c r="AE12" i="9" s="1"/>
  <c r="AK27" i="8"/>
  <c r="AK44" i="8" s="1"/>
  <c r="AK36" i="7"/>
  <c r="AK86" i="7" s="1"/>
  <c r="AK35" i="7"/>
  <c r="AK82" i="7"/>
  <c r="AK39" i="7"/>
  <c r="AM17" i="7"/>
  <c r="AL32" i="7"/>
  <c r="AL14" i="8"/>
  <c r="AI28" i="8"/>
  <c r="AJ85" i="7"/>
  <c r="AJ33" i="7"/>
  <c r="AB21" i="9"/>
  <c r="AB22" i="9"/>
  <c r="AF37" i="7"/>
  <c r="AF39" i="8"/>
  <c r="AH36" i="8" l="1"/>
  <c r="AH37" i="8" s="1"/>
  <c r="AF46" i="7"/>
  <c r="AG43" i="7" s="1"/>
  <c r="AG45" i="7" s="1"/>
  <c r="AG38" i="7" s="1"/>
  <c r="AG89" i="7" s="1"/>
  <c r="AH44" i="7"/>
  <c r="AI41" i="7"/>
  <c r="AB25" i="9"/>
  <c r="AI32" i="8"/>
  <c r="AI34" i="8" s="1"/>
  <c r="AI35" i="8" s="1"/>
  <c r="AI45" i="8"/>
  <c r="AH49" i="8"/>
  <c r="AC25" i="9"/>
  <c r="AD24" i="9"/>
  <c r="AG37" i="7"/>
  <c r="AG39" i="8"/>
  <c r="AK85" i="7"/>
  <c r="AK33" i="7"/>
  <c r="AJ83" i="7"/>
  <c r="AJ40" i="7"/>
  <c r="AL27" i="8"/>
  <c r="AL44" i="8" s="1"/>
  <c r="AL82" i="7"/>
  <c r="AL35" i="7"/>
  <c r="AL36" i="7"/>
  <c r="AL86" i="7" s="1"/>
  <c r="AL39" i="7"/>
  <c r="AM32" i="7"/>
  <c r="AM14" i="8"/>
  <c r="AN17" i="7"/>
  <c r="AK31" i="8"/>
  <c r="AK48" i="8" s="1"/>
  <c r="AK30" i="8"/>
  <c r="AK47" i="8" s="1"/>
  <c r="AF31" i="7"/>
  <c r="AF63" i="7" s="1"/>
  <c r="AF12" i="9" s="1"/>
  <c r="AE72" i="7"/>
  <c r="AE66" i="7"/>
  <c r="AE13" i="9" s="1"/>
  <c r="AD20" i="9"/>
  <c r="AC21" i="9"/>
  <c r="AC22" i="9"/>
  <c r="AJ28" i="8"/>
  <c r="AI36" i="8" l="1"/>
  <c r="AI37" i="8" s="1"/>
  <c r="AG46" i="7"/>
  <c r="AH43" i="7" s="1"/>
  <c r="AH45" i="7" s="1"/>
  <c r="AH38" i="7" s="1"/>
  <c r="AH89" i="7" s="1"/>
  <c r="AI44" i="7"/>
  <c r="AJ41" i="7"/>
  <c r="AJ32" i="8"/>
  <c r="AJ34" i="8" s="1"/>
  <c r="AJ35" i="8" s="1"/>
  <c r="AJ45" i="8"/>
  <c r="AI49" i="8"/>
  <c r="AC26" i="9"/>
  <c r="AD26" i="9"/>
  <c r="AE24" i="9"/>
  <c r="AK83" i="7"/>
  <c r="AK40" i="7"/>
  <c r="AH37" i="7"/>
  <c r="AH39" i="8"/>
  <c r="AK28" i="8"/>
  <c r="AM27" i="8"/>
  <c r="AM44" i="8" s="1"/>
  <c r="AM82" i="7"/>
  <c r="AM36" i="7"/>
  <c r="AM86" i="7" s="1"/>
  <c r="AM35" i="7"/>
  <c r="AM39" i="7"/>
  <c r="AL31" i="8"/>
  <c r="AL48" i="8" s="1"/>
  <c r="AL30" i="8"/>
  <c r="AL47" i="8" s="1"/>
  <c r="AD21" i="9"/>
  <c r="AD22" i="9"/>
  <c r="AF72" i="7"/>
  <c r="AF66" i="7"/>
  <c r="AF13" i="9" s="1"/>
  <c r="AE20" i="9"/>
  <c r="AO17" i="7"/>
  <c r="AN32" i="7"/>
  <c r="AN14" i="8"/>
  <c r="AL85" i="7"/>
  <c r="AL33" i="7"/>
  <c r="AG31" i="7"/>
  <c r="AG63" i="7" s="1"/>
  <c r="AG12" i="9" s="1"/>
  <c r="AJ36" i="8" l="1"/>
  <c r="AJ37" i="8" s="1"/>
  <c r="AH46" i="7"/>
  <c r="AI43" i="7" s="1"/>
  <c r="AI45" i="7" s="1"/>
  <c r="AI46" i="7" s="1"/>
  <c r="AJ43" i="7" s="1"/>
  <c r="AJ44" i="7"/>
  <c r="AK41" i="7"/>
  <c r="AK32" i="8"/>
  <c r="AK34" i="8" s="1"/>
  <c r="AK35" i="8" s="1"/>
  <c r="AK45" i="8"/>
  <c r="AJ49" i="8"/>
  <c r="AE26" i="9"/>
  <c r="AF24" i="9"/>
  <c r="AD25" i="9"/>
  <c r="AL83" i="7"/>
  <c r="AL40" i="7"/>
  <c r="AO14" i="8"/>
  <c r="AP17" i="7"/>
  <c r="AO32" i="7"/>
  <c r="AI37" i="7"/>
  <c r="AI39" i="8"/>
  <c r="AL28" i="8"/>
  <c r="AE21" i="9"/>
  <c r="AE22" i="9"/>
  <c r="AH31" i="7"/>
  <c r="AH63" i="7" s="1"/>
  <c r="AH12" i="9" s="1"/>
  <c r="AG72" i="7"/>
  <c r="AG66" i="7"/>
  <c r="AG13" i="9" s="1"/>
  <c r="AF20" i="9"/>
  <c r="AM31" i="8"/>
  <c r="AM48" i="8" s="1"/>
  <c r="AM30" i="8"/>
  <c r="AM47" i="8" s="1"/>
  <c r="AN27" i="8"/>
  <c r="AN44" i="8" s="1"/>
  <c r="AN39" i="7"/>
  <c r="AN36" i="7"/>
  <c r="AN86" i="7" s="1"/>
  <c r="AN82" i="7"/>
  <c r="AN35" i="7"/>
  <c r="AM33" i="7"/>
  <c r="AM85" i="7"/>
  <c r="AJ45" i="7" l="1"/>
  <c r="AJ38" i="7" s="1"/>
  <c r="AJ89" i="7" s="1"/>
  <c r="AI38" i="7"/>
  <c r="AI89" i="7" s="1"/>
  <c r="AK44" i="7"/>
  <c r="AL41" i="7"/>
  <c r="AE25" i="9"/>
  <c r="AL32" i="8"/>
  <c r="AL34" i="8" s="1"/>
  <c r="AL35" i="8" s="1"/>
  <c r="AL45" i="8"/>
  <c r="AK49" i="8"/>
  <c r="AK36" i="8"/>
  <c r="AK37" i="8" s="1"/>
  <c r="AF26" i="9"/>
  <c r="AG24" i="9"/>
  <c r="AQ17" i="7"/>
  <c r="AP32" i="7"/>
  <c r="AP14" i="8"/>
  <c r="AM40" i="7"/>
  <c r="AM83" i="7"/>
  <c r="AJ37" i="7"/>
  <c r="AJ39" i="8"/>
  <c r="AN85" i="7"/>
  <c r="AN33" i="7"/>
  <c r="AH72" i="7"/>
  <c r="AH66" i="7"/>
  <c r="AH13" i="9" s="1"/>
  <c r="AG20" i="9"/>
  <c r="AN30" i="8"/>
  <c r="AN47" i="8" s="1"/>
  <c r="AN31" i="8"/>
  <c r="AN48" i="8" s="1"/>
  <c r="AM28" i="8"/>
  <c r="AF21" i="9"/>
  <c r="AF22" i="9"/>
  <c r="AO27" i="8"/>
  <c r="AO44" i="8" s="1"/>
  <c r="AO36" i="7"/>
  <c r="AO86" i="7" s="1"/>
  <c r="AO35" i="7"/>
  <c r="AO82" i="7"/>
  <c r="AO39" i="7"/>
  <c r="AJ46" i="7" l="1"/>
  <c r="AK43" i="7" s="1"/>
  <c r="AK45" i="7" s="1"/>
  <c r="AK46" i="7" s="1"/>
  <c r="AL43" i="7" s="1"/>
  <c r="AI31" i="7"/>
  <c r="AI63" i="7" s="1"/>
  <c r="AI12" i="9" s="1"/>
  <c r="AL44" i="7"/>
  <c r="AM41" i="7"/>
  <c r="AL36" i="8"/>
  <c r="AL37" i="8" s="1"/>
  <c r="AL49" i="8"/>
  <c r="AM32" i="8"/>
  <c r="AM34" i="8" s="1"/>
  <c r="AM35" i="8" s="1"/>
  <c r="AM45" i="8"/>
  <c r="AF25" i="9"/>
  <c r="AG26" i="9"/>
  <c r="AH24" i="9"/>
  <c r="AN28" i="8"/>
  <c r="AO85" i="7"/>
  <c r="AO33" i="7"/>
  <c r="AH20" i="9"/>
  <c r="AH22" i="9" s="1"/>
  <c r="AJ31" i="7"/>
  <c r="AJ63" i="7" s="1"/>
  <c r="AJ12" i="9" s="1"/>
  <c r="AP27" i="8"/>
  <c r="AP44" i="8" s="1"/>
  <c r="AP36" i="7"/>
  <c r="AP86" i="7" s="1"/>
  <c r="AP82" i="7"/>
  <c r="AP39" i="7"/>
  <c r="AP35" i="7"/>
  <c r="AN83" i="7"/>
  <c r="AN40" i="7"/>
  <c r="AQ32" i="7"/>
  <c r="AQ14" i="8"/>
  <c r="AR17" i="7"/>
  <c r="AO31" i="8"/>
  <c r="AO48" i="8" s="1"/>
  <c r="AO30" i="8"/>
  <c r="AO47" i="8" s="1"/>
  <c r="AG21" i="9"/>
  <c r="AG22" i="9"/>
  <c r="AK37" i="7"/>
  <c r="AK39" i="8"/>
  <c r="AJ20" i="9" l="1"/>
  <c r="AJ22" i="9" s="1"/>
  <c r="AI72" i="7"/>
  <c r="AJ72" i="7" s="1"/>
  <c r="AI66" i="7"/>
  <c r="AI13" i="9" s="1"/>
  <c r="AK38" i="7"/>
  <c r="AK89" i="7" s="1"/>
  <c r="AL45" i="7"/>
  <c r="AL38" i="7" s="1"/>
  <c r="AL89" i="7" s="1"/>
  <c r="AM44" i="7"/>
  <c r="AN41" i="7"/>
  <c r="AM49" i="8"/>
  <c r="AM36" i="8"/>
  <c r="AM37" i="8" s="1"/>
  <c r="AN32" i="8"/>
  <c r="AN34" i="8" s="1"/>
  <c r="AN35" i="8" s="1"/>
  <c r="AN45" i="8"/>
  <c r="AG25" i="9"/>
  <c r="AH26" i="9"/>
  <c r="AH21" i="9"/>
  <c r="AJ66" i="7"/>
  <c r="AJ13" i="9" s="1"/>
  <c r="AI20" i="9"/>
  <c r="AR14" i="8"/>
  <c r="AS17" i="7"/>
  <c r="AR32" i="7"/>
  <c r="AO83" i="7"/>
  <c r="AO40" i="7"/>
  <c r="AO28" i="8"/>
  <c r="AQ27" i="8"/>
  <c r="AQ44" i="8" s="1"/>
  <c r="AQ36" i="7"/>
  <c r="AQ86" i="7" s="1"/>
  <c r="AQ39" i="7"/>
  <c r="AQ35" i="7"/>
  <c r="AQ82" i="7"/>
  <c r="AP33" i="7"/>
  <c r="AP85" i="7"/>
  <c r="AP31" i="8"/>
  <c r="AP48" i="8" s="1"/>
  <c r="AP30" i="8"/>
  <c r="AP47" i="8" s="1"/>
  <c r="AL37" i="7"/>
  <c r="AL39" i="8"/>
  <c r="AJ21" i="9" l="1"/>
  <c r="AI24" i="9"/>
  <c r="AI25" i="9" s="1"/>
  <c r="AK31" i="7"/>
  <c r="AK63" i="7" s="1"/>
  <c r="AK12" i="9" s="1"/>
  <c r="AL46" i="7"/>
  <c r="AM43" i="7" s="1"/>
  <c r="AM45" i="7" s="1"/>
  <c r="AM38" i="7" s="1"/>
  <c r="AM89" i="7" s="1"/>
  <c r="AN44" i="7"/>
  <c r="AO41" i="7"/>
  <c r="AN36" i="8"/>
  <c r="AN37" i="8" s="1"/>
  <c r="AN49" i="8"/>
  <c r="AO32" i="8"/>
  <c r="AO34" i="8" s="1"/>
  <c r="AO35" i="8" s="1"/>
  <c r="AO45" i="8"/>
  <c r="AH25" i="9"/>
  <c r="AJ24" i="9"/>
  <c r="AP28" i="8"/>
  <c r="AL31" i="7"/>
  <c r="AL63" i="7" s="1"/>
  <c r="AL12" i="9" s="1"/>
  <c r="AP40" i="7"/>
  <c r="AP83" i="7"/>
  <c r="AR27" i="8"/>
  <c r="AR44" i="8" s="1"/>
  <c r="AR36" i="7"/>
  <c r="AR86" i="7" s="1"/>
  <c r="AR35" i="7"/>
  <c r="AR39" i="7"/>
  <c r="AR82" i="7"/>
  <c r="AQ31" i="8"/>
  <c r="AQ48" i="8" s="1"/>
  <c r="AQ30" i="8"/>
  <c r="AQ47" i="8" s="1"/>
  <c r="AT17" i="7"/>
  <c r="AS14" i="8"/>
  <c r="AS32" i="7"/>
  <c r="AI21" i="9"/>
  <c r="AI22" i="9"/>
  <c r="AQ85" i="7"/>
  <c r="AQ33" i="7"/>
  <c r="AM37" i="7"/>
  <c r="AM39" i="8"/>
  <c r="AK66" i="7" l="1"/>
  <c r="AK13" i="9" s="1"/>
  <c r="AK72" i="7"/>
  <c r="AL72" i="7" s="1"/>
  <c r="AM46" i="7"/>
  <c r="AN43" i="7" s="1"/>
  <c r="AN45" i="7" s="1"/>
  <c r="AN38" i="7" s="1"/>
  <c r="AN89" i="7" s="1"/>
  <c r="AO44" i="7"/>
  <c r="AO36" i="8"/>
  <c r="AO37" i="8" s="1"/>
  <c r="AP41" i="7"/>
  <c r="AI26" i="9"/>
  <c r="AO49" i="8"/>
  <c r="AP32" i="8"/>
  <c r="AP34" i="8" s="1"/>
  <c r="AP35" i="8" s="1"/>
  <c r="AP45" i="8"/>
  <c r="AJ25" i="9"/>
  <c r="AQ83" i="7"/>
  <c r="AQ40" i="7"/>
  <c r="AQ28" i="8"/>
  <c r="AR31" i="8"/>
  <c r="AR48" i="8" s="1"/>
  <c r="AR30" i="8"/>
  <c r="AR47" i="8" s="1"/>
  <c r="AS39" i="7"/>
  <c r="AS36" i="7"/>
  <c r="AS86" i="7" s="1"/>
  <c r="AS27" i="8"/>
  <c r="AS44" i="8" s="1"/>
  <c r="AS82" i="7"/>
  <c r="AS35" i="7"/>
  <c r="AR85" i="7"/>
  <c r="AR33" i="7"/>
  <c r="AM31" i="7"/>
  <c r="AM63" i="7" s="1"/>
  <c r="AM12" i="9" s="1"/>
  <c r="AT32" i="7"/>
  <c r="AT14" i="8"/>
  <c r="AN37" i="7"/>
  <c r="AN39" i="8"/>
  <c r="AL66" i="7"/>
  <c r="AL13" i="9" s="1"/>
  <c r="AK20" i="9"/>
  <c r="AK22" i="9" s="1"/>
  <c r="AK24" i="9" l="1"/>
  <c r="AK25" i="9" s="1"/>
  <c r="AP36" i="8"/>
  <c r="AP37" i="8" s="1"/>
  <c r="AN46" i="7"/>
  <c r="AO43" i="7" s="1"/>
  <c r="AO45" i="7" s="1"/>
  <c r="AO38" i="7" s="1"/>
  <c r="AO89" i="7" s="1"/>
  <c r="AP44" i="7"/>
  <c r="AQ41" i="7"/>
  <c r="AP49" i="8"/>
  <c r="AQ32" i="8"/>
  <c r="AQ34" i="8" s="1"/>
  <c r="AQ35" i="8" s="1"/>
  <c r="AQ45" i="8"/>
  <c r="AJ26" i="9"/>
  <c r="AL24" i="9"/>
  <c r="AN31" i="7"/>
  <c r="AN63" i="7" s="1"/>
  <c r="AN12" i="9" s="1"/>
  <c r="AK21" i="9"/>
  <c r="AS31" i="8"/>
  <c r="AS48" i="8" s="1"/>
  <c r="AS30" i="8"/>
  <c r="AS47" i="8" s="1"/>
  <c r="AO37" i="7"/>
  <c r="AO39" i="8"/>
  <c r="AT82" i="7"/>
  <c r="AT27" i="8"/>
  <c r="AT44" i="8" s="1"/>
  <c r="AT39" i="7"/>
  <c r="AT36" i="7"/>
  <c r="AT86" i="7" s="1"/>
  <c r="AT35" i="7"/>
  <c r="AS85" i="7"/>
  <c r="AS33" i="7"/>
  <c r="AM66" i="7"/>
  <c r="AM13" i="9" s="1"/>
  <c r="AM72" i="7"/>
  <c r="AL20" i="9"/>
  <c r="AR83" i="7"/>
  <c r="AR40" i="7"/>
  <c r="AR28" i="8"/>
  <c r="AQ36" i="8" l="1"/>
  <c r="AQ37" i="8" s="1"/>
  <c r="AO46" i="7"/>
  <c r="AP43" i="7" s="1"/>
  <c r="AP45" i="7" s="1"/>
  <c r="AP38" i="7" s="1"/>
  <c r="AP89" i="7" s="1"/>
  <c r="AQ44" i="7"/>
  <c r="AR41" i="7"/>
  <c r="AR32" i="8"/>
  <c r="AR34" i="8" s="1"/>
  <c r="AR35" i="8" s="1"/>
  <c r="AR45" i="8"/>
  <c r="AQ49" i="8"/>
  <c r="AK26" i="9"/>
  <c r="AL26" i="9"/>
  <c r="AM24" i="9"/>
  <c r="AO31" i="7"/>
  <c r="AO63" i="7" s="1"/>
  <c r="AO12" i="9" s="1"/>
  <c r="AP37" i="7"/>
  <c r="AP39" i="8"/>
  <c r="AT30" i="8"/>
  <c r="AT47" i="8" s="1"/>
  <c r="AT31" i="8"/>
  <c r="AT48" i="8" s="1"/>
  <c r="AS40" i="7"/>
  <c r="AS83" i="7"/>
  <c r="AT85" i="7"/>
  <c r="AT33" i="7"/>
  <c r="AN72" i="7"/>
  <c r="AN66" i="7"/>
  <c r="AN13" i="9" s="1"/>
  <c r="AM20" i="9"/>
  <c r="AL21" i="9"/>
  <c r="AL22" i="9"/>
  <c r="AS28" i="8"/>
  <c r="AP46" i="7" l="1"/>
  <c r="AQ43" i="7" s="1"/>
  <c r="AQ45" i="7" s="1"/>
  <c r="AQ38" i="7" s="1"/>
  <c r="AQ89" i="7" s="1"/>
  <c r="AR44" i="7"/>
  <c r="AS41" i="7"/>
  <c r="AR49" i="8"/>
  <c r="AS32" i="8"/>
  <c r="AS34" i="8" s="1"/>
  <c r="AS35" i="8" s="1"/>
  <c r="AS45" i="8"/>
  <c r="AR36" i="8"/>
  <c r="AR37" i="8" s="1"/>
  <c r="AL25" i="9"/>
  <c r="AM26" i="9"/>
  <c r="AN24" i="9"/>
  <c r="AP31" i="7"/>
  <c r="AP63" i="7" s="1"/>
  <c r="AP12" i="9" s="1"/>
  <c r="AO66" i="7"/>
  <c r="AO13" i="9" s="1"/>
  <c r="AO72" i="7"/>
  <c r="AN20" i="9"/>
  <c r="AN22" i="9" s="1"/>
  <c r="AT40" i="7"/>
  <c r="AT83" i="7"/>
  <c r="AT28" i="8"/>
  <c r="AM21" i="9"/>
  <c r="AM22" i="9"/>
  <c r="AQ37" i="7"/>
  <c r="AQ39" i="8"/>
  <c r="AQ46" i="7" l="1"/>
  <c r="AR43" i="7" s="1"/>
  <c r="AR45" i="7" s="1"/>
  <c r="AR38" i="7" s="1"/>
  <c r="AR89" i="7" s="1"/>
  <c r="AS44" i="7"/>
  <c r="AT41" i="7"/>
  <c r="AM25" i="9"/>
  <c r="AS36" i="8"/>
  <c r="AS37" i="8" s="1"/>
  <c r="AT32" i="8"/>
  <c r="AT34" i="8" s="1"/>
  <c r="AT35" i="8" s="1"/>
  <c r="AT45" i="8"/>
  <c r="AS49" i="8"/>
  <c r="AN21" i="9"/>
  <c r="AN25" i="9"/>
  <c r="AO24" i="9"/>
  <c r="AQ31" i="7"/>
  <c r="AQ63" i="7" s="1"/>
  <c r="AQ12" i="9" s="1"/>
  <c r="AP72" i="7"/>
  <c r="AP66" i="7"/>
  <c r="AP13" i="9" s="1"/>
  <c r="AO20" i="9"/>
  <c r="AR37" i="7"/>
  <c r="AR39" i="8"/>
  <c r="AR46" i="7" l="1"/>
  <c r="AS43" i="7" s="1"/>
  <c r="AS45" i="7" s="1"/>
  <c r="AS38" i="7" s="1"/>
  <c r="AS89" i="7" s="1"/>
  <c r="AT44" i="7"/>
  <c r="AT49" i="8"/>
  <c r="AT36" i="8"/>
  <c r="AT37" i="8" s="1"/>
  <c r="AT37" i="7" s="1"/>
  <c r="AN26" i="9"/>
  <c r="AO25" i="9"/>
  <c r="AP24" i="9"/>
  <c r="AO21" i="9"/>
  <c r="AO22" i="9"/>
  <c r="AR31" i="7"/>
  <c r="AR63" i="7" s="1"/>
  <c r="AR12" i="9" s="1"/>
  <c r="AS37" i="7"/>
  <c r="AS39" i="8"/>
  <c r="AQ72" i="7"/>
  <c r="AQ66" i="7"/>
  <c r="AQ13" i="9" s="1"/>
  <c r="AP20" i="9"/>
  <c r="AQ24" i="9" l="1"/>
  <c r="AS46" i="7"/>
  <c r="AT43" i="7" s="1"/>
  <c r="AT45" i="7" s="1"/>
  <c r="AT38" i="7" s="1"/>
  <c r="AT89" i="7" s="1"/>
  <c r="AT39" i="8"/>
  <c r="AO26" i="9"/>
  <c r="AR72" i="7"/>
  <c r="AR66" i="7"/>
  <c r="AR13" i="9" s="1"/>
  <c r="AP21" i="9"/>
  <c r="AP22" i="9"/>
  <c r="AS31" i="7"/>
  <c r="AS63" i="7" s="1"/>
  <c r="AS12" i="9" s="1"/>
  <c r="AT46" i="7" l="1"/>
  <c r="AT31" i="7"/>
  <c r="AT63" i="7" s="1"/>
  <c r="AT12" i="9" s="1"/>
  <c r="H38" i="9" s="1"/>
  <c r="AQ26" i="9"/>
  <c r="AR24" i="9"/>
  <c r="AQ20" i="9"/>
  <c r="AS66" i="7"/>
  <c r="AS13" i="9" s="1"/>
  <c r="AS72" i="7"/>
  <c r="AR20" i="9"/>
  <c r="H63" i="7" l="1"/>
  <c r="AS24" i="9"/>
  <c r="AS26" i="9" s="1"/>
  <c r="AT72" i="7"/>
  <c r="H72" i="7" s="1"/>
  <c r="AT66" i="7"/>
  <c r="AT13" i="9" s="1"/>
  <c r="AS20" i="9"/>
  <c r="AS21" i="9" s="1"/>
  <c r="AR22" i="9"/>
  <c r="AP25" i="9"/>
  <c r="AP26" i="9"/>
  <c r="AQ25" i="9"/>
  <c r="AQ22" i="9"/>
  <c r="AR21" i="9"/>
  <c r="AQ21" i="9"/>
  <c r="AT20" i="9" l="1"/>
  <c r="AT22" i="9" s="1"/>
  <c r="H66" i="7"/>
  <c r="H45" i="9" s="1"/>
  <c r="K74" i="7"/>
  <c r="K75" i="7" s="1"/>
  <c r="K78" i="7" s="1"/>
  <c r="K104" i="7" s="1"/>
  <c r="AS22" i="9"/>
  <c r="AT21" i="9" l="1"/>
  <c r="H20" i="9" s="1"/>
  <c r="AT24" i="9"/>
  <c r="AT25" i="9" s="1"/>
  <c r="AR25" i="9"/>
  <c r="AR26" i="9"/>
  <c r="AS25" i="9"/>
  <c r="K77" i="7"/>
  <c r="L79" i="7" s="1"/>
  <c r="K103" i="7"/>
  <c r="K102" i="7" s="1"/>
  <c r="K106" i="7" s="1"/>
  <c r="K15" i="9" s="1"/>
  <c r="AT26" i="9" l="1"/>
  <c r="H24" i="9" s="1"/>
  <c r="L51" i="8"/>
  <c r="L52" i="8" s="1"/>
  <c r="L53" i="8" s="1"/>
  <c r="L54" i="8" s="1"/>
  <c r="L55" i="8" s="1"/>
  <c r="C25" i="12" a="1"/>
  <c r="C25" i="12" s="1"/>
  <c r="C28" i="12" a="1"/>
  <c r="C28" i="12" s="1"/>
  <c r="L87" i="7"/>
  <c r="L57" i="8" l="1"/>
  <c r="L88" i="7"/>
  <c r="L81" i="7" s="1"/>
  <c r="K111" i="7"/>
  <c r="L71" i="7" s="1"/>
  <c r="K109" i="7"/>
  <c r="K16" i="9" s="1"/>
  <c r="K33" i="9" l="1"/>
  <c r="L74" i="7"/>
  <c r="L75" i="7" s="1"/>
  <c r="L103" i="7" s="1"/>
  <c r="L78" i="7" l="1"/>
  <c r="L104" i="7" l="1"/>
  <c r="L102" i="7" s="1"/>
  <c r="L106" i="7" s="1"/>
  <c r="L15" i="9" s="1"/>
  <c r="L77" i="7"/>
  <c r="M79" i="7" s="1"/>
  <c r="L29" i="9" l="1"/>
  <c r="M87" i="7"/>
  <c r="M51" i="8"/>
  <c r="M52" i="8" s="1"/>
  <c r="M53" i="8" s="1"/>
  <c r="M54" i="8" s="1"/>
  <c r="M55" i="8" s="1"/>
  <c r="L109" i="7"/>
  <c r="L16" i="9" s="1"/>
  <c r="K29" i="9"/>
  <c r="K31" i="9" s="1"/>
  <c r="L111" i="7"/>
  <c r="M71" i="7" s="1"/>
  <c r="K34" i="9" l="1"/>
  <c r="M57" i="8"/>
  <c r="M88" i="7"/>
  <c r="M81" i="7" s="1"/>
  <c r="M74" i="7"/>
  <c r="M75" i="7" s="1"/>
  <c r="M103" i="7" s="1"/>
  <c r="K30" i="9"/>
  <c r="K35" i="9" l="1"/>
  <c r="M78" i="7"/>
  <c r="C24" i="12" l="1" a="1"/>
  <c r="C24" i="12" s="1"/>
  <c r="M77" i="7"/>
  <c r="N79" i="7" s="1"/>
  <c r="N51" i="8" s="1"/>
  <c r="N52" i="8" s="1"/>
  <c r="N53" i="8" s="1"/>
  <c r="N54" i="8" s="1"/>
  <c r="N55" i="8" s="1"/>
  <c r="M104" i="7"/>
  <c r="M102" i="7" s="1"/>
  <c r="M106" i="7" s="1"/>
  <c r="M15" i="9" s="1"/>
  <c r="N57" i="8" l="1"/>
  <c r="N88" i="7"/>
  <c r="M111" i="7"/>
  <c r="N71" i="7" s="1"/>
  <c r="N74" i="7" s="1"/>
  <c r="M109" i="7"/>
  <c r="M16" i="9" s="1"/>
  <c r="C26" i="12" a="1"/>
  <c r="C26" i="12" s="1"/>
  <c r="C27" i="12" a="1"/>
  <c r="C27" i="12" s="1"/>
  <c r="N87" i="7"/>
  <c r="N81" i="7" l="1"/>
  <c r="L33" i="9"/>
  <c r="L35" i="9" s="1"/>
  <c r="N75" i="7"/>
  <c r="N103" i="7" s="1"/>
  <c r="L31" i="9"/>
  <c r="L30" i="9"/>
  <c r="L34" i="9" l="1"/>
  <c r="N78" i="7"/>
  <c r="N77" i="7" l="1"/>
  <c r="O79" i="7" s="1"/>
  <c r="O51" i="8" s="1"/>
  <c r="O52" i="8" s="1"/>
  <c r="O53" i="8" s="1"/>
  <c r="O54" i="8" s="1"/>
  <c r="N104" i="7"/>
  <c r="N102" i="7" s="1"/>
  <c r="N106" i="7" s="1"/>
  <c r="N15" i="9" s="1"/>
  <c r="O87" i="7" l="1"/>
  <c r="M29" i="9"/>
  <c r="M31" i="9" s="1"/>
  <c r="O55" i="8"/>
  <c r="N111" i="7"/>
  <c r="O71" i="7" s="1"/>
  <c r="O74" i="7" s="1"/>
  <c r="N109" i="7"/>
  <c r="N16" i="9" s="1"/>
  <c r="M30" i="9" l="1"/>
  <c r="M33" i="9"/>
  <c r="M34" i="9" s="1"/>
  <c r="O57" i="8"/>
  <c r="O88" i="7"/>
  <c r="O81" i="7" s="1"/>
  <c r="O75" i="7"/>
  <c r="O103" i="7" s="1"/>
  <c r="M35" i="9" l="1"/>
  <c r="O78" i="7"/>
  <c r="O104" i="7" s="1"/>
  <c r="O102" i="7" s="1"/>
  <c r="O106" i="7" s="1"/>
  <c r="O15" i="9" s="1"/>
  <c r="O109" i="7" l="1"/>
  <c r="O16" i="9" s="1"/>
  <c r="O111" i="7"/>
  <c r="P71" i="7" s="1"/>
  <c r="P74" i="7" s="1"/>
  <c r="P75" i="7" s="1"/>
  <c r="P103" i="7" s="1"/>
  <c r="N29" i="9"/>
  <c r="N31" i="9" s="1"/>
  <c r="O77" i="7"/>
  <c r="P79" i="7" s="1"/>
  <c r="N33" i="9" l="1"/>
  <c r="P87" i="7"/>
  <c r="P51" i="8"/>
  <c r="P52" i="8" s="1"/>
  <c r="P53" i="8" s="1"/>
  <c r="P54" i="8" s="1"/>
  <c r="P55" i="8" s="1"/>
  <c r="N30" i="9"/>
  <c r="P78" i="7"/>
  <c r="N35" i="9" l="1"/>
  <c r="N34" i="9"/>
  <c r="P57" i="8"/>
  <c r="P88" i="7"/>
  <c r="P81" i="7" s="1"/>
  <c r="P104" i="7"/>
  <c r="P102" i="7" s="1"/>
  <c r="P77" i="7"/>
  <c r="Q79" i="7" s="1"/>
  <c r="P106" i="7" l="1"/>
  <c r="P15" i="9" s="1"/>
  <c r="Q87" i="7"/>
  <c r="Q51" i="8"/>
  <c r="Q52" i="8" s="1"/>
  <c r="Q53" i="8" s="1"/>
  <c r="Q54" i="8" s="1"/>
  <c r="Q55" i="8" s="1"/>
  <c r="P111" i="7" l="1"/>
  <c r="Q71" i="7" s="1"/>
  <c r="Q74" i="7" s="1"/>
  <c r="Q75" i="7" s="1"/>
  <c r="Q103" i="7" s="1"/>
  <c r="O29" i="9"/>
  <c r="O31" i="9" s="1"/>
  <c r="P109" i="7"/>
  <c r="P16" i="9" s="1"/>
  <c r="Q57" i="8"/>
  <c r="Q88" i="7"/>
  <c r="Q81" i="7" s="1"/>
  <c r="O30" i="9" l="1"/>
  <c r="O33" i="9"/>
  <c r="O34" i="9" s="1"/>
  <c r="Q78" i="7"/>
  <c r="O35" i="9" l="1"/>
  <c r="Q104" i="7"/>
  <c r="Q102" i="7" s="1"/>
  <c r="Q106" i="7" s="1"/>
  <c r="Q15" i="9" s="1"/>
  <c r="Q77" i="7"/>
  <c r="R79" i="7" s="1"/>
  <c r="R87" i="7" l="1"/>
  <c r="R51" i="8"/>
  <c r="R52" i="8" s="1"/>
  <c r="R53" i="8" s="1"/>
  <c r="R54" i="8" s="1"/>
  <c r="Q109" i="7"/>
  <c r="Q16" i="9" s="1"/>
  <c r="Q111" i="7"/>
  <c r="R71" i="7" s="1"/>
  <c r="R74" i="7" s="1"/>
  <c r="P29" i="9"/>
  <c r="P33" i="9" l="1"/>
  <c r="P35" i="9" s="1"/>
  <c r="R55" i="8"/>
  <c r="P30" i="9"/>
  <c r="P31" i="9"/>
  <c r="R75" i="7"/>
  <c r="R103" i="7" s="1"/>
  <c r="P34" i="9" l="1"/>
  <c r="R57" i="8"/>
  <c r="R88" i="7"/>
  <c r="R81" i="7" s="1"/>
  <c r="R78" i="7"/>
  <c r="R104" i="7" s="1"/>
  <c r="R102" i="7" s="1"/>
  <c r="R106" i="7" l="1"/>
  <c r="R15" i="9" s="1"/>
  <c r="R77" i="7"/>
  <c r="S79" i="7" s="1"/>
  <c r="R111" i="7" l="1"/>
  <c r="S71" i="7" s="1"/>
  <c r="S74" i="7" s="1"/>
  <c r="S75" i="7" s="1"/>
  <c r="S103" i="7" s="1"/>
  <c r="Q29" i="9"/>
  <c r="Q30" i="9" s="1"/>
  <c r="R109" i="7"/>
  <c r="R16" i="9" s="1"/>
  <c r="S87" i="7"/>
  <c r="S51" i="8"/>
  <c r="S52" i="8" s="1"/>
  <c r="S53" i="8" s="1"/>
  <c r="S54" i="8" s="1"/>
  <c r="S55" i="8" s="1"/>
  <c r="Q31" i="9" l="1"/>
  <c r="Q33" i="9"/>
  <c r="S57" i="8"/>
  <c r="S88" i="7"/>
  <c r="S81" i="7" s="1"/>
  <c r="S78" i="7"/>
  <c r="S77" i="7" s="1"/>
  <c r="T79" i="7" s="1"/>
  <c r="Q34" i="9" l="1"/>
  <c r="Q35" i="9"/>
  <c r="T87" i="7"/>
  <c r="T51" i="8"/>
  <c r="T52" i="8" s="1"/>
  <c r="T53" i="8" s="1"/>
  <c r="T54" i="8" s="1"/>
  <c r="T55" i="8" s="1"/>
  <c r="S104" i="7"/>
  <c r="S102" i="7" s="1"/>
  <c r="S106" i="7" s="1"/>
  <c r="S15" i="9" s="1"/>
  <c r="S109" i="7" l="1"/>
  <c r="S16" i="9" s="1"/>
  <c r="T57" i="8"/>
  <c r="T88" i="7"/>
  <c r="T81" i="7" s="1"/>
  <c r="S111" i="7"/>
  <c r="T71" i="7" s="1"/>
  <c r="T74" i="7" s="1"/>
  <c r="R29" i="9"/>
  <c r="R30" i="9" s="1"/>
  <c r="R33" i="9" l="1"/>
  <c r="R31" i="9"/>
  <c r="T75" i="7"/>
  <c r="T103" i="7" s="1"/>
  <c r="R34" i="9" l="1"/>
  <c r="R35" i="9"/>
  <c r="T78" i="7"/>
  <c r="T104" i="7" s="1"/>
  <c r="T102" i="7" s="1"/>
  <c r="T106" i="7" s="1"/>
  <c r="T15" i="9" s="1"/>
  <c r="T109" i="7" l="1"/>
  <c r="T16" i="9" s="1"/>
  <c r="T77" i="7"/>
  <c r="U79" i="7" s="1"/>
  <c r="T111" i="7"/>
  <c r="U71" i="7" s="1"/>
  <c r="U74" i="7" s="1"/>
  <c r="U75" i="7" s="1"/>
  <c r="U103" i="7" s="1"/>
  <c r="S29" i="9"/>
  <c r="S33" i="9" l="1"/>
  <c r="U87" i="7"/>
  <c r="U51" i="8"/>
  <c r="U52" i="8" s="1"/>
  <c r="U53" i="8" s="1"/>
  <c r="U54" i="8" s="1"/>
  <c r="U55" i="8" s="1"/>
  <c r="U78" i="7"/>
  <c r="U77" i="7" s="1"/>
  <c r="S30" i="9"/>
  <c r="S31" i="9"/>
  <c r="S34" i="9" l="1"/>
  <c r="S35" i="9"/>
  <c r="U57" i="8"/>
  <c r="U88" i="7"/>
  <c r="U81" i="7" s="1"/>
  <c r="U104" i="7"/>
  <c r="U102" i="7" s="1"/>
  <c r="V79" i="7"/>
  <c r="U106" i="7" l="1"/>
  <c r="U15" i="9" s="1"/>
  <c r="V87" i="7"/>
  <c r="V51" i="8"/>
  <c r="V52" i="8" s="1"/>
  <c r="V53" i="8" s="1"/>
  <c r="V54" i="8" s="1"/>
  <c r="V55" i="8" s="1"/>
  <c r="U109" i="7" l="1"/>
  <c r="U16" i="9" s="1"/>
  <c r="U111" i="7"/>
  <c r="V71" i="7" s="1"/>
  <c r="V74" i="7" s="1"/>
  <c r="V75" i="7" s="1"/>
  <c r="V103" i="7" s="1"/>
  <c r="T29" i="9"/>
  <c r="T30" i="9" s="1"/>
  <c r="V57" i="8"/>
  <c r="V88" i="7"/>
  <c r="V81" i="7" s="1"/>
  <c r="T33" i="9" l="1"/>
  <c r="V78" i="7"/>
  <c r="V104" i="7" s="1"/>
  <c r="V102" i="7" s="1"/>
  <c r="V106" i="7" s="1"/>
  <c r="V15" i="9" s="1"/>
  <c r="T31" i="9"/>
  <c r="T35" i="9" l="1"/>
  <c r="T34" i="9"/>
  <c r="V77" i="7"/>
  <c r="W79" i="7" s="1"/>
  <c r="U29" i="9"/>
  <c r="V111" i="7"/>
  <c r="W71" i="7" s="1"/>
  <c r="W74" i="7" s="1"/>
  <c r="V109" i="7"/>
  <c r="V16" i="9" s="1"/>
  <c r="U33" i="9" l="1"/>
  <c r="U34" i="9" s="1"/>
  <c r="W87" i="7"/>
  <c r="W51" i="8"/>
  <c r="W52" i="8" s="1"/>
  <c r="W53" i="8" s="1"/>
  <c r="W54" i="8" s="1"/>
  <c r="W55" i="8" s="1"/>
  <c r="U31" i="9"/>
  <c r="U30" i="9"/>
  <c r="W75" i="7"/>
  <c r="W103" i="7" s="1"/>
  <c r="U35" i="9" l="1"/>
  <c r="W57" i="8"/>
  <c r="W88" i="7"/>
  <c r="W81" i="7" s="1"/>
  <c r="W78" i="7"/>
  <c r="W104" i="7" s="1"/>
  <c r="W102" i="7" s="1"/>
  <c r="W106" i="7" l="1"/>
  <c r="W15" i="9" s="1"/>
  <c r="W77" i="7"/>
  <c r="X79" i="7" s="1"/>
  <c r="V29" i="9"/>
  <c r="W111" i="7" l="1"/>
  <c r="X71" i="7" s="1"/>
  <c r="X74" i="7" s="1"/>
  <c r="X75" i="7" s="1"/>
  <c r="X103" i="7" s="1"/>
  <c r="W109" i="7"/>
  <c r="W16" i="9" s="1"/>
  <c r="X87" i="7"/>
  <c r="X51" i="8"/>
  <c r="X52" i="8" s="1"/>
  <c r="X53" i="8" s="1"/>
  <c r="X54" i="8" s="1"/>
  <c r="X55" i="8" s="1"/>
  <c r="V31" i="9"/>
  <c r="V30" i="9"/>
  <c r="V33" i="9" l="1"/>
  <c r="X57" i="8"/>
  <c r="X88" i="7"/>
  <c r="X81" i="7" s="1"/>
  <c r="X78" i="7"/>
  <c r="V35" i="9" l="1"/>
  <c r="V34" i="9"/>
  <c r="X104" i="7"/>
  <c r="X102" i="7" s="1"/>
  <c r="X106" i="7" s="1"/>
  <c r="X15" i="9" s="1"/>
  <c r="X77" i="7"/>
  <c r="X109" i="7" l="1"/>
  <c r="X16" i="9" s="1"/>
  <c r="W29" i="9"/>
  <c r="X111" i="7"/>
  <c r="Y71" i="7" s="1"/>
  <c r="Y79" i="7"/>
  <c r="W33" i="9" l="1"/>
  <c r="W34" i="9" s="1"/>
  <c r="Y87" i="7"/>
  <c r="Y51" i="8"/>
  <c r="Y52" i="8" s="1"/>
  <c r="Y53" i="8" s="1"/>
  <c r="Y54" i="8" s="1"/>
  <c r="Y55" i="8" s="1"/>
  <c r="Y74" i="7"/>
  <c r="W31" i="9"/>
  <c r="W30" i="9"/>
  <c r="W35" i="9" l="1"/>
  <c r="Y57" i="8"/>
  <c r="Y88" i="7"/>
  <c r="Y81" i="7" s="1"/>
  <c r="Y75" i="7"/>
  <c r="Y103" i="7" s="1"/>
  <c r="Y78" i="7" l="1"/>
  <c r="Y104" i="7" l="1"/>
  <c r="Y102" i="7" s="1"/>
  <c r="Y106" i="7" s="1"/>
  <c r="Y15" i="9" s="1"/>
  <c r="Y77" i="7"/>
  <c r="Y109" i="7" l="1"/>
  <c r="Y16" i="9" s="1"/>
  <c r="Y111" i="7"/>
  <c r="Z71" i="7" s="1"/>
  <c r="Z74" i="7" s="1"/>
  <c r="X29" i="9"/>
  <c r="Z79" i="7"/>
  <c r="X33" i="9" l="1"/>
  <c r="X34" i="9" s="1"/>
  <c r="Z87" i="7"/>
  <c r="Z51" i="8"/>
  <c r="Z52" i="8" s="1"/>
  <c r="Z53" i="8" s="1"/>
  <c r="Z54" i="8" s="1"/>
  <c r="Z55" i="8" s="1"/>
  <c r="X31" i="9"/>
  <c r="X30" i="9"/>
  <c r="Z75" i="7"/>
  <c r="Z103" i="7" s="1"/>
  <c r="X35" i="9" l="1"/>
  <c r="Z57" i="8"/>
  <c r="Z88" i="7"/>
  <c r="Z81" i="7" s="1"/>
  <c r="Z78" i="7"/>
  <c r="Z104" i="7" l="1"/>
  <c r="Z102" i="7" s="1"/>
  <c r="Z106" i="7" s="1"/>
  <c r="Z15" i="9" s="1"/>
  <c r="Z77" i="7"/>
  <c r="Y29" i="9" l="1"/>
  <c r="Z109" i="7"/>
  <c r="Z16" i="9" s="1"/>
  <c r="Z111" i="7"/>
  <c r="AA71" i="7" s="1"/>
  <c r="AA79" i="7"/>
  <c r="Y33" i="9" l="1"/>
  <c r="Y35" i="9" s="1"/>
  <c r="AA87" i="7"/>
  <c r="AA51" i="8"/>
  <c r="AA52" i="8" s="1"/>
  <c r="AA53" i="8" s="1"/>
  <c r="AA54" i="8" s="1"/>
  <c r="AA55" i="8" s="1"/>
  <c r="Y31" i="9"/>
  <c r="Y30" i="9"/>
  <c r="AA74" i="7"/>
  <c r="AA75" i="7" s="1"/>
  <c r="AA103" i="7" s="1"/>
  <c r="Y34" i="9" l="1"/>
  <c r="AA57" i="8"/>
  <c r="AA88" i="7"/>
  <c r="AA81" i="7" s="1"/>
  <c r="AA78" i="7"/>
  <c r="AA104" i="7" l="1"/>
  <c r="AA102" i="7" s="1"/>
  <c r="AA106" i="7" s="1"/>
  <c r="AA15" i="9" s="1"/>
  <c r="AA77" i="7"/>
  <c r="Z29" i="9" l="1"/>
  <c r="AA109" i="7"/>
  <c r="AA16" i="9" s="1"/>
  <c r="AA111" i="7"/>
  <c r="AB71" i="7" s="1"/>
  <c r="AB79" i="7"/>
  <c r="Z33" i="9" l="1"/>
  <c r="Z35" i="9" s="1"/>
  <c r="AB87" i="7"/>
  <c r="AB51" i="8"/>
  <c r="AB52" i="8" s="1"/>
  <c r="AB53" i="8" s="1"/>
  <c r="AB54" i="8" s="1"/>
  <c r="AB55" i="8" s="1"/>
  <c r="Z31" i="9"/>
  <c r="Z30" i="9"/>
  <c r="AB74" i="7"/>
  <c r="AB75" i="7" s="1"/>
  <c r="AB103" i="7" s="1"/>
  <c r="Z34" i="9" l="1"/>
  <c r="AB57" i="8"/>
  <c r="AB88" i="7"/>
  <c r="AB81" i="7" s="1"/>
  <c r="AB78" i="7"/>
  <c r="AB104" i="7" l="1"/>
  <c r="AB102" i="7" s="1"/>
  <c r="AB106" i="7" s="1"/>
  <c r="AB15" i="9" s="1"/>
  <c r="AB77" i="7"/>
  <c r="AB109" i="7" l="1"/>
  <c r="AB16" i="9" s="1"/>
  <c r="AB111" i="7"/>
  <c r="AC71" i="7" s="1"/>
  <c r="AA29" i="9"/>
  <c r="AC79" i="7"/>
  <c r="AA33" i="9" l="1"/>
  <c r="AA34" i="9" s="1"/>
  <c r="AC87" i="7"/>
  <c r="AC51" i="8"/>
  <c r="AC52" i="8" s="1"/>
  <c r="AC53" i="8" s="1"/>
  <c r="AC54" i="8" s="1"/>
  <c r="AC55" i="8" s="1"/>
  <c r="AA31" i="9"/>
  <c r="AA30" i="9"/>
  <c r="AC74" i="7"/>
  <c r="AC75" i="7" s="1"/>
  <c r="AC103" i="7" s="1"/>
  <c r="AA35" i="9" l="1"/>
  <c r="AC57" i="8"/>
  <c r="AC88" i="7"/>
  <c r="AC81" i="7" s="1"/>
  <c r="AC78" i="7"/>
  <c r="AC104" i="7" l="1"/>
  <c r="AC102" i="7" s="1"/>
  <c r="AC106" i="7" s="1"/>
  <c r="AC15" i="9" s="1"/>
  <c r="AC77" i="7"/>
  <c r="AC109" i="7" l="1"/>
  <c r="AC16" i="9" s="1"/>
  <c r="AB29" i="9"/>
  <c r="AC111" i="7"/>
  <c r="AD71" i="7" s="1"/>
  <c r="AD79" i="7"/>
  <c r="AB33" i="9" l="1"/>
  <c r="AB34" i="9" s="1"/>
  <c r="AD87" i="7"/>
  <c r="AD51" i="8"/>
  <c r="AD52" i="8" s="1"/>
  <c r="AD53" i="8" s="1"/>
  <c r="AD54" i="8" s="1"/>
  <c r="AD55" i="8" s="1"/>
  <c r="AD74" i="7"/>
  <c r="AD75" i="7" s="1"/>
  <c r="AD103" i="7" s="1"/>
  <c r="AB31" i="9"/>
  <c r="AB30" i="9"/>
  <c r="AB35" i="9" l="1"/>
  <c r="AD57" i="8"/>
  <c r="AD88" i="7"/>
  <c r="AD81" i="7" s="1"/>
  <c r="AD78" i="7"/>
  <c r="AD104" i="7" l="1"/>
  <c r="AD102" i="7" s="1"/>
  <c r="AD106" i="7" s="1"/>
  <c r="AD15" i="9" s="1"/>
  <c r="AD77" i="7"/>
  <c r="AD109" i="7" l="1"/>
  <c r="AD16" i="9" s="1"/>
  <c r="AD111" i="7"/>
  <c r="AE71" i="7" s="1"/>
  <c r="AE79" i="7"/>
  <c r="AE87" i="7" l="1"/>
  <c r="AE51" i="8"/>
  <c r="AE52" i="8" s="1"/>
  <c r="AE53" i="8" s="1"/>
  <c r="AE54" i="8" s="1"/>
  <c r="AE55" i="8" s="1"/>
  <c r="AC33" i="9"/>
  <c r="AE74" i="7"/>
  <c r="AE75" i="7" s="1"/>
  <c r="AE103" i="7" s="1"/>
  <c r="AC29" i="9"/>
  <c r="AE57" i="8" l="1"/>
  <c r="AE88" i="7"/>
  <c r="AE81" i="7" s="1"/>
  <c r="AC31" i="9"/>
  <c r="AC30" i="9"/>
  <c r="AC35" i="9"/>
  <c r="AC34" i="9"/>
  <c r="AE78" i="7"/>
  <c r="AE104" i="7" l="1"/>
  <c r="AE102" i="7" s="1"/>
  <c r="AE106" i="7" s="1"/>
  <c r="AE15" i="9" s="1"/>
  <c r="AE77" i="7"/>
  <c r="AE111" i="7" l="1"/>
  <c r="AF71" i="7" s="1"/>
  <c r="AE109" i="7"/>
  <c r="AE16" i="9" s="1"/>
  <c r="AF79" i="7"/>
  <c r="AF87" i="7" l="1"/>
  <c r="AF51" i="8"/>
  <c r="AF52" i="8" s="1"/>
  <c r="AF53" i="8" s="1"/>
  <c r="AF54" i="8" s="1"/>
  <c r="AF55" i="8" s="1"/>
  <c r="AF74" i="7"/>
  <c r="AD33" i="9"/>
  <c r="AD29" i="9"/>
  <c r="AF57" i="8" l="1"/>
  <c r="AF88" i="7"/>
  <c r="AF81" i="7" s="1"/>
  <c r="AD35" i="9"/>
  <c r="AD34" i="9"/>
  <c r="AD31" i="9"/>
  <c r="AD30" i="9"/>
  <c r="AF75" i="7"/>
  <c r="AF103" i="7" s="1"/>
  <c r="AF78" i="7" l="1"/>
  <c r="AF104" i="7" s="1"/>
  <c r="AF102" i="7" s="1"/>
  <c r="AF106" i="7" s="1"/>
  <c r="AF15" i="9" l="1"/>
  <c r="AF111" i="7"/>
  <c r="AG71" i="7" s="1"/>
  <c r="AF77" i="7"/>
  <c r="AG79" i="7" s="1"/>
  <c r="AF109" i="7"/>
  <c r="AF16" i="9" s="1"/>
  <c r="AG87" i="7" l="1"/>
  <c r="AG51" i="8"/>
  <c r="AG52" i="8" s="1"/>
  <c r="AG53" i="8" s="1"/>
  <c r="AG54" i="8" s="1"/>
  <c r="AG55" i="8" s="1"/>
  <c r="AG74" i="7"/>
  <c r="AE33" i="9"/>
  <c r="AE29" i="9"/>
  <c r="AG57" i="8" l="1"/>
  <c r="AG88" i="7"/>
  <c r="AG81" i="7" s="1"/>
  <c r="AE30" i="9"/>
  <c r="AE31" i="9"/>
  <c r="AE34" i="9"/>
  <c r="AE35" i="9"/>
  <c r="AG75" i="7"/>
  <c r="AG103" i="7" s="1"/>
  <c r="AG78" i="7" l="1"/>
  <c r="AG104" i="7" s="1"/>
  <c r="AG102" i="7" s="1"/>
  <c r="AG106" i="7" s="1"/>
  <c r="AG15" i="9" s="1"/>
  <c r="AG77" i="7" l="1"/>
  <c r="AH79" i="7" s="1"/>
  <c r="AG111" i="7"/>
  <c r="AH71" i="7" s="1"/>
  <c r="AG109" i="7"/>
  <c r="AG16" i="9" s="1"/>
  <c r="AH87" i="7" l="1"/>
  <c r="AH51" i="8"/>
  <c r="AH52" i="8" s="1"/>
  <c r="AH53" i="8" s="1"/>
  <c r="AH54" i="8" s="1"/>
  <c r="AH55" i="8" s="1"/>
  <c r="AF29" i="9"/>
  <c r="AF33" i="9"/>
  <c r="AH74" i="7"/>
  <c r="AH57" i="8" l="1"/>
  <c r="AH88" i="7"/>
  <c r="AH81" i="7" s="1"/>
  <c r="AF31" i="9"/>
  <c r="AF30" i="9"/>
  <c r="AH75" i="7"/>
  <c r="AH103" i="7" s="1"/>
  <c r="AF35" i="9"/>
  <c r="AF34" i="9"/>
  <c r="AH78" i="7" l="1"/>
  <c r="AH104" i="7" l="1"/>
  <c r="AH102" i="7" s="1"/>
  <c r="AH106" i="7" s="1"/>
  <c r="AH15" i="9" s="1"/>
  <c r="AH77" i="7"/>
  <c r="AH109" i="7" l="1"/>
  <c r="AH16" i="9" s="1"/>
  <c r="AH111" i="7"/>
  <c r="AI71" i="7" s="1"/>
  <c r="AI79" i="7"/>
  <c r="AI87" i="7" l="1"/>
  <c r="AI51" i="8"/>
  <c r="AI52" i="8" s="1"/>
  <c r="AI53" i="8" s="1"/>
  <c r="AI54" i="8" s="1"/>
  <c r="AI55" i="8" s="1"/>
  <c r="AG29" i="9"/>
  <c r="AI74" i="7"/>
  <c r="AI75" i="7" s="1"/>
  <c r="AI103" i="7" s="1"/>
  <c r="AG33" i="9"/>
  <c r="AI57" i="8" l="1"/>
  <c r="AI88" i="7"/>
  <c r="AI81" i="7" s="1"/>
  <c r="AI78" i="7"/>
  <c r="AG35" i="9"/>
  <c r="AG34" i="9"/>
  <c r="AG31" i="9"/>
  <c r="AG30" i="9"/>
  <c r="AI104" i="7" l="1"/>
  <c r="AI102" i="7" s="1"/>
  <c r="AI106" i="7" s="1"/>
  <c r="AI15" i="9" s="1"/>
  <c r="AI77" i="7"/>
  <c r="AI109" i="7" l="1"/>
  <c r="AI16" i="9" s="1"/>
  <c r="AI111" i="7"/>
  <c r="AJ71" i="7" s="1"/>
  <c r="AH29" i="9"/>
  <c r="AJ79" i="7"/>
  <c r="AJ87" i="7" l="1"/>
  <c r="AJ51" i="8"/>
  <c r="AJ52" i="8" s="1"/>
  <c r="AJ53" i="8" s="1"/>
  <c r="AJ54" i="8" s="1"/>
  <c r="AJ55" i="8" s="1"/>
  <c r="AH33" i="9"/>
  <c r="AH31" i="9"/>
  <c r="AH30" i="9"/>
  <c r="AJ74" i="7"/>
  <c r="AJ75" i="7" s="1"/>
  <c r="AJ103" i="7" s="1"/>
  <c r="AJ57" i="8" l="1"/>
  <c r="AJ88" i="7"/>
  <c r="AJ81" i="7" s="1"/>
  <c r="AJ78" i="7"/>
  <c r="AH35" i="9"/>
  <c r="AH34" i="9"/>
  <c r="AJ104" i="7" l="1"/>
  <c r="AJ102" i="7" s="1"/>
  <c r="AJ106" i="7" s="1"/>
  <c r="AJ15" i="9" s="1"/>
  <c r="AJ77" i="7"/>
  <c r="AJ109" i="7" l="1"/>
  <c r="AJ16" i="9" s="1"/>
  <c r="AI29" i="9"/>
  <c r="AJ111" i="7"/>
  <c r="AK71" i="7" s="1"/>
  <c r="AK79" i="7"/>
  <c r="AK87" i="7" l="1"/>
  <c r="AK51" i="8"/>
  <c r="AK52" i="8" s="1"/>
  <c r="AK53" i="8" s="1"/>
  <c r="AK54" i="8" s="1"/>
  <c r="AK55" i="8" s="1"/>
  <c r="AI33" i="9"/>
  <c r="AK74" i="7"/>
  <c r="AK75" i="7" s="1"/>
  <c r="AK103" i="7" s="1"/>
  <c r="AI31" i="9"/>
  <c r="AI30" i="9"/>
  <c r="AK57" i="8" l="1"/>
  <c r="AK88" i="7"/>
  <c r="AK81" i="7" s="1"/>
  <c r="AK78" i="7"/>
  <c r="AI35" i="9"/>
  <c r="AI34" i="9"/>
  <c r="AK104" i="7" l="1"/>
  <c r="AK102" i="7" s="1"/>
  <c r="AK106" i="7" s="1"/>
  <c r="AK15" i="9" s="1"/>
  <c r="AK77" i="7"/>
  <c r="AK109" i="7" l="1"/>
  <c r="AK16" i="9" s="1"/>
  <c r="AJ29" i="9"/>
  <c r="AK111" i="7"/>
  <c r="AL71" i="7" s="1"/>
  <c r="AL74" i="7" s="1"/>
  <c r="AL79" i="7"/>
  <c r="AJ33" i="9" l="1"/>
  <c r="AJ34" i="9" s="1"/>
  <c r="AL87" i="7"/>
  <c r="AL51" i="8"/>
  <c r="AL52" i="8" s="1"/>
  <c r="AL53" i="8" s="1"/>
  <c r="AL54" i="8" s="1"/>
  <c r="AL55" i="8" s="1"/>
  <c r="AL75" i="7"/>
  <c r="AL103" i="7" s="1"/>
  <c r="AJ31" i="9"/>
  <c r="AJ30" i="9"/>
  <c r="AJ35" i="9" l="1"/>
  <c r="AL57" i="8"/>
  <c r="AL88" i="7"/>
  <c r="AL81" i="7" s="1"/>
  <c r="AL78" i="7"/>
  <c r="AL104" i="7" s="1"/>
  <c r="AL102" i="7" s="1"/>
  <c r="AL106" i="7" l="1"/>
  <c r="AL15" i="9" s="1"/>
  <c r="AL77" i="7"/>
  <c r="AM79" i="7" s="1"/>
  <c r="AK29" i="9"/>
  <c r="AL109" i="7" l="1"/>
  <c r="AL16" i="9" s="1"/>
  <c r="AL111" i="7"/>
  <c r="AM71" i="7" s="1"/>
  <c r="AM74" i="7" s="1"/>
  <c r="AK33" i="9"/>
  <c r="AK34" i="9" s="1"/>
  <c r="AM87" i="7"/>
  <c r="AM51" i="8"/>
  <c r="AM52" i="8" s="1"/>
  <c r="AM53" i="8" s="1"/>
  <c r="AM54" i="8" s="1"/>
  <c r="AM55" i="8" s="1"/>
  <c r="AK31" i="9"/>
  <c r="AK30" i="9"/>
  <c r="AK35" i="9" l="1"/>
  <c r="AM57" i="8"/>
  <c r="AM88" i="7"/>
  <c r="AM81" i="7" s="1"/>
  <c r="AM75" i="7"/>
  <c r="AM103" i="7" s="1"/>
  <c r="AM78" i="7" l="1"/>
  <c r="AM104" i="7" s="1"/>
  <c r="AM102" i="7" s="1"/>
  <c r="AM106" i="7" s="1"/>
  <c r="AM15" i="9" s="1"/>
  <c r="AM77" i="7" l="1"/>
  <c r="AN79" i="7" s="1"/>
  <c r="AM111" i="7"/>
  <c r="AN71" i="7" s="1"/>
  <c r="AL29" i="9"/>
  <c r="AM109" i="7"/>
  <c r="AM16" i="9" s="1"/>
  <c r="AL33" i="9" l="1"/>
  <c r="AL35" i="9" s="1"/>
  <c r="AN87" i="7"/>
  <c r="AN51" i="8"/>
  <c r="AN52" i="8" s="1"/>
  <c r="AN53" i="8" s="1"/>
  <c r="AN54" i="8" s="1"/>
  <c r="AN55" i="8" s="1"/>
  <c r="AN74" i="7"/>
  <c r="AL31" i="9"/>
  <c r="AL30" i="9"/>
  <c r="AL34" i="9" l="1"/>
  <c r="AN57" i="8"/>
  <c r="AN88" i="7"/>
  <c r="AN81" i="7" s="1"/>
  <c r="AN75" i="7"/>
  <c r="AN103" i="7" s="1"/>
  <c r="AN78" i="7" l="1"/>
  <c r="AN104" i="7" s="1"/>
  <c r="AN102" i="7" s="1"/>
  <c r="AN106" i="7" s="1"/>
  <c r="AN15" i="9" s="1"/>
  <c r="AN77" i="7" l="1"/>
  <c r="AO79" i="7" s="1"/>
  <c r="AM29" i="9"/>
  <c r="AN111" i="7"/>
  <c r="AO71" i="7" s="1"/>
  <c r="AN109" i="7"/>
  <c r="AN16" i="9" s="1"/>
  <c r="AM33" i="9" l="1"/>
  <c r="AM34" i="9" s="1"/>
  <c r="AO87" i="7"/>
  <c r="AO51" i="8"/>
  <c r="AO52" i="8" s="1"/>
  <c r="AO53" i="8" s="1"/>
  <c r="AO54" i="8" s="1"/>
  <c r="AO55" i="8" s="1"/>
  <c r="AM31" i="9"/>
  <c r="AM30" i="9"/>
  <c r="AO74" i="7"/>
  <c r="AO75" i="7" s="1"/>
  <c r="AO103" i="7" s="1"/>
  <c r="AM35" i="9" l="1"/>
  <c r="AO57" i="8"/>
  <c r="AO88" i="7"/>
  <c r="AO81" i="7" s="1"/>
  <c r="AO78" i="7"/>
  <c r="AO104" i="7" l="1"/>
  <c r="AO102" i="7" s="1"/>
  <c r="AO106" i="7" s="1"/>
  <c r="AO15" i="9" s="1"/>
  <c r="AO77" i="7"/>
  <c r="AO109" i="7" l="1"/>
  <c r="AO16" i="9" s="1"/>
  <c r="AO111" i="7"/>
  <c r="AP71" i="7" s="1"/>
  <c r="AP79" i="7"/>
  <c r="AP87" i="7" l="1"/>
  <c r="AP51" i="8"/>
  <c r="AP52" i="8" s="1"/>
  <c r="AP53" i="8" s="1"/>
  <c r="AP54" i="8" s="1"/>
  <c r="AP55" i="8" s="1"/>
  <c r="AN29" i="9"/>
  <c r="AP74" i="7"/>
  <c r="AP75" i="7" s="1"/>
  <c r="AP103" i="7" s="1"/>
  <c r="AP57" i="8" l="1"/>
  <c r="AP88" i="7"/>
  <c r="AP81" i="7" s="1"/>
  <c r="AN33" i="9"/>
  <c r="AN31" i="9"/>
  <c r="AN30" i="9"/>
  <c r="AP78" i="7"/>
  <c r="AN35" i="9" l="1"/>
  <c r="AN34" i="9"/>
  <c r="AP104" i="7"/>
  <c r="AP102" i="7" s="1"/>
  <c r="AP106" i="7" s="1"/>
  <c r="AP15" i="9" s="1"/>
  <c r="AP77" i="7"/>
  <c r="AQ79" i="7" l="1"/>
  <c r="AP111" i="7"/>
  <c r="AQ71" i="7" s="1"/>
  <c r="AP109" i="7"/>
  <c r="AP16" i="9" s="1"/>
  <c r="AQ87" i="7" l="1"/>
  <c r="AQ51" i="8"/>
  <c r="AQ52" i="8" s="1"/>
  <c r="AQ53" i="8" s="1"/>
  <c r="AQ54" i="8" s="1"/>
  <c r="AQ55" i="8" s="1"/>
  <c r="AO29" i="9"/>
  <c r="AQ74" i="7"/>
  <c r="AQ75" i="7" s="1"/>
  <c r="AQ103" i="7" s="1"/>
  <c r="AQ57" i="8" l="1"/>
  <c r="AQ88" i="7"/>
  <c r="AQ81" i="7" s="1"/>
  <c r="AO33" i="9"/>
  <c r="AO31" i="9"/>
  <c r="AO30" i="9"/>
  <c r="AQ78" i="7"/>
  <c r="AO34" i="9" l="1"/>
  <c r="AO35" i="9"/>
  <c r="AQ104" i="7"/>
  <c r="AQ102" i="7" s="1"/>
  <c r="AQ106" i="7" s="1"/>
  <c r="AQ15" i="9" s="1"/>
  <c r="AQ77" i="7"/>
  <c r="AR79" i="7" l="1"/>
  <c r="AQ111" i="7"/>
  <c r="AR71" i="7" s="1"/>
  <c r="AQ109" i="7"/>
  <c r="AQ16" i="9" s="1"/>
  <c r="AR87" i="7" l="1"/>
  <c r="AR51" i="8"/>
  <c r="AR52" i="8" s="1"/>
  <c r="AR53" i="8" s="1"/>
  <c r="AR54" i="8" s="1"/>
  <c r="AR55" i="8" s="1"/>
  <c r="AP29" i="9"/>
  <c r="AR74" i="7"/>
  <c r="AR75" i="7" s="1"/>
  <c r="AR103" i="7" s="1"/>
  <c r="AR57" i="8" l="1"/>
  <c r="AR88" i="7"/>
  <c r="AR81" i="7" s="1"/>
  <c r="AP31" i="9"/>
  <c r="AP30" i="9"/>
  <c r="AP33" i="9"/>
  <c r="AR78" i="7"/>
  <c r="AP35" i="9" l="1"/>
  <c r="AP34" i="9"/>
  <c r="AR104" i="7"/>
  <c r="AR102" i="7" s="1"/>
  <c r="AR106" i="7" s="1"/>
  <c r="AR15" i="9" s="1"/>
  <c r="AR77" i="7"/>
  <c r="AR109" i="7" l="1"/>
  <c r="AR16" i="9" s="1"/>
  <c r="AR111" i="7"/>
  <c r="AS71" i="7" s="1"/>
  <c r="AS79" i="7"/>
  <c r="AS87" i="7" l="1"/>
  <c r="AS51" i="8"/>
  <c r="AS52" i="8" s="1"/>
  <c r="AS53" i="8" s="1"/>
  <c r="AS54" i="8" s="1"/>
  <c r="AS55" i="8" s="1"/>
  <c r="AS74" i="7"/>
  <c r="AS75" i="7" s="1"/>
  <c r="AS103" i="7" s="1"/>
  <c r="AQ29" i="9"/>
  <c r="AS57" i="8" l="1"/>
  <c r="AS88" i="7"/>
  <c r="AS81" i="7" s="1"/>
  <c r="AQ33" i="9"/>
  <c r="AS78" i="7"/>
  <c r="AQ31" i="9"/>
  <c r="AQ30" i="9"/>
  <c r="AS104" i="7" l="1"/>
  <c r="AS102" i="7" s="1"/>
  <c r="AS106" i="7" s="1"/>
  <c r="AS15" i="9" s="1"/>
  <c r="AS77" i="7"/>
  <c r="AQ35" i="9"/>
  <c r="AQ34" i="9"/>
  <c r="AS109" i="7" l="1"/>
  <c r="AS16" i="9" s="1"/>
  <c r="AS111" i="7"/>
  <c r="AT71" i="7" s="1"/>
  <c r="AT79" i="7"/>
  <c r="AT87" i="7" l="1"/>
  <c r="AT51" i="8"/>
  <c r="AT52" i="8" s="1"/>
  <c r="AT53" i="8" s="1"/>
  <c r="AT54" i="8" s="1"/>
  <c r="AT55" i="8" s="1"/>
  <c r="AT74" i="7"/>
  <c r="AR29" i="9"/>
  <c r="AT57" i="8" l="1"/>
  <c r="AT88" i="7"/>
  <c r="AT81" i="7" s="1"/>
  <c r="AR33" i="9"/>
  <c r="AT75" i="7"/>
  <c r="AT103" i="7" s="1"/>
  <c r="AR30" i="9"/>
  <c r="AR31" i="9"/>
  <c r="AR35" i="9" l="1"/>
  <c r="AR34" i="9"/>
  <c r="AT78" i="7"/>
  <c r="AT77" i="7" l="1"/>
  <c r="AT104" i="7"/>
  <c r="AT102" i="7" s="1"/>
  <c r="AT106" i="7" s="1"/>
  <c r="AT111" i="7" l="1"/>
  <c r="AT15" i="9"/>
  <c r="H41" i="9" s="1"/>
  <c r="AT109" i="7"/>
  <c r="AT16" i="9" s="1"/>
  <c r="H106" i="7"/>
  <c r="C29" i="12" s="1" a="1"/>
  <c r="C29" i="12" s="1"/>
  <c r="H109" i="7" l="1"/>
  <c r="H48" i="9" s="1"/>
  <c r="AT29" i="9"/>
  <c r="AT31" i="9" s="1"/>
  <c r="AS29" i="9"/>
  <c r="AS31" i="9" l="1"/>
  <c r="AT30" i="9"/>
  <c r="AS30" i="9"/>
  <c r="AT33" i="9"/>
  <c r="AT35" i="9" s="1"/>
  <c r="AS33" i="9"/>
  <c r="H29" i="9" l="1"/>
  <c r="AT34" i="9"/>
  <c r="AS35" i="9"/>
  <c r="AS34" i="9"/>
  <c r="H33" i="9" l="1"/>
</calcChain>
</file>

<file path=xl/sharedStrings.xml><?xml version="1.0" encoding="utf-8"?>
<sst xmlns="http://schemas.openxmlformats.org/spreadsheetml/2006/main" count="744" uniqueCount="385">
  <si>
    <t>№</t>
  </si>
  <si>
    <t>Лист</t>
  </si>
  <si>
    <t xml:space="preserve">Вы работаете в стратегическом департаменте компании "Маруся" - крупнейшей российской FMCG компании. 
Год назад компания начала производство овсяного и соевого молока. 
Продукты стали успешными на рынке, в связи с чем, в компании решили запустить другие, более дорогие виды растительного молока. </t>
  </si>
  <si>
    <t>Содержимое / описание</t>
  </si>
  <si>
    <t>В этом году компания планирует запустить производство кокосового молока.</t>
  </si>
  <si>
    <t xml:space="preserve">Ваша задача - оценить этот проект. </t>
  </si>
  <si>
    <t xml:space="preserve">Для этого вам нужно: </t>
  </si>
  <si>
    <t>Подготовить исходные данные для модели</t>
  </si>
  <si>
    <t>Составить отчет о прибялях и убытках</t>
  </si>
  <si>
    <t xml:space="preserve">Рассчитать показатели, необходимые для оценки проекта. </t>
  </si>
  <si>
    <t xml:space="preserve">Модель должна быть построена на 3 года с разбивкой по месяцам </t>
  </si>
  <si>
    <t>Временные шкалы</t>
  </si>
  <si>
    <t>Ед.изм.</t>
  </si>
  <si>
    <t>Комментарий</t>
  </si>
  <si>
    <t>Проверка</t>
  </si>
  <si>
    <t>Фикс.значения *</t>
  </si>
  <si>
    <t>База *</t>
  </si>
  <si>
    <t xml:space="preserve">Начало периода </t>
  </si>
  <si>
    <t>дата</t>
  </si>
  <si>
    <t>-</t>
  </si>
  <si>
    <t>Конец периода</t>
  </si>
  <si>
    <t xml:space="preserve">Номер периода </t>
  </si>
  <si>
    <t>Длина периода</t>
  </si>
  <si>
    <t>Для корректировки годовых значений в период</t>
  </si>
  <si>
    <t>Макроэкономические показатели</t>
  </si>
  <si>
    <t>Год</t>
  </si>
  <si>
    <t>Среднегодовая инфляция</t>
  </si>
  <si>
    <t>%</t>
  </si>
  <si>
    <t>Среднегодовая инфляция в период</t>
  </si>
  <si>
    <t>Среднегодовая инфляция за период</t>
  </si>
  <si>
    <t>Кумулятивная инфляция</t>
  </si>
  <si>
    <t>Налог на прибыль</t>
  </si>
  <si>
    <t>НДС</t>
  </si>
  <si>
    <t>Вводные для прогноза производства и продаж</t>
  </si>
  <si>
    <t>Плановый темп роста в год</t>
  </si>
  <si>
    <t xml:space="preserve">Плановый объем производства в год запуска проекта </t>
  </si>
  <si>
    <t>кг</t>
  </si>
  <si>
    <t>Месяц</t>
  </si>
  <si>
    <t xml:space="preserve">Сезонность </t>
  </si>
  <si>
    <t xml:space="preserve">Месяц начала продаж </t>
  </si>
  <si>
    <t>мес</t>
  </si>
  <si>
    <t>Период между производством и продажей</t>
  </si>
  <si>
    <t>Вводные для расчета себестоимости и цены</t>
  </si>
  <si>
    <t>Партия производства</t>
  </si>
  <si>
    <t>Число переналадок оборудования за партию</t>
  </si>
  <si>
    <t>Партия продажи</t>
  </si>
  <si>
    <t xml:space="preserve">Рентабельность аналогичных продуктов в компании </t>
  </si>
  <si>
    <t>Состав продукта и стоимость сырья</t>
  </si>
  <si>
    <t>Стоимость сырья</t>
  </si>
  <si>
    <t xml:space="preserve">  Кокосовая паста</t>
  </si>
  <si>
    <t>руб/кг</t>
  </si>
  <si>
    <t xml:space="preserve">  Карбонат кальция</t>
  </si>
  <si>
    <t xml:space="preserve">  Витамины</t>
  </si>
  <si>
    <t xml:space="preserve">  Камедь рожкового дерева</t>
  </si>
  <si>
    <t xml:space="preserve">  Лецитин подсолнечный</t>
  </si>
  <si>
    <t xml:space="preserve">Состав 1 кг продукта </t>
  </si>
  <si>
    <t xml:space="preserve">  Основа - кокосовая паста</t>
  </si>
  <si>
    <t xml:space="preserve">  Кальций</t>
  </si>
  <si>
    <t xml:space="preserve">  Стабилизатор (камедь рожкового дерева)</t>
  </si>
  <si>
    <t xml:space="preserve">  Эмульгатор (лецитин подсолнечный)</t>
  </si>
  <si>
    <t xml:space="preserve">  Вода</t>
  </si>
  <si>
    <t xml:space="preserve">Прочие прямые расходы </t>
  </si>
  <si>
    <t>Заработная плата производственным рабочим</t>
  </si>
  <si>
    <t>руб</t>
  </si>
  <si>
    <t>Прочие прямые затраты</t>
  </si>
  <si>
    <t>Накладные расходы за год</t>
  </si>
  <si>
    <t xml:space="preserve">Общие затраты по управлению цехом </t>
  </si>
  <si>
    <t xml:space="preserve">Затраты на наладку оборудования </t>
  </si>
  <si>
    <t>Административные расходы</t>
  </si>
  <si>
    <t>Инвестиции проекта</t>
  </si>
  <si>
    <t>Процессное оборудование</t>
  </si>
  <si>
    <t xml:space="preserve">  Приемка сырья  </t>
  </si>
  <si>
    <t>руб.</t>
  </si>
  <si>
    <t>План производства и продаж</t>
  </si>
  <si>
    <t xml:space="preserve">Шаг 1. Определить, какие затраты относятся к прямым, какие к косвенным. Рассчитать прямые затраты на производство 1 кг продукта. </t>
  </si>
  <si>
    <t xml:space="preserve">  Миксинг </t>
  </si>
  <si>
    <t>Прямые затраты</t>
  </si>
  <si>
    <t xml:space="preserve">  Декантация и деактивация</t>
  </si>
  <si>
    <t xml:space="preserve">  Гомогенизация и стерилизация</t>
  </si>
  <si>
    <t>Упаковочная линия</t>
  </si>
  <si>
    <t xml:space="preserve">  Фасовка</t>
  </si>
  <si>
    <t>Прямые затраты на производство 1 кг продукта</t>
  </si>
  <si>
    <t>1 кг эквивалентен 1 л = 1 упаковка молока</t>
  </si>
  <si>
    <t xml:space="preserve">  Группировка</t>
  </si>
  <si>
    <t>Сырье</t>
  </si>
  <si>
    <t xml:space="preserve">Работа над технологией </t>
  </si>
  <si>
    <t>Производственные накладные расходы за год</t>
  </si>
  <si>
    <t>Прочие накладные расходы за год</t>
  </si>
  <si>
    <t>Операционные затраты</t>
  </si>
  <si>
    <t>Шаг 2. Установить основные процессы, связанные с производством и выявить драйвер затрат по каждому процессу</t>
  </si>
  <si>
    <t>Маркетинг</t>
  </si>
  <si>
    <t>от выручки</t>
  </si>
  <si>
    <t xml:space="preserve">График производства </t>
  </si>
  <si>
    <t>Процесс</t>
  </si>
  <si>
    <t>Драйвер</t>
  </si>
  <si>
    <t>АУП и непредвиденные затраты</t>
  </si>
  <si>
    <t>Управление цехом</t>
  </si>
  <si>
    <t>Амортизация</t>
  </si>
  <si>
    <t>Число произведенных партий</t>
  </si>
  <si>
    <t>Срок полезного использования</t>
  </si>
  <si>
    <t>Наладка оборудования</t>
  </si>
  <si>
    <t>Число переналадок оборудования</t>
  </si>
  <si>
    <t>Стоимость оборудования</t>
  </si>
  <si>
    <t>Администрирование</t>
  </si>
  <si>
    <t>Число отгруженных партий</t>
  </si>
  <si>
    <t>Амортизационные отчисления в месяц</t>
  </si>
  <si>
    <t>Шаг 3. Рассчитать значение носителя затрат (число операций по каждому процессу)</t>
  </si>
  <si>
    <t>Объем производства</t>
  </si>
  <si>
    <t>Структура капитала</t>
  </si>
  <si>
    <t xml:space="preserve">COE </t>
  </si>
  <si>
    <t>Cost of equity / Стоимость собственного капитала</t>
  </si>
  <si>
    <t xml:space="preserve">  Безрисковая ставка</t>
  </si>
  <si>
    <t>Значение бескупонной доходности гос.облигаций сроком погашения 10 лет (July 2019), cbr.ru</t>
  </si>
  <si>
    <t xml:space="preserve">  Определение месяца начала производства</t>
  </si>
  <si>
    <t xml:space="preserve">  ERP (risk market - risk free) </t>
  </si>
  <si>
    <t>Average ERP (Jan. 2018), Damodaran</t>
  </si>
  <si>
    <t xml:space="preserve">  Beta </t>
  </si>
  <si>
    <t>Unlevered beta for Food Processing industry (Jan. 2018), Damodaran</t>
  </si>
  <si>
    <t>WACC</t>
  </si>
  <si>
    <t>Weighted Average Cost of Capital / Средневзвешенная стоимость капитала</t>
  </si>
  <si>
    <t>Долг-к-Капиталу (Debt/Equity)</t>
  </si>
  <si>
    <t xml:space="preserve">Шаг 4. Рассчитать ставки драйверов затрат по каждому процессу </t>
  </si>
  <si>
    <t>(= затраты / значение носителя)</t>
  </si>
  <si>
    <t>Ставки драйверов затрат по процессам</t>
  </si>
  <si>
    <t>Условия финансирования</t>
  </si>
  <si>
    <t>Стоимость заемного финансирования</t>
  </si>
  <si>
    <t>Объем заемного финансирования</t>
  </si>
  <si>
    <t xml:space="preserve">Шаг 5. Рассчитать себестоимость 1 кг продукции. </t>
  </si>
  <si>
    <t xml:space="preserve">Косвенные затраты </t>
  </si>
  <si>
    <t xml:space="preserve">Итого себестоимость продукта </t>
  </si>
  <si>
    <t xml:space="preserve">без учета инфляции </t>
  </si>
  <si>
    <t>Шаг 6. Определить цену 1 кг продукта. Для расчета цены взять за значение себестоимости за 3 год (после выхода на полную мощность производства) и ожидаемую рентабельность</t>
  </si>
  <si>
    <t>Средняя себестоимость продукта</t>
  </si>
  <si>
    <t>Наценка</t>
  </si>
  <si>
    <t>Цена</t>
  </si>
  <si>
    <t xml:space="preserve">  Плановый объем производства за период</t>
  </si>
  <si>
    <t xml:space="preserve">  Плановый объем производства за период с учетом сезонности</t>
  </si>
  <si>
    <t xml:space="preserve">График продаж </t>
  </si>
  <si>
    <t xml:space="preserve">  Справочно: плановый объем продаж в год </t>
  </si>
  <si>
    <t>Инфляция</t>
  </si>
  <si>
    <t xml:space="preserve">Объем продаж и цены реализации </t>
  </si>
  <si>
    <t xml:space="preserve">Продажи </t>
  </si>
  <si>
    <t>Динамика цен (вкл. НДС)</t>
  </si>
  <si>
    <t xml:space="preserve">руб </t>
  </si>
  <si>
    <t xml:space="preserve">Себестоимость </t>
  </si>
  <si>
    <t xml:space="preserve">Себестоимость с учетом инфляции </t>
  </si>
  <si>
    <t>Результат операционной деятельности</t>
  </si>
  <si>
    <t>Денежные поступления от операционной деятельности</t>
  </si>
  <si>
    <t>Платежи по операционной деятельности</t>
  </si>
  <si>
    <t xml:space="preserve">  Себестоимость производства</t>
  </si>
  <si>
    <t xml:space="preserve">  Маркетинг</t>
  </si>
  <si>
    <t xml:space="preserve">  АУП и непредвиденные затраты</t>
  </si>
  <si>
    <t>Результаты инвестиционной деятельности</t>
  </si>
  <si>
    <t xml:space="preserve">Отчет о прибылях и убытках </t>
  </si>
  <si>
    <t xml:space="preserve">Выручка от продаж </t>
  </si>
  <si>
    <t>Затратная часть</t>
  </si>
  <si>
    <t>Себестоимость производства</t>
  </si>
  <si>
    <t>Результаты финансовой деятельности</t>
  </si>
  <si>
    <t>Привлеченные займы и кредиты</t>
  </si>
  <si>
    <t>Погашение кредитов и займов</t>
  </si>
  <si>
    <t>EBITDA</t>
  </si>
  <si>
    <t>Дисконтированный денежный поток (WACC)</t>
  </si>
  <si>
    <t xml:space="preserve">Амортизация </t>
  </si>
  <si>
    <t>Расчет потребности в капитале</t>
  </si>
  <si>
    <t>Операционный денежный поток накопительным итогом</t>
  </si>
  <si>
    <t>Операционная прибыль проекта</t>
  </si>
  <si>
    <t>Инвестор/кредитор</t>
  </si>
  <si>
    <t>Налоговая база по налогу на прибыль (EBT)</t>
  </si>
  <si>
    <t>Компания Маруся</t>
  </si>
  <si>
    <t>Налоговая база накопительным итогом</t>
  </si>
  <si>
    <t>Тело кредита</t>
  </si>
  <si>
    <t>Погашение тела</t>
  </si>
  <si>
    <t>Чистая прибыль проекта</t>
  </si>
  <si>
    <t>Проценты к уплате</t>
  </si>
  <si>
    <t xml:space="preserve">Шаг 1. Перенесите необходимые для расчета показателей данные на рабочий лист </t>
  </si>
  <si>
    <t>Шаг 2. Рассчитайте окупаеммость для FCFF и FCFE</t>
  </si>
  <si>
    <t xml:space="preserve">FCFF </t>
  </si>
  <si>
    <t>Обыкновенный период окупаемости</t>
  </si>
  <si>
    <t>Дисконтированный период окупаемости</t>
  </si>
  <si>
    <t>FCFE</t>
  </si>
  <si>
    <t xml:space="preserve">Шаг 3. Определите внутреннюю норму доходности </t>
  </si>
  <si>
    <t xml:space="preserve">Внутренняя ставка доходности </t>
  </si>
  <si>
    <t xml:space="preserve">Шаг 4. Определите чистую приведенную стоимость </t>
  </si>
  <si>
    <t xml:space="preserve">Шаг 5. Сделайте вывод </t>
  </si>
  <si>
    <r>
      <t xml:space="preserve">ToolKit Финансы. Блок Финансовое моделирование. </t>
    </r>
    <r>
      <rPr>
        <b/>
        <sz val="10"/>
        <color theme="0"/>
        <rFont val="Arial"/>
        <family val="2"/>
      </rPr>
      <t>Содержание практики</t>
    </r>
  </si>
  <si>
    <t>Составить отчет о движении денежных средств</t>
  </si>
  <si>
    <r>
      <t xml:space="preserve">ToolKit Финансы. Блок Финансовое моделирование. </t>
    </r>
    <r>
      <rPr>
        <b/>
        <sz val="10"/>
        <color theme="0"/>
        <rFont val="Arial"/>
        <family val="2"/>
      </rPr>
      <t>Введение в практический блок</t>
    </r>
  </si>
  <si>
    <t>Описание кейса</t>
  </si>
  <si>
    <t>Ставка дисконта (COE)</t>
  </si>
  <si>
    <t>Ежемесячная ставка дисконта</t>
  </si>
  <si>
    <t>Ставка дисконта (WACC)</t>
  </si>
  <si>
    <t>Address</t>
  </si>
  <si>
    <t>Comment</t>
  </si>
  <si>
    <t>Worksheet</t>
  </si>
  <si>
    <t>Assumptions and inputs</t>
  </si>
  <si>
    <t>Этот показатель нужен для расчета releverd beta. В WACC нужно взвешивать доходности по долям компонентов в структуре капитала</t>
  </si>
  <si>
    <t>Вот эти прочерки ставить не нужно. На них ломаются формулы</t>
  </si>
  <si>
    <t>Лучше избегать таких формул. Можно через IF делать</t>
  </si>
  <si>
    <t>Непонятные харды посреди прогноза</t>
  </si>
  <si>
    <t>Тут не нужна формула массива. Годы и % есть в строке 12, ссылка на Assumptions не нужна</t>
  </si>
  <si>
    <t>Прогнозы</t>
  </si>
  <si>
    <t>Не нужна формула массива</t>
  </si>
  <si>
    <t>Не сразу понятно, чем отличаются данные показатели. Переименовать</t>
  </si>
  <si>
    <t>Не понимаю смысл этого расчета (тем более харды в формулах, которых быть не должно). Логика простая: плановый годовой объем производства -&gt; плановый объем производства в период через простое умножение на длину периода -&gt; плановый объем производства в период с учетом домножения на коэффициент сезонности. Все )) Если таким образом делается учет того, что в первом неполном году нужно продать ровно 5 млн единиц запланированных, то проще и лучше скорректировать инпуты. Так они будут consistent: годовой объем производства, который уже далее корректируется с учетом временной шкалы</t>
  </si>
  <si>
    <t>Формула массива не нужна</t>
  </si>
  <si>
    <t>Обрати внимание, что рентабельность получается не 60%</t>
  </si>
  <si>
    <t>Себестоимость</t>
  </si>
  <si>
    <t>Более общепринятое название "на фирму"</t>
  </si>
  <si>
    <t>CF</t>
  </si>
  <si>
    <t>А здесь "на акционерный капитал"</t>
  </si>
  <si>
    <t>Инфляция считается неправильно. Если строка 17 - в реальных ценах на дату анализа, то строка 18 должна корректироваться на куммулятивный индекс с даты анализа по период прогноза</t>
  </si>
  <si>
    <t>Лучше все расходы сразу пускать с минусом. Так точно никто не запутается и не наделает ошибок</t>
  </si>
  <si>
    <t>Можешь посмотреть, как структурирована эта история в моей модели по девелопменту (Lite), которую отправлял по итогам кейс стади в четверг</t>
  </si>
  <si>
    <t>НДС есть на этом листе</t>
  </si>
  <si>
    <t>Переписал формулу, посмотри</t>
  </si>
  <si>
    <t>С НДС явно что-то не то. Потоков по НДС так и не возникает</t>
  </si>
  <si>
    <t>Где НДС по инвестиционной деятельности?</t>
  </si>
  <si>
    <t>Тотали отформатировать, минусы добавить</t>
  </si>
  <si>
    <t>Привлекаем и сразу гасим тело? На какие деньги?</t>
  </si>
  <si>
    <t>Проценты вынести в фикс знач</t>
  </si>
  <si>
    <t>Проценты нигде не учитываются</t>
  </si>
  <si>
    <t>Отнести в операционную деятельность</t>
  </si>
  <si>
    <t>Сумма не равна нулю</t>
  </si>
  <si>
    <t>Сумма по FCFE не может быть больше суммы FCFF.</t>
  </si>
  <si>
    <t xml:space="preserve">Себестоимость должна признаваться при продажах </t>
  </si>
  <si>
    <t>P&amp;L</t>
  </si>
  <si>
    <t>Себестоимость должна признаваться при продаже</t>
  </si>
  <si>
    <t>Админ расходов на стадии производства нет?)</t>
  </si>
  <si>
    <t>Добавить проверку, что налог на прибыль равен тому, что уплачивается на CF</t>
  </si>
  <si>
    <t>Лучше всего его рассчитать на листе PnL</t>
  </si>
  <si>
    <t>Cвободный денежный поток на фирму (FCFF)</t>
  </si>
  <si>
    <t>Свободный денежный поток на акционерный капитал (FCFE)</t>
  </si>
  <si>
    <t>Дата</t>
  </si>
  <si>
    <t>Срок до погашения, лет</t>
  </si>
  <si>
    <t xml:space="preserve">Среднее значение </t>
  </si>
  <si>
    <t>βlevered = βunlevered * [1 + ((1 – Ставка налога) * Долг/Капитал)]</t>
  </si>
  <si>
    <t xml:space="preserve">  Beta relevered </t>
  </si>
  <si>
    <t>готово</t>
  </si>
  <si>
    <t>убрала везде</t>
  </si>
  <si>
    <r>
      <t xml:space="preserve">так, то есть не правильно? Я думала это так и получается
</t>
    </r>
    <r>
      <rPr>
        <sz val="10"/>
        <color theme="1"/>
        <rFont val="Arial"/>
        <family val="2"/>
      </rPr>
      <t>в расчете беты его задействовала)</t>
    </r>
  </si>
  <si>
    <t>сделала проще</t>
  </si>
  <si>
    <t>не понимаю(</t>
  </si>
  <si>
    <t xml:space="preserve">а почему(( как правильно? </t>
  </si>
  <si>
    <t xml:space="preserve">можешь помочь? </t>
  </si>
  <si>
    <t xml:space="preserve">куда их правильно поместить? в расходы операц деятельности? </t>
  </si>
  <si>
    <t>готово, в 84 ячейке</t>
  </si>
  <si>
    <r>
      <t xml:space="preserve">в ПЛ сделала себест*график продаж, </t>
    </r>
    <r>
      <rPr>
        <sz val="10"/>
        <color rgb="FFFF0000"/>
        <rFont val="Arial"/>
        <family val="2"/>
      </rPr>
      <t>правильно?</t>
    </r>
  </si>
  <si>
    <t>в СФ тоже? Я думала нет(</t>
  </si>
  <si>
    <t>нет))</t>
  </si>
  <si>
    <t>а почему тогда СФ первым считается,  я сперва поэтому ПЛ и построила первым :D</t>
  </si>
  <si>
    <t>еще не перенесла</t>
  </si>
  <si>
    <t>если не критично, давай так оставим. Если будет время переделаю быстренько</t>
  </si>
  <si>
    <t>Описание кейса и задания</t>
  </si>
  <si>
    <t>Assumptions &amp; Inputs</t>
  </si>
  <si>
    <t>Прогноз продаж и производства</t>
  </si>
  <si>
    <t>Расчет себестоимости методом ABC и цены методом кост-плюс</t>
  </si>
  <si>
    <t>Отчет о движении денежных средств</t>
  </si>
  <si>
    <t>Отчет о прибылях и убытках</t>
  </si>
  <si>
    <t xml:space="preserve">Показатели </t>
  </si>
  <si>
    <t>Расчет периода окупаемости, IRR и NPV проекта</t>
  </si>
  <si>
    <t>Введение</t>
  </si>
  <si>
    <t>Тут убрали. Теперь прсото Index (Match())</t>
  </si>
  <si>
    <t>это ошибка? Если нет, то давай оставим или ты можешь в видео сказать об этом (почему так лучше не делать) и перестроить</t>
  </si>
  <si>
    <t>Там же обычное умножение стоит((</t>
  </si>
  <si>
    <t>ее же там нет Там Index(Match()) стоит</t>
  </si>
  <si>
    <t>ее же там нет Там Index(Match()) стоит обычный</t>
  </si>
  <si>
    <t>LS</t>
  </si>
  <si>
    <t>PG</t>
  </si>
  <si>
    <t>Не правильно) Надо брать D / (D + E) и, соответственно, E / (D + E)</t>
  </si>
  <si>
    <t>Формула в строке не должна меняться. Если тебе нужно взять из базы значение в первом периоде, то ты ифом проверяешь, что период первый и берешь из базы, иначе предыдущий</t>
  </si>
  <si>
    <t>У меня в прошлой версии формула была в фигурных скобках</t>
  </si>
  <si>
    <t>Шаг 0</t>
  </si>
  <si>
    <t>Подготовьте структуру модели</t>
  </si>
  <si>
    <t>Шаг 1</t>
  </si>
  <si>
    <t>Шаг 2</t>
  </si>
  <si>
    <t xml:space="preserve">Заполните лист Assumptions &amp; Inputs </t>
  </si>
  <si>
    <t>Шаг 3</t>
  </si>
  <si>
    <t xml:space="preserve">Постройте прогноз производства и прогноз продаж </t>
  </si>
  <si>
    <t>Шаг 4</t>
  </si>
  <si>
    <t>Рассчитайте себестоимость продукта методом АБС и определите цену методом кост-плюс</t>
  </si>
  <si>
    <t>Шаг 5</t>
  </si>
  <si>
    <t>Шаг 6</t>
  </si>
  <si>
    <t>Постройте CF</t>
  </si>
  <si>
    <t>Шаг 7</t>
  </si>
  <si>
    <t>Постройте PL</t>
  </si>
  <si>
    <t>Рассчитайте показатели проекта</t>
  </si>
  <si>
    <t xml:space="preserve">Алгоритм работы </t>
  </si>
  <si>
    <t>Изучите вводные данные</t>
  </si>
  <si>
    <t xml:space="preserve">Шаг 1. Перенесите необходимые для построения отчета о движении денежных средств данные на рабочий лист </t>
  </si>
  <si>
    <t>Шаг 2. Рассчитайте свободный денежный поток на фирму (FCFF)</t>
  </si>
  <si>
    <t>Шаг 3. Рассчитайте свободный денежный поток на акционерный капитал (FCFE)</t>
  </si>
  <si>
    <t>Шаг 2. Постройте график производства</t>
  </si>
  <si>
    <t>Шаг 3 Постройте график продаж</t>
  </si>
  <si>
    <r>
      <t xml:space="preserve">ToolKit Финансы. Блок Финансовое моделирование. </t>
    </r>
    <r>
      <rPr>
        <b/>
        <sz val="10"/>
        <color rgb="FFFFFFFF"/>
        <rFont val="Arial"/>
        <family val="2"/>
      </rPr>
      <t>Прогнозирование продаж и производства</t>
    </r>
  </si>
  <si>
    <r>
      <t xml:space="preserve">ToolKit Финансы. Блок Финансовое моделирование. </t>
    </r>
    <r>
      <rPr>
        <b/>
        <sz val="10"/>
        <color rgb="FFFFFFFF"/>
        <rFont val="Arial"/>
        <family val="2"/>
      </rPr>
      <t>Assumptions and inputs</t>
    </r>
  </si>
  <si>
    <t xml:space="preserve">ToolKit Финансы. Блок Финансовое моделирование. Расчет себестоимости и определение цены продукта </t>
  </si>
  <si>
    <r>
      <t xml:space="preserve">ToolKit Финансы. Блок Финансовое моделирование. </t>
    </r>
    <r>
      <rPr>
        <b/>
        <sz val="10"/>
        <color rgb="FFFFFFFF"/>
        <rFont val="Arial"/>
        <family val="2"/>
      </rPr>
      <t>Cash Flows</t>
    </r>
  </si>
  <si>
    <t>ToolKit Финансы. Блок Финансовое моделирование. P&amp;L</t>
  </si>
  <si>
    <r>
      <t xml:space="preserve">ToolKit Финансы. Блок Финансовое моделирование. </t>
    </r>
    <r>
      <rPr>
        <b/>
        <sz val="10"/>
        <color rgb="FFFFFFFF"/>
        <rFont val="Arial"/>
        <family val="2"/>
      </rPr>
      <t xml:space="preserve">Показатели эффективности </t>
    </r>
  </si>
  <si>
    <t>Шаг 1. Постройте единую для всей модели временную шкалу</t>
  </si>
  <si>
    <t xml:space="preserve">Шаг 2. Задайте макропоказатели </t>
  </si>
  <si>
    <t>Шаг 3. Перенесите в модель все необходимые вводные для построения денежных потоков</t>
  </si>
  <si>
    <t>Шаг 4. Рассчитайте ставки дисконта и задайте условия финансирования</t>
  </si>
  <si>
    <t>Поправил</t>
  </si>
  <si>
    <t>Все верно посчитано здесь, я промахнулся, имел в виду блок ниже )</t>
  </si>
  <si>
    <t>Здесь получается логика "туда-обратно". Сначала считается СФ, от него считается признание для ПнЛ, там считается налог на прибыль, и он возвращается в ПнЛ. И уже на этом базисе считается колесо финансирования и тд</t>
  </si>
  <si>
    <t>Инфляция кумулятивно</t>
  </si>
  <si>
    <t xml:space="preserve">  НДС в затратах</t>
  </si>
  <si>
    <t>Появился</t>
  </si>
  <si>
    <t>Дата начала выборки траншей кредита</t>
  </si>
  <si>
    <t xml:space="preserve">  Плановый годовой объем производства</t>
  </si>
  <si>
    <t>Справочно расчет ДС на счете</t>
  </si>
  <si>
    <t>bin</t>
  </si>
  <si>
    <t xml:space="preserve">  НДС в продажах</t>
  </si>
  <si>
    <t>Шаг 2. На основе CF постройте отчет о прибылях и убытках без учета Tax shield</t>
  </si>
  <si>
    <t>Шаг 3. На основе CF постройте отчет о прибылях и убытках c учетом Tax shield</t>
  </si>
  <si>
    <t>Проценты начисленные</t>
  </si>
  <si>
    <t>Налог на прибыль (с учетом Tax Shield)</t>
  </si>
  <si>
    <t xml:space="preserve">  Сальдо по НДС в периоде</t>
  </si>
  <si>
    <t>НДС к возмещению b-o-p</t>
  </si>
  <si>
    <t>Накопление НДС</t>
  </si>
  <si>
    <t>Возмещение НДС</t>
  </si>
  <si>
    <t>НДС к возмещению e-o-p</t>
  </si>
  <si>
    <t xml:space="preserve">Дисконтированный FCFF (NPV ~ Enterprise Value) </t>
  </si>
  <si>
    <t xml:space="preserve">Дисконтированный FCFE (NPV ~ Equity Value) </t>
  </si>
  <si>
    <t>Дисконтированный денежный поток (Cost of Equity)</t>
  </si>
  <si>
    <t>Действие</t>
  </si>
  <si>
    <t xml:space="preserve">Изучить </t>
  </si>
  <si>
    <t>Заполнить и получить ответ</t>
  </si>
  <si>
    <t xml:space="preserve">Changellenge &gt;&gt; ToolKit. </t>
  </si>
  <si>
    <t>ОБРАТИТЕ ВНИМАНИЕ!</t>
  </si>
  <si>
    <t>Файл для самостоятельной работы</t>
  </si>
  <si>
    <t>Это файл для самостоятельной работы. Используйте для решения задания только данные, которые содержатся в этом файле. В каждом новом домашнем задании вам будут открываться заполненные листы с практики прошлого блока + новые чистые листы для решения текущего задания</t>
  </si>
  <si>
    <t>Дата старта проекта</t>
  </si>
  <si>
    <t xml:space="preserve">Продолжительность проекта </t>
  </si>
  <si>
    <t>5 лет</t>
  </si>
  <si>
    <t>Детализация модели</t>
  </si>
  <si>
    <t>Помесячно</t>
  </si>
  <si>
    <t>3 месяц</t>
  </si>
  <si>
    <t>1 месяц</t>
  </si>
  <si>
    <t xml:space="preserve"> Рентабельность аналогичных продуктов в компании </t>
  </si>
  <si>
    <t>Стоимость разработки технологии</t>
  </si>
  <si>
    <t>180 000 000  руб</t>
  </si>
  <si>
    <t>15% от выручки</t>
  </si>
  <si>
    <t xml:space="preserve">10% от выручки </t>
  </si>
  <si>
    <t>Плановый темп роста производства в год</t>
  </si>
  <si>
    <t xml:space="preserve">Прогноз инфляции </t>
  </si>
  <si>
    <t>Сезонность производства молока</t>
  </si>
  <si>
    <t>Стоимость оборудования, рубли</t>
  </si>
  <si>
    <t xml:space="preserve">Срок полезного использования </t>
  </si>
  <si>
    <t>40 месяцев</t>
  </si>
  <si>
    <t>Метод расчета амортизации</t>
  </si>
  <si>
    <t>линейный</t>
  </si>
  <si>
    <t>Стоимость сырья руб/кг </t>
  </si>
  <si>
    <t>Состав 1 кг продукта, кг </t>
  </si>
  <si>
    <t>Прочие прямые расходы , рубли </t>
  </si>
  <si>
    <t>Накладные расходы за год, рубли </t>
  </si>
  <si>
    <t>Основные драйверы затрат</t>
  </si>
  <si>
    <t>Основные параметры производства</t>
  </si>
  <si>
    <t>Партия производства, кг</t>
  </si>
  <si>
    <t xml:space="preserve">Число переналадок оборудования за партию, шт </t>
  </si>
  <si>
    <t>Партия продажи, кг</t>
  </si>
  <si>
    <t>Безрисковая ставка</t>
  </si>
  <si>
    <t>(Значение бескупонной доходности гос.облигаций сроком погашения 10 лет (July 2019), cbr.ru)</t>
  </si>
  <si>
    <t xml:space="preserve">1 Вводные данные от инициаторов проекта </t>
  </si>
  <si>
    <t xml:space="preserve">2 Вводные данные от аналитиков </t>
  </si>
  <si>
    <t xml:space="preserve">3 Вводные данные от производственного отдела </t>
  </si>
  <si>
    <t>4 Данные для расчета ставок дисконта</t>
  </si>
  <si>
    <t xml:space="preserve">Данные </t>
  </si>
  <si>
    <t>Заполнить на основе листа "Данные"</t>
  </si>
  <si>
    <t xml:space="preserve">Вводные данные от аналитиков, инициаторв проекта и производственного отдела </t>
  </si>
  <si>
    <t>Структурированные вводные данные для расчетов в модели</t>
  </si>
  <si>
    <t xml:space="preserve">Налог на прибыль </t>
  </si>
  <si>
    <t>Налоги</t>
  </si>
  <si>
    <t xml:space="preserve">* Все инвестиции равномерно делятся на первые два месяца </t>
  </si>
  <si>
    <t>Оценка бизнеса и проектов методом DCF. Домашнее задание 4</t>
  </si>
  <si>
    <t>5 млн кг</t>
  </si>
  <si>
    <t>От 1 до36</t>
  </si>
  <si>
    <t>=EOMONTH(K7; 0)</t>
  </si>
  <si>
    <t>Инфляция за месяц</t>
  </si>
  <si>
    <t>На изготовление 1кг продукта</t>
  </si>
  <si>
    <t>Не учитываем работу над технологией</t>
  </si>
  <si>
    <t>Процент от  выручки</t>
  </si>
  <si>
    <t>Не используется в отчете</t>
  </si>
  <si>
    <t>За вычетом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</si>
</sst>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0.0000%"/>
    <numFmt numFmtId="167" formatCode="0.000"/>
    <numFmt numFmtId="168" formatCode="#,##0.0"/>
    <numFmt numFmtId="169" formatCode="#,##0_р_."/>
    <numFmt numFmtId="170" formatCode="_(* #,##0_);_(* \(#,##0\);_(* &quot;-&quot;??_);_(@_)"/>
  </numFmts>
  <fonts count="71" x14ac:knownFonts="1">
    <font>
      <sz val="10"/>
      <color rgb="FF000000"/>
      <name val="Arial"/>
    </font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10"/>
      <color rgb="FF0000FF"/>
      <name val="Arial"/>
      <family val="2"/>
    </font>
    <font>
      <sz val="10"/>
      <color rgb="FF4547F6"/>
      <name val="Arial"/>
      <family val="2"/>
    </font>
    <font>
      <sz val="10"/>
      <color rgb="FFB7B7B7"/>
      <name val="Arial"/>
      <family val="2"/>
    </font>
    <font>
      <sz val="10"/>
      <color rgb="FFFF0000"/>
      <name val="Arial"/>
      <family val="2"/>
    </font>
    <font>
      <sz val="10"/>
      <color rgb="FF999999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10"/>
      <color rgb="FFF2F2F2"/>
      <name val="Arial"/>
      <family val="2"/>
    </font>
    <font>
      <sz val="9"/>
      <color rgb="FF000000"/>
      <name val="Arial"/>
      <family val="2"/>
    </font>
    <font>
      <sz val="10"/>
      <color rgb="FF0070C0"/>
      <name val="Arial"/>
      <family val="2"/>
    </font>
    <font>
      <sz val="9"/>
      <color rgb="FFB7B7B7"/>
      <name val="Arial"/>
      <family val="2"/>
    </font>
    <font>
      <sz val="10"/>
      <color rgb="FF222222"/>
      <name val="Arial"/>
      <family val="2"/>
    </font>
    <font>
      <i/>
      <sz val="10"/>
      <color rgb="FF00000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0"/>
      <color rgb="FFCCCCCC"/>
      <name val="Arial"/>
      <family val="2"/>
    </font>
    <font>
      <sz val="10"/>
      <name val="Arial"/>
      <family val="2"/>
    </font>
    <font>
      <i/>
      <sz val="10"/>
      <color rgb="FF0000FF"/>
      <name val="Arial"/>
      <family val="2"/>
    </font>
    <font>
      <i/>
      <sz val="9"/>
      <color rgb="FF000000"/>
      <name val="Arial"/>
      <family val="2"/>
    </font>
    <font>
      <b/>
      <i/>
      <sz val="8"/>
      <name val="Arial"/>
      <family val="2"/>
    </font>
    <font>
      <sz val="11"/>
      <color rgb="FF000000"/>
      <name val="Inconsolata"/>
    </font>
    <font>
      <sz val="10"/>
      <color rgb="FF000000"/>
      <name val="Inconsolata"/>
    </font>
    <font>
      <sz val="10"/>
      <color rgb="FF1155CC"/>
      <name val="Arial"/>
      <family val="2"/>
    </font>
    <font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11"/>
      <color rgb="FF000000"/>
      <name val="Inconsolata"/>
      <charset val="204"/>
    </font>
    <font>
      <sz val="10"/>
      <name val="Arial"/>
      <family val="2"/>
      <charset val="204"/>
    </font>
    <font>
      <sz val="8"/>
      <name val="Arial"/>
      <family val="2"/>
    </font>
    <font>
      <b/>
      <sz val="10"/>
      <color rgb="FF000000"/>
      <name val="Arial"/>
      <family val="2"/>
      <charset val="204"/>
    </font>
    <font>
      <u/>
      <sz val="10"/>
      <color theme="10"/>
      <name val="Arial"/>
      <family val="2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1"/>
      <color rgb="FFFFFFFF"/>
      <name val="Arial"/>
      <family val="2"/>
    </font>
    <font>
      <sz val="11"/>
      <name val="Arial"/>
      <family val="2"/>
    </font>
    <font>
      <b/>
      <sz val="11"/>
      <color rgb="FFBD0C1E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charset val="204"/>
    </font>
    <font>
      <sz val="24"/>
      <color rgb="FFAE151F"/>
      <name val="Arial"/>
      <family val="2"/>
    </font>
    <font>
      <i/>
      <sz val="10"/>
      <color theme="4" tint="-0.499984740745262"/>
      <name val="Calibri"/>
      <family val="2"/>
      <charset val="204"/>
    </font>
    <font>
      <sz val="18"/>
      <color rgb="FF4B5261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12"/>
      <color rgb="FFC00000"/>
      <name val="Arial"/>
      <family val="2"/>
    </font>
    <font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0"/>
      <name val="Arial"/>
      <family val="2"/>
    </font>
    <font>
      <sz val="11"/>
      <color rgb="FF4547F6"/>
      <name val="Arial"/>
      <family val="2"/>
    </font>
    <font>
      <sz val="11"/>
      <color theme="1"/>
      <name val="Arial"/>
      <family val="2"/>
    </font>
    <font>
      <sz val="10"/>
      <color theme="0" tint="-0.34998626667073579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BD0C1E"/>
        <bgColor rgb="FFBD0C1E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C00000"/>
        <bgColor rgb="FFC00000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EDEDED"/>
        <bgColor rgb="FFFFFFFF"/>
      </patternFill>
    </fill>
    <fill>
      <patternFill patternType="solid">
        <fgColor rgb="FFEDEDE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D0E0E3"/>
      </patternFill>
    </fill>
    <fill>
      <patternFill patternType="solid">
        <fgColor rgb="FFF2F2F2"/>
        <bgColor rgb="FFFFFFFF"/>
      </patternFill>
    </fill>
    <fill>
      <patternFill patternType="solid">
        <fgColor theme="4" tint="-0.249977111117893"/>
        <bgColor rgb="FF134F5C"/>
      </patternFill>
    </fill>
    <fill>
      <patternFill patternType="solid">
        <fgColor theme="2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000000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7B7B7"/>
      </bottom>
      <diagonal/>
    </border>
    <border>
      <left/>
      <right style="thin">
        <color rgb="FFEFEFE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double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">
    <xf numFmtId="0" fontId="0" fillId="0" borderId="0"/>
    <xf numFmtId="9" fontId="36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64" fontId="57" fillId="0" borderId="0" applyFont="0" applyFill="0" applyBorder="0" applyAlignment="0" applyProtection="0"/>
  </cellStyleXfs>
  <cellXfs count="647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  <xf numFmtId="0" fontId="1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" fontId="6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/>
    </xf>
    <xf numFmtId="10" fontId="8" fillId="3" borderId="1" xfId="0" applyNumberFormat="1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center" vertical="center"/>
    </xf>
    <xf numFmtId="4" fontId="8" fillId="3" borderId="5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167" fontId="8" fillId="3" borderId="1" xfId="0" applyNumberFormat="1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8" fontId="8" fillId="3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5" fontId="17" fillId="3" borderId="1" xfId="0" applyNumberFormat="1" applyFont="1" applyFill="1" applyBorder="1" applyAlignment="1">
      <alignment horizontal="center" vertical="center"/>
    </xf>
    <xf numFmtId="3" fontId="1" fillId="3" borderId="6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10" fontId="1" fillId="3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 wrapText="1"/>
    </xf>
    <xf numFmtId="169" fontId="1" fillId="3" borderId="1" xfId="0" applyNumberFormat="1" applyFont="1" applyFill="1" applyBorder="1" applyAlignment="1">
      <alignment horizontal="center" vertical="center"/>
    </xf>
    <xf numFmtId="169" fontId="1" fillId="3" borderId="8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9" fontId="8" fillId="3" borderId="9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1" fontId="0" fillId="3" borderId="1" xfId="0" applyNumberForma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169" fontId="1" fillId="3" borderId="6" xfId="0" applyNumberFormat="1" applyFont="1" applyFill="1" applyBorder="1" applyAlignment="1">
      <alignment horizontal="center" vertical="center"/>
    </xf>
    <xf numFmtId="169" fontId="1" fillId="3" borderId="10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3" fontId="23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3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23" fillId="3" borderId="1" xfId="0" applyFont="1" applyFill="1" applyBorder="1"/>
    <xf numFmtId="1" fontId="3" fillId="6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3" fontId="3" fillId="3" borderId="13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9" fontId="23" fillId="3" borderId="1" xfId="0" applyNumberFormat="1" applyFont="1" applyFill="1" applyBorder="1" applyAlignment="1">
      <alignment horizontal="center" vertical="center"/>
    </xf>
    <xf numFmtId="9" fontId="27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left" vertical="center"/>
    </xf>
    <xf numFmtId="9" fontId="6" fillId="3" borderId="13" xfId="0" applyNumberFormat="1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8" fillId="3" borderId="1" xfId="0" applyFont="1" applyFill="1" applyBorder="1" applyAlignment="1">
      <alignment horizontal="center" vertical="center" wrapText="1"/>
    </xf>
    <xf numFmtId="165" fontId="2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3" fontId="21" fillId="11" borderId="1" xfId="0" applyNumberFormat="1" applyFont="1" applyFill="1" applyBorder="1" applyAlignment="1">
      <alignment horizontal="center" vertical="center"/>
    </xf>
    <xf numFmtId="3" fontId="23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3" fontId="3" fillId="3" borderId="17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3" borderId="18" xfId="0" applyNumberFormat="1" applyFont="1" applyFill="1" applyBorder="1" applyAlignment="1">
      <alignment vertical="center"/>
    </xf>
    <xf numFmtId="0" fontId="1" fillId="3" borderId="18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3" fontId="29" fillId="3" borderId="1" xfId="0" applyNumberFormat="1" applyFont="1" applyFill="1" applyBorder="1" applyAlignment="1">
      <alignment horizontal="center" vertical="center"/>
    </xf>
    <xf numFmtId="3" fontId="1" fillId="3" borderId="17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3" fontId="3" fillId="3" borderId="18" xfId="0" applyNumberFormat="1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vertical="center"/>
    </xf>
    <xf numFmtId="3" fontId="23" fillId="3" borderId="18" xfId="0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center"/>
    </xf>
    <xf numFmtId="0" fontId="1" fillId="3" borderId="19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9" fontId="33" fillId="3" borderId="1" xfId="0" applyNumberFormat="1" applyFont="1" applyFill="1" applyBorder="1" applyAlignment="1">
      <alignment horizontal="center"/>
    </xf>
    <xf numFmtId="0" fontId="37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1" fillId="3" borderId="16" xfId="0" applyFont="1" applyFill="1" applyBorder="1"/>
    <xf numFmtId="0" fontId="1" fillId="3" borderId="16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9" fillId="3" borderId="1" xfId="0" applyFont="1" applyFill="1" applyBorder="1"/>
    <xf numFmtId="0" fontId="39" fillId="3" borderId="1" xfId="0" applyFont="1" applyFill="1" applyBorder="1" applyAlignment="1">
      <alignment vertical="center"/>
    </xf>
    <xf numFmtId="0" fontId="39" fillId="3" borderId="1" xfId="0" applyFont="1" applyFill="1" applyBorder="1" applyAlignment="1">
      <alignment horizontal="center" vertical="center"/>
    </xf>
    <xf numFmtId="3" fontId="39" fillId="3" borderId="1" xfId="0" applyNumberFormat="1" applyFont="1" applyFill="1" applyBorder="1" applyAlignment="1">
      <alignment horizontal="center"/>
    </xf>
    <xf numFmtId="0" fontId="39" fillId="0" borderId="0" xfId="0" applyFont="1"/>
    <xf numFmtId="0" fontId="39" fillId="3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left" vertical="center"/>
    </xf>
    <xf numFmtId="9" fontId="39" fillId="3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9" fontId="39" fillId="3" borderId="1" xfId="0" applyNumberFormat="1" applyFont="1" applyFill="1" applyBorder="1" applyAlignment="1">
      <alignment horizontal="center"/>
    </xf>
    <xf numFmtId="0" fontId="0" fillId="3" borderId="16" xfId="0" applyFill="1" applyBorder="1"/>
    <xf numFmtId="0" fontId="5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3" fontId="1" fillId="3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42" fillId="3" borderId="1" xfId="0" applyFont="1" applyFill="1" applyBorder="1"/>
    <xf numFmtId="0" fontId="42" fillId="0" borderId="0" xfId="0" applyFont="1"/>
    <xf numFmtId="3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 vertical="center"/>
    </xf>
    <xf numFmtId="3" fontId="1" fillId="3" borderId="16" xfId="0" applyNumberFormat="1" applyFont="1" applyFill="1" applyBorder="1" applyAlignment="1">
      <alignment horizontal="center"/>
    </xf>
    <xf numFmtId="0" fontId="37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/>
    </xf>
    <xf numFmtId="9" fontId="1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20" xfId="0" applyFont="1" applyBorder="1"/>
    <xf numFmtId="0" fontId="0" fillId="0" borderId="0" xfId="0" applyAlignment="1">
      <alignment vertical="center" wrapText="1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vertical="center"/>
    </xf>
    <xf numFmtId="0" fontId="0" fillId="16" borderId="0" xfId="0" applyFill="1" applyAlignment="1">
      <alignment vertical="center" wrapText="1"/>
    </xf>
    <xf numFmtId="0" fontId="0" fillId="16" borderId="0" xfId="0" applyFill="1" applyAlignment="1">
      <alignment vertical="center"/>
    </xf>
    <xf numFmtId="0" fontId="0" fillId="15" borderId="0" xfId="0" applyFill="1" applyAlignment="1">
      <alignment vertical="center" wrapText="1"/>
    </xf>
    <xf numFmtId="0" fontId="0" fillId="15" borderId="0" xfId="0" applyFill="1" applyAlignment="1">
      <alignment vertical="center"/>
    </xf>
    <xf numFmtId="0" fontId="35" fillId="0" borderId="0" xfId="0" applyFont="1" applyAlignment="1">
      <alignment vertical="center"/>
    </xf>
    <xf numFmtId="0" fontId="10" fillId="3" borderId="1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169" fontId="1" fillId="13" borderId="1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39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35" fillId="15" borderId="0" xfId="0" applyFont="1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18" borderId="0" xfId="0" applyFill="1" applyAlignment="1">
      <alignment vertical="center"/>
    </xf>
    <xf numFmtId="9" fontId="3" fillId="3" borderId="1" xfId="1" applyFon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/>
    </xf>
    <xf numFmtId="167" fontId="8" fillId="3" borderId="16" xfId="0" applyNumberFormat="1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 vertical="center" wrapText="1"/>
    </xf>
    <xf numFmtId="1" fontId="39" fillId="3" borderId="1" xfId="0" applyNumberFormat="1" applyFont="1" applyFill="1" applyBorder="1" applyAlignment="1">
      <alignment horizontal="center"/>
    </xf>
    <xf numFmtId="167" fontId="39" fillId="3" borderId="1" xfId="0" applyNumberFormat="1" applyFont="1" applyFill="1" applyBorder="1" applyAlignment="1">
      <alignment horizontal="center" vertical="center"/>
    </xf>
    <xf numFmtId="3" fontId="39" fillId="13" borderId="1" xfId="0" applyNumberFormat="1" applyFont="1" applyFill="1" applyBorder="1" applyAlignment="1">
      <alignment horizontal="center"/>
    </xf>
    <xf numFmtId="3" fontId="39" fillId="12" borderId="1" xfId="0" applyNumberFormat="1" applyFont="1" applyFill="1" applyBorder="1" applyAlignment="1">
      <alignment horizontal="center" vertical="center"/>
    </xf>
    <xf numFmtId="0" fontId="35" fillId="16" borderId="0" xfId="0" applyFont="1" applyFill="1" applyAlignment="1">
      <alignment vertical="center"/>
    </xf>
    <xf numFmtId="0" fontId="11" fillId="16" borderId="0" xfId="0" applyFont="1" applyFill="1" applyAlignment="1">
      <alignment vertical="center"/>
    </xf>
    <xf numFmtId="0" fontId="35" fillId="15" borderId="0" xfId="0" applyFont="1" applyFill="1" applyAlignment="1">
      <alignment vertical="center"/>
    </xf>
    <xf numFmtId="0" fontId="11" fillId="16" borderId="0" xfId="0" applyFont="1" applyFill="1" applyAlignment="1">
      <alignment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left" vertical="center"/>
    </xf>
    <xf numFmtId="0" fontId="52" fillId="4" borderId="16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vertical="center"/>
    </xf>
    <xf numFmtId="0" fontId="53" fillId="3" borderId="1" xfId="0" applyFont="1" applyFill="1" applyBorder="1" applyAlignment="1">
      <alignment horizontal="center"/>
    </xf>
    <xf numFmtId="0" fontId="53" fillId="3" borderId="16" xfId="0" applyFont="1" applyFill="1" applyBorder="1" applyAlignment="1">
      <alignment horizontal="center"/>
    </xf>
    <xf numFmtId="0" fontId="53" fillId="3" borderId="1" xfId="0" applyFont="1" applyFill="1" applyBorder="1"/>
    <xf numFmtId="0" fontId="53" fillId="3" borderId="1" xfId="0" applyFont="1" applyFill="1" applyBorder="1" applyAlignment="1">
      <alignment horizontal="left"/>
    </xf>
    <xf numFmtId="0" fontId="53" fillId="3" borderId="16" xfId="0" applyFont="1" applyFill="1" applyBorder="1" applyAlignment="1">
      <alignment horizontal="left"/>
    </xf>
    <xf numFmtId="0" fontId="53" fillId="3" borderId="16" xfId="0" applyFont="1" applyFill="1" applyBorder="1"/>
    <xf numFmtId="0" fontId="54" fillId="3" borderId="1" xfId="0" applyFont="1" applyFill="1" applyBorder="1" applyAlignment="1">
      <alignment horizontal="left"/>
    </xf>
    <xf numFmtId="0" fontId="54" fillId="3" borderId="16" xfId="0" applyFont="1" applyFill="1" applyBorder="1" applyAlignment="1">
      <alignment horizontal="left"/>
    </xf>
    <xf numFmtId="0" fontId="55" fillId="3" borderId="16" xfId="0" applyFont="1" applyFill="1" applyBorder="1" applyAlignment="1">
      <alignment horizontal="left"/>
    </xf>
    <xf numFmtId="0" fontId="53" fillId="3" borderId="1" xfId="0" applyFont="1" applyFill="1" applyBorder="1" applyAlignment="1">
      <alignment horizontal="center" vertical="center"/>
    </xf>
    <xf numFmtId="0" fontId="53" fillId="13" borderId="1" xfId="0" applyFont="1" applyFill="1" applyBorder="1"/>
    <xf numFmtId="0" fontId="56" fillId="14" borderId="0" xfId="0" applyFont="1" applyFill="1"/>
    <xf numFmtId="0" fontId="53" fillId="3" borderId="16" xfId="0" applyFont="1" applyFill="1" applyBorder="1" applyAlignment="1">
      <alignment horizontal="center" vertical="center"/>
    </xf>
    <xf numFmtId="0" fontId="53" fillId="3" borderId="20" xfId="0" applyFont="1" applyFill="1" applyBorder="1" applyAlignment="1">
      <alignment horizontal="center"/>
    </xf>
    <xf numFmtId="0" fontId="53" fillId="3" borderId="20" xfId="0" applyFont="1" applyFill="1" applyBorder="1"/>
    <xf numFmtId="0" fontId="35" fillId="13" borderId="1" xfId="0" applyFont="1" applyFill="1" applyBorder="1" applyAlignment="1">
      <alignment vertical="center"/>
    </xf>
    <xf numFmtId="0" fontId="39" fillId="16" borderId="0" xfId="0" applyFont="1" applyFill="1" applyAlignment="1">
      <alignment vertical="center" wrapText="1"/>
    </xf>
    <xf numFmtId="0" fontId="39" fillId="16" borderId="0" xfId="0" applyFont="1" applyFill="1" applyAlignment="1">
      <alignment vertical="center"/>
    </xf>
    <xf numFmtId="0" fontId="0" fillId="19" borderId="0" xfId="0" applyFill="1" applyAlignment="1">
      <alignment vertical="center" wrapText="1"/>
    </xf>
    <xf numFmtId="0" fontId="39" fillId="19" borderId="0" xfId="0" applyFont="1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42" fillId="0" borderId="0" xfId="0" applyFont="1" applyAlignment="1">
      <alignment vertical="center"/>
    </xf>
    <xf numFmtId="10" fontId="5" fillId="0" borderId="20" xfId="1" applyNumberFormat="1" applyFont="1" applyFill="1" applyBorder="1" applyAlignment="1"/>
    <xf numFmtId="9" fontId="1" fillId="13" borderId="1" xfId="0" applyNumberFormat="1" applyFont="1" applyFill="1" applyBorder="1" applyAlignment="1">
      <alignment horizontal="center" vertical="center"/>
    </xf>
    <xf numFmtId="165" fontId="5" fillId="13" borderId="11" xfId="0" applyNumberFormat="1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39" fillId="13" borderId="11" xfId="0" applyFont="1" applyFill="1" applyBorder="1" applyAlignment="1">
      <alignment horizontal="center" vertical="center"/>
    </xf>
    <xf numFmtId="165" fontId="3" fillId="13" borderId="12" xfId="0" applyNumberFormat="1" applyFont="1" applyFill="1" applyBorder="1" applyAlignment="1">
      <alignment horizontal="center" vertical="center"/>
    </xf>
    <xf numFmtId="9" fontId="1" fillId="13" borderId="11" xfId="0" applyNumberFormat="1" applyFont="1" applyFill="1" applyBorder="1" applyAlignment="1">
      <alignment horizontal="center" vertical="center"/>
    </xf>
    <xf numFmtId="2" fontId="1" fillId="13" borderId="1" xfId="0" applyNumberFormat="1" applyFont="1" applyFill="1" applyBorder="1" applyAlignment="1">
      <alignment horizontal="center" vertical="center"/>
    </xf>
    <xf numFmtId="9" fontId="8" fillId="13" borderId="11" xfId="0" applyNumberFormat="1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10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10" fontId="8" fillId="13" borderId="1" xfId="0" applyNumberFormat="1" applyFont="1" applyFill="1" applyBorder="1" applyAlignment="1">
      <alignment horizontal="center" vertical="center"/>
    </xf>
    <xf numFmtId="165" fontId="1" fillId="13" borderId="1" xfId="0" applyNumberFormat="1" applyFont="1" applyFill="1" applyBorder="1" applyAlignment="1">
      <alignment horizontal="center" vertical="center"/>
    </xf>
    <xf numFmtId="166" fontId="1" fillId="13" borderId="1" xfId="0" applyNumberFormat="1" applyFont="1" applyFill="1" applyBorder="1" applyAlignment="1">
      <alignment vertical="center"/>
    </xf>
    <xf numFmtId="9" fontId="8" fillId="13" borderId="1" xfId="0" applyNumberFormat="1" applyFont="1" applyFill="1" applyBorder="1" applyAlignment="1">
      <alignment horizontal="center" vertical="center"/>
    </xf>
    <xf numFmtId="4" fontId="8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/>
    <xf numFmtId="169" fontId="1" fillId="13" borderId="8" xfId="0" applyNumberFormat="1" applyFont="1" applyFill="1" applyBorder="1" applyAlignment="1">
      <alignment horizontal="center" vertical="center"/>
    </xf>
    <xf numFmtId="169" fontId="1" fillId="13" borderId="6" xfId="0" applyNumberFormat="1" applyFont="1" applyFill="1" applyBorder="1" applyAlignment="1">
      <alignment horizontal="center" vertical="center"/>
    </xf>
    <xf numFmtId="169" fontId="1" fillId="13" borderId="10" xfId="0" applyNumberFormat="1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3" fontId="0" fillId="13" borderId="6" xfId="0" applyNumberFormat="1" applyFill="1" applyBorder="1" applyAlignment="1">
      <alignment horizontal="center" vertical="center"/>
    </xf>
    <xf numFmtId="10" fontId="1" fillId="13" borderId="7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0" fontId="39" fillId="13" borderId="1" xfId="0" applyFont="1" applyFill="1" applyBorder="1" applyAlignment="1">
      <alignment horizontal="center"/>
    </xf>
    <xf numFmtId="0" fontId="39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14" borderId="0" xfId="0" applyFill="1"/>
    <xf numFmtId="0" fontId="40" fillId="3" borderId="4" xfId="0" applyFont="1" applyFill="1" applyBorder="1" applyAlignment="1">
      <alignment vertical="center"/>
    </xf>
    <xf numFmtId="0" fontId="40" fillId="3" borderId="4" xfId="0" applyFont="1" applyFill="1" applyBorder="1" applyAlignment="1">
      <alignment horizontal="center" vertical="center" wrapText="1"/>
    </xf>
    <xf numFmtId="0" fontId="40" fillId="3" borderId="4" xfId="0" applyFont="1" applyFill="1" applyBorder="1" applyAlignment="1">
      <alignment horizontal="center" wrapText="1"/>
    </xf>
    <xf numFmtId="0" fontId="40" fillId="3" borderId="1" xfId="0" applyFont="1" applyFill="1" applyBorder="1" applyAlignment="1">
      <alignment horizontal="center" wrapText="1"/>
    </xf>
    <xf numFmtId="1" fontId="40" fillId="3" borderId="4" xfId="0" applyNumberFormat="1" applyFont="1" applyFill="1" applyBorder="1" applyAlignment="1">
      <alignment horizontal="center" vertical="center"/>
    </xf>
    <xf numFmtId="165" fontId="23" fillId="13" borderId="1" xfId="0" applyNumberFormat="1" applyFon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23" fillId="13" borderId="1" xfId="0" applyNumberFormat="1" applyFont="1" applyFill="1" applyBorder="1" applyAlignment="1">
      <alignment horizontal="center" vertical="center"/>
    </xf>
    <xf numFmtId="3" fontId="1" fillId="13" borderId="16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/>
    </xf>
    <xf numFmtId="3" fontId="32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3" fontId="21" fillId="13" borderId="1" xfId="0" applyNumberFormat="1" applyFont="1" applyFill="1" applyBorder="1" applyAlignment="1">
      <alignment horizontal="center" vertical="center"/>
    </xf>
    <xf numFmtId="167" fontId="8" fillId="13" borderId="1" xfId="0" applyNumberFormat="1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/>
    </xf>
    <xf numFmtId="0" fontId="1" fillId="13" borderId="16" xfId="0" applyFont="1" applyFill="1" applyBorder="1" applyAlignment="1">
      <alignment horizontal="center"/>
    </xf>
    <xf numFmtId="167" fontId="8" fillId="13" borderId="16" xfId="0" applyNumberFormat="1" applyFont="1" applyFill="1" applyBorder="1" applyAlignment="1">
      <alignment horizontal="center"/>
    </xf>
    <xf numFmtId="0" fontId="11" fillId="13" borderId="16" xfId="0" applyFont="1" applyFill="1" applyBorder="1" applyAlignment="1">
      <alignment horizontal="center" vertical="center"/>
    </xf>
    <xf numFmtId="3" fontId="1" fillId="13" borderId="18" xfId="0" applyNumberFormat="1" applyFont="1" applyFill="1" applyBorder="1" applyAlignment="1">
      <alignment vertical="center"/>
    </xf>
    <xf numFmtId="0" fontId="23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vertical="center" wrapText="1"/>
    </xf>
    <xf numFmtId="0" fontId="5" fillId="13" borderId="16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/>
    </xf>
    <xf numFmtId="0" fontId="42" fillId="13" borderId="1" xfId="0" applyFont="1" applyFill="1" applyBorder="1" applyAlignment="1">
      <alignment vertical="center"/>
    </xf>
    <xf numFmtId="0" fontId="42" fillId="13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center" vertical="center"/>
    </xf>
    <xf numFmtId="10" fontId="45" fillId="13" borderId="1" xfId="0" applyNumberFormat="1" applyFont="1" applyFill="1" applyBorder="1" applyAlignment="1">
      <alignment horizontal="center"/>
    </xf>
    <xf numFmtId="0" fontId="23" fillId="13" borderId="1" xfId="0" applyFont="1" applyFill="1" applyBorder="1" applyAlignment="1">
      <alignment horizontal="left" vertical="center"/>
    </xf>
    <xf numFmtId="10" fontId="30" fillId="1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4" borderId="16" xfId="0" applyFont="1" applyFill="1" applyBorder="1" applyAlignment="1">
      <alignment vertical="center"/>
    </xf>
    <xf numFmtId="0" fontId="5" fillId="22" borderId="16" xfId="0" applyFont="1" applyFill="1" applyBorder="1" applyAlignment="1">
      <alignment horizontal="center" vertical="center"/>
    </xf>
    <xf numFmtId="0" fontId="5" fillId="22" borderId="16" xfId="0" applyFont="1" applyFill="1" applyBorder="1" applyAlignment="1">
      <alignment vertical="center"/>
    </xf>
    <xf numFmtId="0" fontId="5" fillId="0" borderId="0" xfId="0" applyFont="1"/>
    <xf numFmtId="0" fontId="5" fillId="23" borderId="16" xfId="0" applyFont="1" applyFill="1" applyBorder="1" applyAlignment="1">
      <alignment vertical="center"/>
    </xf>
    <xf numFmtId="0" fontId="35" fillId="0" borderId="0" xfId="0" applyFont="1"/>
    <xf numFmtId="0" fontId="35" fillId="24" borderId="16" xfId="0" applyFont="1" applyFill="1" applyBorder="1"/>
    <xf numFmtId="9" fontId="8" fillId="3" borderId="16" xfId="0" applyNumberFormat="1" applyFont="1" applyFill="1" applyBorder="1" applyAlignment="1">
      <alignment horizontal="center" vertical="center"/>
    </xf>
    <xf numFmtId="0" fontId="0" fillId="0" borderId="23" xfId="0" applyBorder="1"/>
    <xf numFmtId="0" fontId="5" fillId="3" borderId="23" xfId="0" applyFont="1" applyFill="1" applyBorder="1" applyAlignment="1">
      <alignment vertical="center"/>
    </xf>
    <xf numFmtId="0" fontId="1" fillId="3" borderId="23" xfId="0" applyFont="1" applyFill="1" applyBorder="1" applyAlignment="1">
      <alignment horizontal="center" vertical="center"/>
    </xf>
    <xf numFmtId="9" fontId="1" fillId="13" borderId="23" xfId="0" applyNumberFormat="1" applyFont="1" applyFill="1" applyBorder="1" applyAlignment="1">
      <alignment horizontal="center" vertical="center"/>
    </xf>
    <xf numFmtId="9" fontId="9" fillId="3" borderId="23" xfId="0" applyNumberFormat="1" applyFont="1" applyFill="1" applyBorder="1" applyAlignment="1">
      <alignment horizontal="center" vertical="center"/>
    </xf>
    <xf numFmtId="9" fontId="0" fillId="3" borderId="23" xfId="0" applyNumberFormat="1" applyFill="1" applyBorder="1" applyAlignment="1">
      <alignment horizontal="center" vertical="center"/>
    </xf>
    <xf numFmtId="9" fontId="17" fillId="3" borderId="23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vertical="center"/>
    </xf>
    <xf numFmtId="9" fontId="35" fillId="3" borderId="1" xfId="0" applyNumberFormat="1" applyFont="1" applyFill="1" applyBorder="1" applyAlignment="1">
      <alignment horizontal="center" vertical="center"/>
    </xf>
    <xf numFmtId="0" fontId="0" fillId="25" borderId="1" xfId="0" applyFill="1" applyBorder="1"/>
    <xf numFmtId="0" fontId="5" fillId="26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10" fontId="8" fillId="25" borderId="1" xfId="0" applyNumberFormat="1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/>
    </xf>
    <xf numFmtId="10" fontId="1" fillId="25" borderId="1" xfId="0" applyNumberFormat="1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0" fillId="27" borderId="0" xfId="0" applyFill="1"/>
    <xf numFmtId="0" fontId="3" fillId="3" borderId="16" xfId="0" applyFont="1" applyFill="1" applyBorder="1" applyAlignment="1">
      <alignment wrapText="1"/>
    </xf>
    <xf numFmtId="3" fontId="3" fillId="3" borderId="16" xfId="0" applyNumberFormat="1" applyFont="1" applyFill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0" fontId="0" fillId="0" borderId="16" xfId="0" applyBorder="1"/>
    <xf numFmtId="0" fontId="5" fillId="3" borderId="16" xfId="0" applyFont="1" applyFill="1" applyBorder="1" applyAlignment="1">
      <alignment vertical="center"/>
    </xf>
    <xf numFmtId="0" fontId="0" fillId="25" borderId="16" xfId="0" applyFill="1" applyBorder="1"/>
    <xf numFmtId="0" fontId="5" fillId="26" borderId="16" xfId="0" applyFont="1" applyFill="1" applyBorder="1" applyAlignment="1">
      <alignment vertical="center"/>
    </xf>
    <xf numFmtId="0" fontId="1" fillId="26" borderId="16" xfId="0" applyFont="1" applyFill="1" applyBorder="1" applyAlignment="1">
      <alignment horizontal="center" vertical="center"/>
    </xf>
    <xf numFmtId="0" fontId="12" fillId="26" borderId="16" xfId="0" applyFont="1" applyFill="1" applyBorder="1" applyAlignment="1">
      <alignment horizontal="center" vertical="center"/>
    </xf>
    <xf numFmtId="0" fontId="7" fillId="26" borderId="16" xfId="0" applyFont="1" applyFill="1" applyBorder="1" applyAlignment="1">
      <alignment horizontal="center" vertical="center"/>
    </xf>
    <xf numFmtId="3" fontId="3" fillId="25" borderId="16" xfId="0" applyNumberFormat="1" applyFont="1" applyFill="1" applyBorder="1" applyAlignment="1">
      <alignment horizontal="center" vertical="center"/>
    </xf>
    <xf numFmtId="3" fontId="3" fillId="25" borderId="16" xfId="0" applyNumberFormat="1" applyFont="1" applyFill="1" applyBorder="1" applyAlignment="1">
      <alignment horizontal="center"/>
    </xf>
    <xf numFmtId="3" fontId="5" fillId="27" borderId="16" xfId="0" applyNumberFormat="1" applyFont="1" applyFill="1" applyBorder="1" applyAlignment="1">
      <alignment horizontal="center"/>
    </xf>
    <xf numFmtId="0" fontId="0" fillId="27" borderId="16" xfId="0" applyFill="1" applyBorder="1"/>
    <xf numFmtId="3" fontId="3" fillId="13" borderId="16" xfId="0" applyNumberFormat="1" applyFont="1" applyFill="1" applyBorder="1" applyAlignment="1">
      <alignment horizontal="center" vertical="center"/>
    </xf>
    <xf numFmtId="0" fontId="0" fillId="28" borderId="1" xfId="0" applyFill="1" applyBorder="1"/>
    <xf numFmtId="0" fontId="39" fillId="3" borderId="16" xfId="0" applyFont="1" applyFill="1" applyBorder="1"/>
    <xf numFmtId="0" fontId="39" fillId="3" borderId="16" xfId="0" applyFont="1" applyFill="1" applyBorder="1" applyAlignment="1">
      <alignment horizontal="center" vertical="center"/>
    </xf>
    <xf numFmtId="0" fontId="40" fillId="25" borderId="16" xfId="0" applyFont="1" applyFill="1" applyBorder="1" applyAlignment="1">
      <alignment vertical="center"/>
    </xf>
    <xf numFmtId="0" fontId="40" fillId="25" borderId="16" xfId="0" applyFont="1" applyFill="1" applyBorder="1" applyAlignment="1">
      <alignment horizontal="center" vertical="center"/>
    </xf>
    <xf numFmtId="0" fontId="40" fillId="25" borderId="16" xfId="0" applyFont="1" applyFill="1" applyBorder="1" applyAlignment="1">
      <alignment horizontal="left" vertical="center"/>
    </xf>
    <xf numFmtId="0" fontId="39" fillId="25" borderId="16" xfId="0" applyFont="1" applyFill="1" applyBorder="1" applyAlignment="1">
      <alignment horizontal="center" vertical="center"/>
    </xf>
    <xf numFmtId="0" fontId="40" fillId="25" borderId="16" xfId="0" applyFont="1" applyFill="1" applyBorder="1" applyAlignment="1">
      <alignment horizontal="center"/>
    </xf>
    <xf numFmtId="9" fontId="40" fillId="25" borderId="16" xfId="0" applyNumberFormat="1" applyFont="1" applyFill="1" applyBorder="1" applyAlignment="1">
      <alignment horizontal="center"/>
    </xf>
    <xf numFmtId="3" fontId="40" fillId="25" borderId="16" xfId="0" applyNumberFormat="1" applyFont="1" applyFill="1" applyBorder="1" applyAlignment="1">
      <alignment horizontal="center" vertical="center"/>
    </xf>
    <xf numFmtId="0" fontId="40" fillId="25" borderId="16" xfId="0" applyFont="1" applyFill="1" applyBorder="1"/>
    <xf numFmtId="0" fontId="39" fillId="27" borderId="16" xfId="0" applyFont="1" applyFill="1" applyBorder="1"/>
    <xf numFmtId="0" fontId="5" fillId="25" borderId="16" xfId="0" applyFont="1" applyFill="1" applyBorder="1"/>
    <xf numFmtId="0" fontId="3" fillId="25" borderId="16" xfId="0" applyFont="1" applyFill="1" applyBorder="1" applyAlignment="1">
      <alignment vertical="center"/>
    </xf>
    <xf numFmtId="0" fontId="3" fillId="25" borderId="16" xfId="0" applyFont="1" applyFill="1" applyBorder="1" applyAlignment="1">
      <alignment horizontal="center" vertical="center"/>
    </xf>
    <xf numFmtId="0" fontId="3" fillId="25" borderId="16" xfId="0" applyFont="1" applyFill="1" applyBorder="1" applyAlignment="1">
      <alignment horizontal="center"/>
    </xf>
    <xf numFmtId="3" fontId="5" fillId="25" borderId="16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 wrapText="1"/>
    </xf>
    <xf numFmtId="10" fontId="1" fillId="3" borderId="16" xfId="0" applyNumberFormat="1" applyFont="1" applyFill="1" applyBorder="1" applyAlignment="1">
      <alignment horizontal="center" vertical="center"/>
    </xf>
    <xf numFmtId="0" fontId="0" fillId="13" borderId="16" xfId="0" applyFill="1" applyBorder="1"/>
    <xf numFmtId="0" fontId="1" fillId="13" borderId="16" xfId="0" applyFont="1" applyFill="1" applyBorder="1" applyAlignment="1">
      <alignment vertical="center"/>
    </xf>
    <xf numFmtId="0" fontId="1" fillId="13" borderId="16" xfId="0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center" vertical="center" wrapText="1"/>
    </xf>
    <xf numFmtId="0" fontId="7" fillId="13" borderId="16" xfId="0" applyFont="1" applyFill="1" applyBorder="1" applyAlignment="1">
      <alignment horizontal="center" vertical="center"/>
    </xf>
    <xf numFmtId="10" fontId="1" fillId="13" borderId="16" xfId="0" applyNumberFormat="1" applyFont="1" applyFill="1" applyBorder="1" applyAlignment="1">
      <alignment horizontal="center" vertical="center"/>
    </xf>
    <xf numFmtId="0" fontId="0" fillId="14" borderId="16" xfId="0" applyFill="1" applyBorder="1"/>
    <xf numFmtId="0" fontId="40" fillId="3" borderId="4" xfId="0" applyFont="1" applyFill="1" applyBorder="1" applyAlignment="1">
      <alignment horizontal="center" vertical="center"/>
    </xf>
    <xf numFmtId="0" fontId="3" fillId="29" borderId="16" xfId="0" applyFont="1" applyFill="1" applyBorder="1" applyAlignment="1">
      <alignment vertical="center"/>
    </xf>
    <xf numFmtId="0" fontId="3" fillId="29" borderId="16" xfId="0" applyFont="1" applyFill="1" applyBorder="1" applyAlignment="1">
      <alignment horizontal="center" vertical="center"/>
    </xf>
    <xf numFmtId="167" fontId="6" fillId="29" borderId="16" xfId="0" applyNumberFormat="1" applyFont="1" applyFill="1" applyBorder="1" applyAlignment="1">
      <alignment horizontal="center" vertical="center"/>
    </xf>
    <xf numFmtId="0" fontId="13" fillId="29" borderId="16" xfId="0" applyFont="1" applyFill="1" applyBorder="1" applyAlignment="1">
      <alignment horizontal="center" vertical="center"/>
    </xf>
    <xf numFmtId="3" fontId="3" fillId="29" borderId="16" xfId="0" applyNumberFormat="1" applyFont="1" applyFill="1" applyBorder="1" applyAlignment="1">
      <alignment horizontal="center" vertical="center"/>
    </xf>
    <xf numFmtId="167" fontId="8" fillId="3" borderId="16" xfId="0" applyNumberFormat="1" applyFont="1" applyFill="1" applyBorder="1" applyAlignment="1">
      <alignment horizontal="center" vertical="center"/>
    </xf>
    <xf numFmtId="0" fontId="3" fillId="13" borderId="16" xfId="0" applyFont="1" applyFill="1" applyBorder="1"/>
    <xf numFmtId="0" fontId="3" fillId="13" borderId="16" xfId="0" applyFont="1" applyFill="1" applyBorder="1" applyAlignment="1">
      <alignment horizontal="center"/>
    </xf>
    <xf numFmtId="167" fontId="6" fillId="13" borderId="16" xfId="0" applyNumberFormat="1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center" vertical="center"/>
    </xf>
    <xf numFmtId="165" fontId="1" fillId="3" borderId="16" xfId="0" applyNumberFormat="1" applyFont="1" applyFill="1" applyBorder="1" applyAlignment="1">
      <alignment horizontal="center" vertical="center"/>
    </xf>
    <xf numFmtId="0" fontId="0" fillId="13" borderId="25" xfId="0" applyFill="1" applyBorder="1"/>
    <xf numFmtId="0" fontId="3" fillId="13" borderId="25" xfId="0" applyFont="1" applyFill="1" applyBorder="1" applyAlignment="1">
      <alignment vertical="center"/>
    </xf>
    <xf numFmtId="0" fontId="0" fillId="14" borderId="25" xfId="0" applyFill="1" applyBorder="1"/>
    <xf numFmtId="3" fontId="3" fillId="13" borderId="25" xfId="0" applyNumberFormat="1" applyFont="1" applyFill="1" applyBorder="1" applyAlignment="1">
      <alignment horizontal="center" vertical="center"/>
    </xf>
    <xf numFmtId="165" fontId="1" fillId="13" borderId="25" xfId="0" applyNumberFormat="1" applyFont="1" applyFill="1" applyBorder="1" applyAlignment="1">
      <alignment horizontal="center" vertical="center"/>
    </xf>
    <xf numFmtId="0" fontId="0" fillId="3" borderId="25" xfId="0" applyFill="1" applyBorder="1"/>
    <xf numFmtId="0" fontId="0" fillId="13" borderId="25" xfId="0" applyFill="1" applyBorder="1" applyAlignment="1">
      <alignment vertical="center"/>
    </xf>
    <xf numFmtId="0" fontId="35" fillId="13" borderId="25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3" fontId="1" fillId="13" borderId="25" xfId="0" applyNumberFormat="1" applyFont="1" applyFill="1" applyBorder="1" applyAlignment="1">
      <alignment horizontal="center" vertical="center"/>
    </xf>
    <xf numFmtId="3" fontId="1" fillId="3" borderId="25" xfId="0" applyNumberFormat="1" applyFont="1" applyFill="1" applyBorder="1" applyAlignment="1">
      <alignment horizontal="center" vertical="center"/>
    </xf>
    <xf numFmtId="3" fontId="1" fillId="3" borderId="25" xfId="0" applyNumberFormat="1" applyFont="1" applyFill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/>
    <xf numFmtId="0" fontId="39" fillId="3" borderId="16" xfId="0" applyFont="1" applyFill="1" applyBorder="1" applyAlignment="1">
      <alignment horizontal="center"/>
    </xf>
    <xf numFmtId="0" fontId="5" fillId="30" borderId="16" xfId="0" applyFont="1" applyFill="1" applyBorder="1" applyAlignment="1">
      <alignment vertical="center"/>
    </xf>
    <xf numFmtId="0" fontId="0" fillId="30" borderId="16" xfId="0" applyFill="1" applyBorder="1" applyAlignment="1">
      <alignment horizontal="center" vertical="center"/>
    </xf>
    <xf numFmtId="0" fontId="16" fillId="30" borderId="16" xfId="0" applyFont="1" applyFill="1" applyBorder="1" applyAlignment="1">
      <alignment horizontal="center" vertical="center"/>
    </xf>
    <xf numFmtId="9" fontId="0" fillId="13" borderId="16" xfId="0" applyNumberFormat="1" applyFill="1" applyBorder="1" applyAlignment="1">
      <alignment horizontal="center" vertical="center"/>
    </xf>
    <xf numFmtId="0" fontId="5" fillId="30" borderId="16" xfId="0" applyFont="1" applyFill="1" applyBorder="1" applyAlignment="1">
      <alignment horizontal="center" vertical="center"/>
    </xf>
    <xf numFmtId="1" fontId="1" fillId="13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left" vertical="center"/>
    </xf>
    <xf numFmtId="0" fontId="39" fillId="3" borderId="16" xfId="0" applyFont="1" applyFill="1" applyBorder="1" applyAlignment="1">
      <alignment vertical="center"/>
    </xf>
    <xf numFmtId="0" fontId="39" fillId="3" borderId="16" xfId="0" applyFont="1" applyFill="1" applyBorder="1" applyAlignment="1">
      <alignment horizontal="left" vertical="center"/>
    </xf>
    <xf numFmtId="9" fontId="39" fillId="3" borderId="16" xfId="0" applyNumberFormat="1" applyFont="1" applyFill="1" applyBorder="1" applyAlignment="1">
      <alignment horizontal="center" vertical="center"/>
    </xf>
    <xf numFmtId="0" fontId="39" fillId="13" borderId="1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3" fillId="3" borderId="16" xfId="0" applyFont="1" applyFill="1" applyBorder="1" applyAlignment="1">
      <alignment vertical="center"/>
    </xf>
    <xf numFmtId="0" fontId="23" fillId="3" borderId="16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9" fillId="3" borderId="16" xfId="0" applyFont="1" applyFill="1" applyBorder="1" applyAlignment="1">
      <alignment horizontal="center" vertical="center"/>
    </xf>
    <xf numFmtId="3" fontId="29" fillId="3" borderId="16" xfId="0" applyNumberFormat="1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vertical="center"/>
    </xf>
    <xf numFmtId="3" fontId="3" fillId="31" borderId="16" xfId="0" applyNumberFormat="1" applyFont="1" applyFill="1" applyBorder="1" applyAlignment="1">
      <alignment horizontal="center" vertical="center"/>
    </xf>
    <xf numFmtId="3" fontId="39" fillId="3" borderId="1" xfId="0" applyNumberFormat="1" applyFont="1" applyFill="1" applyBorder="1" applyAlignment="1">
      <alignment horizontal="center" vertical="center"/>
    </xf>
    <xf numFmtId="170" fontId="1" fillId="3" borderId="1" xfId="3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9" fontId="8" fillId="3" borderId="16" xfId="0" applyNumberFormat="1" applyFont="1" applyFill="1" applyBorder="1" applyAlignment="1">
      <alignment horizontal="center"/>
    </xf>
    <xf numFmtId="0" fontId="28" fillId="3" borderId="16" xfId="0" applyFont="1" applyFill="1" applyBorder="1" applyAlignment="1">
      <alignment vertical="center"/>
    </xf>
    <xf numFmtId="0" fontId="42" fillId="3" borderId="16" xfId="0" applyFont="1" applyFill="1" applyBorder="1" applyAlignment="1">
      <alignment vertical="center"/>
    </xf>
    <xf numFmtId="3" fontId="3" fillId="3" borderId="16" xfId="0" applyNumberFormat="1" applyFont="1" applyFill="1" applyBorder="1" applyAlignment="1">
      <alignment horizontal="center"/>
    </xf>
    <xf numFmtId="9" fontId="33" fillId="3" borderId="16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vertical="center"/>
    </xf>
    <xf numFmtId="165" fontId="3" fillId="13" borderId="16" xfId="1" applyNumberFormat="1" applyFont="1" applyFill="1" applyBorder="1" applyAlignment="1">
      <alignment horizontal="center" vertical="center"/>
    </xf>
    <xf numFmtId="0" fontId="46" fillId="3" borderId="16" xfId="0" applyFont="1" applyFill="1" applyBorder="1"/>
    <xf numFmtId="0" fontId="46" fillId="0" borderId="0" xfId="0" applyFont="1"/>
    <xf numFmtId="0" fontId="58" fillId="3" borderId="16" xfId="0" applyFont="1" applyFill="1" applyBorder="1"/>
    <xf numFmtId="0" fontId="46" fillId="3" borderId="26" xfId="0" applyFont="1" applyFill="1" applyBorder="1"/>
    <xf numFmtId="0" fontId="46" fillId="3" borderId="8" xfId="0" applyFont="1" applyFill="1" applyBorder="1" applyAlignment="1">
      <alignment vertical="center"/>
    </xf>
    <xf numFmtId="0" fontId="46" fillId="3" borderId="16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59" fillId="3" borderId="21" xfId="0" applyFont="1" applyFill="1" applyBorder="1" applyAlignment="1">
      <alignment horizontal="center" vertical="center"/>
    </xf>
    <xf numFmtId="0" fontId="60" fillId="3" borderId="16" xfId="0" applyFont="1" applyFill="1" applyBorder="1"/>
    <xf numFmtId="0" fontId="61" fillId="3" borderId="16" xfId="0" applyFont="1" applyFill="1" applyBorder="1" applyAlignment="1">
      <alignment vertical="top" wrapText="1"/>
    </xf>
    <xf numFmtId="0" fontId="2" fillId="32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56" fillId="0" borderId="0" xfId="0" applyFont="1"/>
    <xf numFmtId="0" fontId="56" fillId="0" borderId="21" xfId="0" applyFont="1" applyBorder="1" applyAlignment="1">
      <alignment horizontal="left" vertical="center" wrapText="1" readingOrder="1"/>
    </xf>
    <xf numFmtId="14" fontId="56" fillId="0" borderId="21" xfId="0" applyNumberFormat="1" applyFont="1" applyBorder="1" applyAlignment="1">
      <alignment horizontal="center" vertical="center" wrapText="1" readingOrder="1"/>
    </xf>
    <xf numFmtId="0" fontId="56" fillId="0" borderId="21" xfId="0" applyFont="1" applyBorder="1" applyAlignment="1">
      <alignment horizontal="center" vertical="center" wrapText="1" readingOrder="1"/>
    </xf>
    <xf numFmtId="0" fontId="65" fillId="35" borderId="21" xfId="0" applyFont="1" applyFill="1" applyBorder="1" applyAlignment="1">
      <alignment horizontal="center" vertical="center" wrapText="1" readingOrder="1"/>
    </xf>
    <xf numFmtId="9" fontId="56" fillId="36" borderId="21" xfId="0" applyNumberFormat="1" applyFont="1" applyFill="1" applyBorder="1" applyAlignment="1">
      <alignment horizontal="center" vertical="center" wrapText="1" readingOrder="1"/>
    </xf>
    <xf numFmtId="9" fontId="56" fillId="0" borderId="21" xfId="0" applyNumberFormat="1" applyFont="1" applyBorder="1" applyAlignment="1">
      <alignment horizontal="center" vertical="center" wrapText="1" readingOrder="1"/>
    </xf>
    <xf numFmtId="0" fontId="66" fillId="34" borderId="21" xfId="0" applyFont="1" applyFill="1" applyBorder="1" applyAlignment="1">
      <alignment horizontal="left" vertical="center" wrapText="1" readingOrder="1"/>
    </xf>
    <xf numFmtId="0" fontId="53" fillId="34" borderId="21" xfId="0" applyFont="1" applyFill="1" applyBorder="1" applyAlignment="1">
      <alignment vertical="center" wrapText="1"/>
    </xf>
    <xf numFmtId="0" fontId="65" fillId="38" borderId="21" xfId="0" applyFont="1" applyFill="1" applyBorder="1" applyAlignment="1">
      <alignment horizontal="left" vertical="center" wrapText="1" readingOrder="1"/>
    </xf>
    <xf numFmtId="0" fontId="56" fillId="38" borderId="21" xfId="0" applyFont="1" applyFill="1" applyBorder="1" applyAlignment="1">
      <alignment horizontal="center" vertical="center" wrapText="1" readingOrder="1"/>
    </xf>
    <xf numFmtId="0" fontId="56" fillId="36" borderId="21" xfId="0" applyFont="1" applyFill="1" applyBorder="1" applyAlignment="1">
      <alignment horizontal="left" vertical="center" wrapText="1" readingOrder="1"/>
    </xf>
    <xf numFmtId="3" fontId="56" fillId="36" borderId="21" xfId="0" applyNumberFormat="1" applyFont="1" applyFill="1" applyBorder="1" applyAlignment="1">
      <alignment horizontal="center" vertical="center" wrapText="1" readingOrder="1"/>
    </xf>
    <xf numFmtId="0" fontId="56" fillId="36" borderId="21" xfId="0" applyFont="1" applyFill="1" applyBorder="1" applyAlignment="1">
      <alignment horizontal="center" vertical="center" wrapText="1" readingOrder="1"/>
    </xf>
    <xf numFmtId="0" fontId="65" fillId="37" borderId="21" xfId="0" applyFont="1" applyFill="1" applyBorder="1" applyAlignment="1">
      <alignment horizontal="center" vertical="center" wrapText="1" readingOrder="1"/>
    </xf>
    <xf numFmtId="10" fontId="56" fillId="36" borderId="21" xfId="0" applyNumberFormat="1" applyFont="1" applyFill="1" applyBorder="1" applyAlignment="1">
      <alignment horizontal="center" vertical="center" wrapText="1" readingOrder="1"/>
    </xf>
    <xf numFmtId="0" fontId="56" fillId="38" borderId="21" xfId="0" applyFont="1" applyFill="1" applyBorder="1" applyAlignment="1">
      <alignment horizontal="left" vertical="center" wrapText="1" readingOrder="1"/>
    </xf>
    <xf numFmtId="0" fontId="50" fillId="0" borderId="27" xfId="0" applyFont="1" applyBorder="1" applyAlignment="1">
      <alignment horizontal="center"/>
    </xf>
    <xf numFmtId="0" fontId="50" fillId="0" borderId="30" xfId="0" applyFont="1" applyBorder="1" applyAlignment="1">
      <alignment horizontal="center"/>
    </xf>
    <xf numFmtId="14" fontId="49" fillId="0" borderId="30" xfId="2" applyNumberFormat="1" applyBorder="1" applyAlignment="1">
      <alignment horizontal="center"/>
    </xf>
    <xf numFmtId="14" fontId="49" fillId="0" borderId="32" xfId="2" applyNumberFormat="1" applyBorder="1" applyAlignment="1">
      <alignment horizontal="center"/>
    </xf>
    <xf numFmtId="0" fontId="50" fillId="0" borderId="16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51" fillId="0" borderId="30" xfId="0" applyFont="1" applyBorder="1" applyAlignment="1">
      <alignment horizontal="center"/>
    </xf>
    <xf numFmtId="0" fontId="51" fillId="0" borderId="16" xfId="0" applyFont="1" applyBorder="1" applyAlignment="1">
      <alignment horizontal="center"/>
    </xf>
    <xf numFmtId="0" fontId="51" fillId="0" borderId="31" xfId="0" applyFont="1" applyBorder="1" applyAlignment="1">
      <alignment horizontal="center"/>
    </xf>
    <xf numFmtId="0" fontId="51" fillId="17" borderId="16" xfId="0" applyFont="1" applyFill="1" applyBorder="1" applyAlignment="1">
      <alignment horizontal="center"/>
    </xf>
    <xf numFmtId="0" fontId="51" fillId="0" borderId="32" xfId="0" applyFont="1" applyBorder="1" applyAlignment="1">
      <alignment horizontal="center"/>
    </xf>
    <xf numFmtId="0" fontId="51" fillId="0" borderId="20" xfId="0" applyFont="1" applyBorder="1" applyAlignment="1">
      <alignment horizontal="center"/>
    </xf>
    <xf numFmtId="0" fontId="51" fillId="17" borderId="20" xfId="0" applyFont="1" applyFill="1" applyBorder="1" applyAlignment="1">
      <alignment horizontal="center"/>
    </xf>
    <xf numFmtId="0" fontId="51" fillId="0" borderId="33" xfId="0" applyFont="1" applyBorder="1" applyAlignment="1">
      <alignment horizontal="center"/>
    </xf>
    <xf numFmtId="0" fontId="56" fillId="14" borderId="21" xfId="0" applyFont="1" applyFill="1" applyBorder="1" applyAlignment="1">
      <alignment horizontal="center" vertical="center" wrapText="1" readingOrder="1"/>
    </xf>
    <xf numFmtId="9" fontId="56" fillId="14" borderId="21" xfId="0" applyNumberFormat="1" applyFont="1" applyFill="1" applyBorder="1" applyAlignment="1">
      <alignment horizontal="center" vertical="center" wrapText="1" readingOrder="1"/>
    </xf>
    <xf numFmtId="10" fontId="56" fillId="14" borderId="21" xfId="0" applyNumberFormat="1" applyFont="1" applyFill="1" applyBorder="1" applyAlignment="1">
      <alignment horizontal="center" vertical="center" wrapText="1" readingOrder="1"/>
    </xf>
    <xf numFmtId="0" fontId="67" fillId="34" borderId="0" xfId="0" applyFont="1" applyFill="1" applyAlignment="1">
      <alignment vertical="center"/>
    </xf>
    <xf numFmtId="0" fontId="64" fillId="0" borderId="0" xfId="0" applyFont="1" applyAlignment="1">
      <alignment horizontal="left" vertical="center" readingOrder="1"/>
    </xf>
    <xf numFmtId="0" fontId="64" fillId="27" borderId="0" xfId="0" applyFont="1" applyFill="1" applyAlignment="1">
      <alignment horizontal="left" vertical="center" readingOrder="1"/>
    </xf>
    <xf numFmtId="0" fontId="56" fillId="27" borderId="0" xfId="0" applyFont="1" applyFill="1"/>
    <xf numFmtId="10" fontId="8" fillId="3" borderId="11" xfId="1" applyNumberFormat="1" applyFont="1" applyFill="1" applyBorder="1" applyAlignment="1">
      <alignment horizontal="center" vertical="center"/>
    </xf>
    <xf numFmtId="0" fontId="46" fillId="3" borderId="21" xfId="0" applyFont="1" applyFill="1" applyBorder="1" applyAlignment="1">
      <alignment horizontal="center" vertical="center"/>
    </xf>
    <xf numFmtId="0" fontId="46" fillId="3" borderId="21" xfId="0" applyFont="1" applyFill="1" applyBorder="1" applyAlignment="1">
      <alignment horizontal="center" vertical="center" wrapText="1"/>
    </xf>
    <xf numFmtId="0" fontId="56" fillId="0" borderId="16" xfId="0" applyFont="1" applyBorder="1"/>
    <xf numFmtId="0" fontId="56" fillId="14" borderId="16" xfId="0" applyFont="1" applyFill="1" applyBorder="1" applyAlignment="1">
      <alignment horizontal="left" vertical="center" wrapText="1" readingOrder="1"/>
    </xf>
    <xf numFmtId="0" fontId="56" fillId="14" borderId="16" xfId="0" applyFont="1" applyFill="1" applyBorder="1" applyAlignment="1">
      <alignment horizontal="center" vertical="center" wrapText="1" readingOrder="1"/>
    </xf>
    <xf numFmtId="0" fontId="56" fillId="14" borderId="16" xfId="0" applyFont="1" applyFill="1" applyBorder="1"/>
    <xf numFmtId="0" fontId="56" fillId="0" borderId="0" xfId="0" applyFont="1" applyAlignment="1">
      <alignment vertical="center"/>
    </xf>
    <xf numFmtId="0" fontId="65" fillId="39" borderId="21" xfId="0" applyFont="1" applyFill="1" applyBorder="1" applyAlignment="1">
      <alignment horizontal="left" vertical="center" wrapText="1" readingOrder="1"/>
    </xf>
    <xf numFmtId="0" fontId="1" fillId="40" borderId="21" xfId="0" applyFont="1" applyFill="1" applyBorder="1" applyAlignment="1">
      <alignment horizontal="center" vertical="center"/>
    </xf>
    <xf numFmtId="0" fontId="3" fillId="40" borderId="21" xfId="0" applyFont="1" applyFill="1" applyBorder="1" applyAlignment="1">
      <alignment horizontal="center" vertical="center"/>
    </xf>
    <xf numFmtId="0" fontId="1" fillId="40" borderId="21" xfId="0" applyFont="1" applyFill="1" applyBorder="1" applyAlignment="1">
      <alignment horizontal="center" vertical="center" wrapText="1"/>
    </xf>
    <xf numFmtId="0" fontId="59" fillId="40" borderId="21" xfId="0" applyFont="1" applyFill="1" applyBorder="1" applyAlignment="1">
      <alignment horizontal="center" vertical="center"/>
    </xf>
    <xf numFmtId="0" fontId="5" fillId="40" borderId="16" xfId="0" applyFont="1" applyFill="1" applyBorder="1" applyAlignment="1">
      <alignment vertical="center"/>
    </xf>
    <xf numFmtId="0" fontId="5" fillId="41" borderId="16" xfId="0" applyFont="1" applyFill="1" applyBorder="1" applyAlignment="1">
      <alignment vertical="center"/>
    </xf>
    <xf numFmtId="0" fontId="5" fillId="40" borderId="16" xfId="0" applyFont="1" applyFill="1" applyBorder="1" applyAlignment="1">
      <alignment horizontal="center" vertical="center"/>
    </xf>
    <xf numFmtId="14" fontId="39" fillId="3" borderId="1" xfId="0" applyNumberFormat="1" applyFont="1" applyFill="1" applyBorder="1" applyAlignment="1">
      <alignment horizontal="center"/>
    </xf>
    <xf numFmtId="3" fontId="1" fillId="25" borderId="37" xfId="0" applyNumberFormat="1" applyFont="1" applyFill="1" applyBorder="1" applyAlignment="1">
      <alignment horizontal="center" vertical="center"/>
    </xf>
    <xf numFmtId="2" fontId="1" fillId="25" borderId="37" xfId="0" applyNumberFormat="1" applyFont="1" applyFill="1" applyBorder="1" applyAlignment="1">
      <alignment horizontal="center" vertical="center"/>
    </xf>
    <xf numFmtId="9" fontId="0" fillId="25" borderId="37" xfId="0" applyNumberForma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 vertical="center"/>
    </xf>
    <xf numFmtId="9" fontId="9" fillId="13" borderId="16" xfId="0" applyNumberFormat="1" applyFont="1" applyFill="1" applyBorder="1" applyAlignment="1">
      <alignment horizontal="center" vertical="center"/>
    </xf>
    <xf numFmtId="0" fontId="69" fillId="13" borderId="16" xfId="0" applyFont="1" applyFill="1" applyBorder="1" applyAlignment="1">
      <alignment vertical="center"/>
    </xf>
    <xf numFmtId="0" fontId="53" fillId="13" borderId="16" xfId="0" applyFont="1" applyFill="1" applyBorder="1" applyAlignment="1">
      <alignment horizontal="center" vertical="center"/>
    </xf>
    <xf numFmtId="9" fontId="53" fillId="13" borderId="16" xfId="0" applyNumberFormat="1" applyFont="1" applyFill="1" applyBorder="1" applyAlignment="1">
      <alignment horizontal="center" vertical="center"/>
    </xf>
    <xf numFmtId="9" fontId="68" fillId="13" borderId="16" xfId="0" applyNumberFormat="1" applyFont="1" applyFill="1" applyBorder="1" applyAlignment="1">
      <alignment horizontal="center" vertical="center"/>
    </xf>
    <xf numFmtId="9" fontId="9" fillId="3" borderId="16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10" fontId="8" fillId="13" borderId="11" xfId="0" applyNumberFormat="1" applyFont="1" applyFill="1" applyBorder="1" applyAlignment="1">
      <alignment horizontal="center" vertical="center"/>
    </xf>
    <xf numFmtId="0" fontId="70" fillId="3" borderId="1" xfId="0" applyFont="1" applyFill="1" applyBorder="1"/>
    <xf numFmtId="0" fontId="70" fillId="3" borderId="1" xfId="0" applyFont="1" applyFill="1" applyBorder="1" applyAlignment="1">
      <alignment vertical="center"/>
    </xf>
    <xf numFmtId="0" fontId="70" fillId="3" borderId="1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 wrapText="1"/>
    </xf>
    <xf numFmtId="167" fontId="70" fillId="3" borderId="1" xfId="0" applyNumberFormat="1" applyFont="1" applyFill="1" applyBorder="1" applyAlignment="1">
      <alignment horizontal="center" vertical="center"/>
    </xf>
    <xf numFmtId="9" fontId="70" fillId="3" borderId="1" xfId="0" applyNumberFormat="1" applyFont="1" applyFill="1" applyBorder="1" applyAlignment="1">
      <alignment horizontal="center" vertical="center"/>
    </xf>
    <xf numFmtId="3" fontId="70" fillId="13" borderId="1" xfId="0" applyNumberFormat="1" applyFont="1" applyFill="1" applyBorder="1" applyAlignment="1">
      <alignment horizontal="center" vertical="center"/>
    </xf>
    <xf numFmtId="3" fontId="70" fillId="3" borderId="1" xfId="0" applyNumberFormat="1" applyFont="1" applyFill="1" applyBorder="1" applyAlignment="1">
      <alignment horizontal="center" vertical="center"/>
    </xf>
    <xf numFmtId="10" fontId="70" fillId="3" borderId="1" xfId="0" applyNumberFormat="1" applyFont="1" applyFill="1" applyBorder="1" applyAlignment="1">
      <alignment horizontal="center" vertical="center"/>
    </xf>
    <xf numFmtId="0" fontId="70" fillId="0" borderId="0" xfId="0" applyFont="1"/>
    <xf numFmtId="0" fontId="63" fillId="3" borderId="27" xfId="0" applyFont="1" applyFill="1" applyBorder="1" applyAlignment="1">
      <alignment horizontal="center" vertical="center" wrapText="1"/>
    </xf>
    <xf numFmtId="0" fontId="62" fillId="3" borderId="28" xfId="0" applyFont="1" applyFill="1" applyBorder="1" applyAlignment="1">
      <alignment horizontal="center" vertical="center" wrapText="1"/>
    </xf>
    <xf numFmtId="0" fontId="62" fillId="3" borderId="29" xfId="0" applyFont="1" applyFill="1" applyBorder="1" applyAlignment="1">
      <alignment horizontal="center" vertical="center" wrapText="1"/>
    </xf>
    <xf numFmtId="0" fontId="62" fillId="3" borderId="30" xfId="0" applyFont="1" applyFill="1" applyBorder="1" applyAlignment="1">
      <alignment horizontal="center" vertical="center" wrapText="1"/>
    </xf>
    <xf numFmtId="0" fontId="62" fillId="3" borderId="16" xfId="0" applyFont="1" applyFill="1" applyBorder="1" applyAlignment="1">
      <alignment horizontal="center" vertical="center" wrapText="1"/>
    </xf>
    <xf numFmtId="0" fontId="62" fillId="3" borderId="31" xfId="0" applyFont="1" applyFill="1" applyBorder="1" applyAlignment="1">
      <alignment horizontal="center" vertical="center" wrapText="1"/>
    </xf>
    <xf numFmtId="0" fontId="62" fillId="3" borderId="32" xfId="0" applyFont="1" applyFill="1" applyBorder="1" applyAlignment="1">
      <alignment horizontal="center" vertical="center" wrapText="1"/>
    </xf>
    <xf numFmtId="0" fontId="62" fillId="3" borderId="20" xfId="0" applyFont="1" applyFill="1" applyBorder="1" applyAlignment="1">
      <alignment horizontal="center" vertical="center" wrapText="1"/>
    </xf>
    <xf numFmtId="0" fontId="62" fillId="3" borderId="33" xfId="0" applyFont="1" applyFill="1" applyBorder="1" applyAlignment="1">
      <alignment horizontal="center" vertical="center" wrapText="1"/>
    </xf>
    <xf numFmtId="0" fontId="62" fillId="33" borderId="34" xfId="0" applyFont="1" applyFill="1" applyBorder="1" applyAlignment="1">
      <alignment horizontal="center"/>
    </xf>
    <xf numFmtId="0" fontId="62" fillId="33" borderId="35" xfId="0" applyFont="1" applyFill="1" applyBorder="1" applyAlignment="1">
      <alignment horizontal="center"/>
    </xf>
    <xf numFmtId="0" fontId="62" fillId="33" borderId="36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left" vertical="center" wrapText="1"/>
    </xf>
    <xf numFmtId="0" fontId="53" fillId="3" borderId="16" xfId="0" applyFont="1" applyFill="1" applyBorder="1" applyAlignment="1">
      <alignment horizontal="left" vertical="center" wrapText="1"/>
    </xf>
    <xf numFmtId="0" fontId="3" fillId="27" borderId="16" xfId="0" applyFont="1" applyFill="1" applyBorder="1"/>
    <xf numFmtId="0" fontId="26" fillId="27" borderId="16" xfId="0" applyFont="1" applyFill="1" applyBorder="1"/>
    <xf numFmtId="0" fontId="5" fillId="10" borderId="14" xfId="0" applyFont="1" applyFill="1" applyBorder="1" applyAlignment="1">
      <alignment horizontal="left" vertical="center" wrapText="1"/>
    </xf>
    <xf numFmtId="0" fontId="26" fillId="0" borderId="15" xfId="0" applyFont="1" applyBorder="1"/>
    <xf numFmtId="0" fontId="26" fillId="0" borderId="16" xfId="0" applyFont="1" applyBorder="1"/>
    <xf numFmtId="0" fontId="69" fillId="13" borderId="16" xfId="0" applyFont="1" applyFill="1" applyBorder="1" applyAlignment="1">
      <alignment horizontal="left" vertical="center" wrapText="1"/>
    </xf>
    <xf numFmtId="0" fontId="66" fillId="34" borderId="21" xfId="0" applyFont="1" applyFill="1" applyBorder="1" applyAlignment="1">
      <alignment horizontal="left" vertical="center" wrapText="1" readingOrder="1"/>
    </xf>
    <xf numFmtId="0" fontId="56" fillId="0" borderId="21" xfId="0" applyFont="1" applyBorder="1" applyAlignment="1">
      <alignment horizontal="center" vertical="center" wrapText="1" readingOrder="1"/>
    </xf>
    <xf numFmtId="0" fontId="56" fillId="0" borderId="21" xfId="0" applyFont="1" applyBorder="1" applyAlignment="1">
      <alignment horizontal="left" vertical="center" wrapText="1" readingOrder="1"/>
    </xf>
    <xf numFmtId="0" fontId="50" fillId="0" borderId="27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50" fillId="0" borderId="29" xfId="0" applyFont="1" applyBorder="1" applyAlignment="1">
      <alignment horizontal="center"/>
    </xf>
    <xf numFmtId="0" fontId="66" fillId="34" borderId="21" xfId="0" applyFont="1" applyFill="1" applyBorder="1" applyAlignment="1">
      <alignment horizontal="center" vertical="center" wrapText="1" readingOrder="1"/>
    </xf>
    <xf numFmtId="0" fontId="56" fillId="36" borderId="21" xfId="0" applyFont="1" applyFill="1" applyBorder="1" applyAlignment="1">
      <alignment horizontal="center" vertical="center" wrapText="1" readingOrder="1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br.ru/hd_base/zcyc_params/zcyc/?DateTo=20.06.2019" TargetMode="External"/><Relationship Id="rId13" Type="http://schemas.openxmlformats.org/officeDocument/2006/relationships/hyperlink" Target="https://www.cbr.ru/hd_base/zcyc_params/zcyc/?DateTo=13.06.2019" TargetMode="External"/><Relationship Id="rId18" Type="http://schemas.openxmlformats.org/officeDocument/2006/relationships/hyperlink" Target="https://www.cbr.ru/hd_base/zcyc_params/zcyc/?DateTo=05.06.2019" TargetMode="External"/><Relationship Id="rId3" Type="http://schemas.openxmlformats.org/officeDocument/2006/relationships/hyperlink" Target="https://www.cbr.ru/hd_base/zcyc_params/zcyc/?DateTo=27.06.2019" TargetMode="External"/><Relationship Id="rId7" Type="http://schemas.openxmlformats.org/officeDocument/2006/relationships/hyperlink" Target="https://www.cbr.ru/hd_base/zcyc_params/zcyc/?DateTo=21.06.2019" TargetMode="External"/><Relationship Id="rId12" Type="http://schemas.openxmlformats.org/officeDocument/2006/relationships/hyperlink" Target="https://www.cbr.ru/hd_base/zcyc_params/zcyc/?DateTo=14.06.2019" TargetMode="External"/><Relationship Id="rId17" Type="http://schemas.openxmlformats.org/officeDocument/2006/relationships/hyperlink" Target="https://www.cbr.ru/hd_base/zcyc_params/zcyc/?DateTo=06.06.2019" TargetMode="External"/><Relationship Id="rId2" Type="http://schemas.openxmlformats.org/officeDocument/2006/relationships/hyperlink" Target="https://www.cbr.ru/hd_base/zcyc_params/zcyc/?DateTo=28.06.2019" TargetMode="External"/><Relationship Id="rId16" Type="http://schemas.openxmlformats.org/officeDocument/2006/relationships/hyperlink" Target="https://www.cbr.ru/hd_base/zcyc_params/zcyc/?DateTo=07.06.2019" TargetMode="External"/><Relationship Id="rId20" Type="http://schemas.openxmlformats.org/officeDocument/2006/relationships/hyperlink" Target="https://www.cbr.ru/hd_base/zcyc_params/zcyc/?DateTo=03.06.2019" TargetMode="External"/><Relationship Id="rId1" Type="http://schemas.openxmlformats.org/officeDocument/2006/relationships/hyperlink" Target="https://www.cbr.ru/hd_base/zcyc_params/zcyc/?DateTo=01.07.2019" TargetMode="External"/><Relationship Id="rId6" Type="http://schemas.openxmlformats.org/officeDocument/2006/relationships/hyperlink" Target="https://www.cbr.ru/hd_base/zcyc_params/zcyc/?DateTo=24.06.2019" TargetMode="External"/><Relationship Id="rId11" Type="http://schemas.openxmlformats.org/officeDocument/2006/relationships/hyperlink" Target="https://www.cbr.ru/hd_base/zcyc_params/zcyc/?DateTo=17.06.2019" TargetMode="External"/><Relationship Id="rId5" Type="http://schemas.openxmlformats.org/officeDocument/2006/relationships/hyperlink" Target="https://www.cbr.ru/hd_base/zcyc_params/zcyc/?DateTo=25.06.2019" TargetMode="External"/><Relationship Id="rId15" Type="http://schemas.openxmlformats.org/officeDocument/2006/relationships/hyperlink" Target="https://www.cbr.ru/hd_base/zcyc_params/zcyc/?DateTo=10.06.2019" TargetMode="External"/><Relationship Id="rId10" Type="http://schemas.openxmlformats.org/officeDocument/2006/relationships/hyperlink" Target="https://www.cbr.ru/hd_base/zcyc_params/zcyc/?DateTo=18.06.2019" TargetMode="External"/><Relationship Id="rId19" Type="http://schemas.openxmlformats.org/officeDocument/2006/relationships/hyperlink" Target="https://www.cbr.ru/hd_base/zcyc_params/zcyc/?DateTo=04.06.2019" TargetMode="External"/><Relationship Id="rId4" Type="http://schemas.openxmlformats.org/officeDocument/2006/relationships/hyperlink" Target="https://www.cbr.ru/hd_base/zcyc_params/zcyc/?DateTo=26.06.2019" TargetMode="External"/><Relationship Id="rId9" Type="http://schemas.openxmlformats.org/officeDocument/2006/relationships/hyperlink" Target="https://www.cbr.ru/hd_base/zcyc_params/zcyc/?DateTo=19.06.2019" TargetMode="External"/><Relationship Id="rId14" Type="http://schemas.openxmlformats.org/officeDocument/2006/relationships/hyperlink" Target="https://www.cbr.ru/hd_base/zcyc_params/zcyc/?DateTo=11.06.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7483-B032-9247-A022-CF43B67B2555}">
  <dimension ref="A1:Z1002"/>
  <sheetViews>
    <sheetView showGridLines="0" workbookViewId="0">
      <selection activeCell="C6" sqref="C6"/>
    </sheetView>
  </sheetViews>
  <sheetFormatPr defaultColWidth="14.4609375" defaultRowHeight="12.45" x14ac:dyDescent="0.3"/>
  <cols>
    <col min="1" max="1" width="14.4609375" style="240"/>
    <col min="2" max="2" width="5.765625" style="240" customWidth="1"/>
    <col min="3" max="3" width="24.69140625" style="240" bestFit="1" customWidth="1"/>
    <col min="4" max="4" width="66.07421875" style="240" customWidth="1"/>
    <col min="5" max="5" width="30.07421875" style="240" customWidth="1"/>
    <col min="6" max="16384" width="14.4609375" style="240"/>
  </cols>
  <sheetData>
    <row r="1" spans="1:26" s="216" customFormat="1" ht="21" customHeight="1" x14ac:dyDescent="0.3">
      <c r="A1" s="215" t="s">
        <v>184</v>
      </c>
      <c r="B1" s="215"/>
      <c r="C1" s="215"/>
      <c r="D1" s="214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</row>
    <row r="2" spans="1:26" x14ac:dyDescent="0.3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2"/>
    </row>
    <row r="3" spans="1:26" ht="30" x14ac:dyDescent="0.7">
      <c r="A3" s="521"/>
      <c r="B3" s="523" t="s">
        <v>329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2"/>
    </row>
    <row r="4" spans="1:26" x14ac:dyDescent="0.3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2"/>
    </row>
    <row r="5" spans="1:26" ht="22.3" x14ac:dyDescent="0.5">
      <c r="A5" s="521"/>
      <c r="B5" s="529" t="s">
        <v>375</v>
      </c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2"/>
    </row>
    <row r="6" spans="1:26" ht="22.3" x14ac:dyDescent="0.5">
      <c r="A6" s="521"/>
      <c r="B6" s="529" t="s">
        <v>331</v>
      </c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2"/>
    </row>
    <row r="7" spans="1:26" ht="22.3" x14ac:dyDescent="0.5">
      <c r="A7" s="521"/>
      <c r="B7" s="529"/>
      <c r="C7" s="524"/>
      <c r="D7" s="524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2"/>
    </row>
    <row r="8" spans="1:26" s="313" customFormat="1" ht="19.100000000000001" customHeight="1" x14ac:dyDescent="0.3">
      <c r="A8" s="525"/>
      <c r="B8" s="10" t="s">
        <v>0</v>
      </c>
      <c r="C8" s="10" t="s">
        <v>1</v>
      </c>
      <c r="D8" s="532" t="s">
        <v>3</v>
      </c>
      <c r="E8" s="531" t="s">
        <v>326</v>
      </c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7"/>
    </row>
    <row r="9" spans="1:26" ht="27" customHeight="1" x14ac:dyDescent="0.3">
      <c r="A9" s="525"/>
      <c r="B9" s="12">
        <v>1</v>
      </c>
      <c r="C9" s="537" t="s">
        <v>260</v>
      </c>
      <c r="D9" s="533" t="s">
        <v>252</v>
      </c>
      <c r="E9" s="528" t="s">
        <v>327</v>
      </c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7"/>
    </row>
    <row r="10" spans="1:26" ht="27" customHeight="1" x14ac:dyDescent="0.3">
      <c r="A10" s="525"/>
      <c r="B10" s="15">
        <v>2</v>
      </c>
      <c r="C10" s="538" t="s">
        <v>253</v>
      </c>
      <c r="D10" s="534" t="s">
        <v>371</v>
      </c>
      <c r="E10" s="528" t="s">
        <v>369</v>
      </c>
      <c r="F10" s="526"/>
      <c r="G10" s="526"/>
      <c r="H10" s="526"/>
      <c r="I10" s="526"/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7"/>
    </row>
    <row r="11" spans="1:26" ht="27" customHeight="1" x14ac:dyDescent="0.3">
      <c r="A11" s="525"/>
      <c r="B11" s="12">
        <v>3</v>
      </c>
      <c r="C11" s="537" t="s">
        <v>200</v>
      </c>
      <c r="D11" s="533" t="s">
        <v>254</v>
      </c>
      <c r="E11" s="528" t="s">
        <v>328</v>
      </c>
      <c r="F11" s="526"/>
      <c r="G11" s="526"/>
      <c r="H11" s="526"/>
      <c r="I11" s="526"/>
      <c r="J11" s="526"/>
      <c r="K11" s="526"/>
      <c r="L11" s="526"/>
      <c r="M11" s="526"/>
      <c r="N11" s="526"/>
      <c r="O11" s="526"/>
      <c r="P11" s="526"/>
      <c r="Q11" s="526"/>
      <c r="R11" s="526"/>
      <c r="S11" s="526"/>
      <c r="T11" s="526"/>
      <c r="U11" s="526"/>
      <c r="V11" s="526"/>
      <c r="W11" s="526"/>
      <c r="X11" s="526"/>
      <c r="Y11" s="526"/>
      <c r="Z11" s="527"/>
    </row>
    <row r="12" spans="1:26" ht="27" customHeight="1" x14ac:dyDescent="0.3">
      <c r="A12" s="525"/>
      <c r="B12" s="12">
        <v>4</v>
      </c>
      <c r="C12" s="537" t="s">
        <v>206</v>
      </c>
      <c r="D12" s="533" t="s">
        <v>255</v>
      </c>
      <c r="E12" s="528" t="s">
        <v>328</v>
      </c>
      <c r="F12" s="526"/>
      <c r="G12" s="526"/>
      <c r="H12" s="526"/>
      <c r="I12" s="526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7"/>
    </row>
    <row r="13" spans="1:26" ht="27" customHeight="1" x14ac:dyDescent="0.3">
      <c r="A13" s="521"/>
      <c r="B13" s="287">
        <v>5</v>
      </c>
      <c r="C13" s="539" t="s">
        <v>208</v>
      </c>
      <c r="D13" s="535" t="s">
        <v>256</v>
      </c>
      <c r="E13" s="528" t="s">
        <v>328</v>
      </c>
      <c r="F13" s="521"/>
      <c r="G13" s="521"/>
      <c r="H13" s="521"/>
      <c r="I13" s="521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2"/>
    </row>
    <row r="14" spans="1:26" ht="27" customHeight="1" x14ac:dyDescent="0.3">
      <c r="A14" s="521"/>
      <c r="B14" s="288">
        <v>6</v>
      </c>
      <c r="C14" s="540" t="s">
        <v>225</v>
      </c>
      <c r="D14" s="536" t="s">
        <v>257</v>
      </c>
      <c r="E14" s="528" t="s">
        <v>328</v>
      </c>
      <c r="F14" s="521"/>
      <c r="G14" s="521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2"/>
    </row>
    <row r="15" spans="1:26" ht="27" customHeight="1" x14ac:dyDescent="0.3">
      <c r="A15" s="521"/>
      <c r="B15" s="589">
        <v>7</v>
      </c>
      <c r="C15" s="590" t="s">
        <v>258</v>
      </c>
      <c r="D15" s="591" t="s">
        <v>259</v>
      </c>
      <c r="E15" s="592" t="s">
        <v>328</v>
      </c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2"/>
    </row>
    <row r="16" spans="1:26" s="313" customFormat="1" ht="31.1" customHeight="1" x14ac:dyDescent="0.3">
      <c r="A16" s="526"/>
      <c r="B16" s="581">
        <v>8</v>
      </c>
      <c r="C16" s="540" t="s">
        <v>368</v>
      </c>
      <c r="D16" s="582" t="s">
        <v>370</v>
      </c>
      <c r="E16" s="528" t="s">
        <v>327</v>
      </c>
      <c r="F16" s="526"/>
      <c r="G16" s="526"/>
      <c r="H16" s="526"/>
      <c r="I16" s="526"/>
      <c r="J16" s="526"/>
      <c r="K16" s="526"/>
      <c r="L16" s="526"/>
      <c r="M16" s="526"/>
      <c r="N16" s="526"/>
      <c r="O16" s="526"/>
      <c r="P16" s="526"/>
      <c r="Q16" s="526"/>
      <c r="R16" s="526"/>
      <c r="S16" s="526"/>
      <c r="T16" s="526"/>
      <c r="U16" s="526"/>
      <c r="V16" s="526"/>
      <c r="W16" s="526"/>
      <c r="X16" s="526"/>
      <c r="Y16" s="526"/>
      <c r="Z16" s="527"/>
    </row>
    <row r="17" spans="1:26" x14ac:dyDescent="0.3">
      <c r="A17" s="521"/>
      <c r="B17" s="521"/>
      <c r="C17" s="521"/>
      <c r="D17" s="521"/>
      <c r="E17" s="521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2"/>
    </row>
    <row r="18" spans="1:26" ht="15.45" x14ac:dyDescent="0.4">
      <c r="A18" s="521"/>
      <c r="B18" s="628" t="s">
        <v>330</v>
      </c>
      <c r="C18" s="629"/>
      <c r="D18" s="629"/>
      <c r="E18" s="630"/>
      <c r="F18" s="521"/>
      <c r="G18" s="521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2"/>
    </row>
    <row r="19" spans="1:26" ht="13.1" customHeight="1" x14ac:dyDescent="0.3">
      <c r="A19" s="521"/>
      <c r="B19" s="619" t="s">
        <v>332</v>
      </c>
      <c r="C19" s="620"/>
      <c r="D19" s="620"/>
      <c r="E19" s="6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2"/>
    </row>
    <row r="20" spans="1:26" x14ac:dyDescent="0.3">
      <c r="A20" s="521"/>
      <c r="B20" s="622"/>
      <c r="C20" s="623"/>
      <c r="D20" s="623"/>
      <c r="E20" s="624"/>
      <c r="F20" s="521"/>
      <c r="G20" s="521"/>
      <c r="H20" s="521"/>
      <c r="I20" s="521"/>
      <c r="J20" s="521"/>
      <c r="K20" s="521"/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2"/>
    </row>
    <row r="21" spans="1:26" x14ac:dyDescent="0.3">
      <c r="A21" s="521"/>
      <c r="B21" s="622"/>
      <c r="C21" s="623"/>
      <c r="D21" s="623"/>
      <c r="E21" s="624"/>
      <c r="F21" s="521"/>
      <c r="G21" s="521"/>
      <c r="H21" s="521"/>
      <c r="I21" s="521"/>
      <c r="J21" s="521"/>
      <c r="K21" s="521"/>
      <c r="L21" s="521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2"/>
    </row>
    <row r="22" spans="1:26" x14ac:dyDescent="0.3">
      <c r="A22" s="521"/>
      <c r="B22" s="622"/>
      <c r="C22" s="623"/>
      <c r="D22" s="623"/>
      <c r="E22" s="624"/>
      <c r="F22" s="521"/>
      <c r="G22" s="521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2"/>
    </row>
    <row r="23" spans="1:26" x14ac:dyDescent="0.3">
      <c r="A23" s="521"/>
      <c r="B23" s="622"/>
      <c r="C23" s="623"/>
      <c r="D23" s="623"/>
      <c r="E23" s="624"/>
      <c r="F23" s="521"/>
      <c r="G23" s="521"/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2"/>
    </row>
    <row r="24" spans="1:26" x14ac:dyDescent="0.3">
      <c r="A24" s="521"/>
      <c r="B24" s="622"/>
      <c r="C24" s="623"/>
      <c r="D24" s="623"/>
      <c r="E24" s="624"/>
      <c r="F24" s="521"/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2"/>
    </row>
    <row r="25" spans="1:26" x14ac:dyDescent="0.3">
      <c r="A25" s="521"/>
      <c r="B25" s="625"/>
      <c r="C25" s="626"/>
      <c r="D25" s="626"/>
      <c r="E25" s="627"/>
      <c r="F25" s="521"/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2"/>
    </row>
    <row r="26" spans="1:26" x14ac:dyDescent="0.3">
      <c r="A26" s="521"/>
      <c r="B26" s="530"/>
      <c r="C26" s="530"/>
      <c r="D26" s="530"/>
      <c r="E26" s="530"/>
      <c r="F26" s="521"/>
      <c r="G26" s="521"/>
      <c r="H26" s="521"/>
      <c r="I26" s="521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2"/>
    </row>
    <row r="27" spans="1:26" x14ac:dyDescent="0.3">
      <c r="A27" s="521"/>
      <c r="B27" s="530"/>
      <c r="C27" s="530"/>
      <c r="D27" s="530"/>
      <c r="E27" s="530"/>
      <c r="F27" s="521"/>
      <c r="G27" s="521"/>
      <c r="H27" s="521"/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2"/>
    </row>
    <row r="28" spans="1:26" x14ac:dyDescent="0.3">
      <c r="A28" s="521"/>
      <c r="B28" s="521"/>
      <c r="C28" s="521"/>
      <c r="D28" s="521"/>
      <c r="E28" s="521"/>
      <c r="F28" s="521"/>
      <c r="G28" s="521"/>
      <c r="H28" s="521"/>
      <c r="I28" s="521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2"/>
    </row>
    <row r="29" spans="1:26" x14ac:dyDescent="0.3">
      <c r="A29" s="521"/>
      <c r="B29" s="521"/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2"/>
    </row>
    <row r="30" spans="1:26" x14ac:dyDescent="0.3">
      <c r="A30" s="521"/>
      <c r="B30" s="521"/>
      <c r="C30" s="521"/>
      <c r="D30" s="521"/>
      <c r="E30" s="521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2"/>
    </row>
    <row r="31" spans="1:26" x14ac:dyDescent="0.3">
      <c r="A31" s="521"/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2"/>
    </row>
    <row r="32" spans="1:26" x14ac:dyDescent="0.3">
      <c r="A32" s="521"/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1"/>
      <c r="W32" s="521"/>
      <c r="X32" s="521"/>
      <c r="Y32" s="521"/>
      <c r="Z32" s="522"/>
    </row>
    <row r="33" spans="1:26" x14ac:dyDescent="0.3">
      <c r="A33" s="521"/>
      <c r="B33" s="521"/>
      <c r="C33" s="521"/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2"/>
    </row>
    <row r="34" spans="1:26" x14ac:dyDescent="0.3">
      <c r="A34" s="521"/>
      <c r="B34" s="521"/>
      <c r="C34" s="521"/>
      <c r="D34" s="521"/>
      <c r="E34" s="521"/>
      <c r="F34" s="521"/>
      <c r="G34" s="521"/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2"/>
    </row>
    <row r="35" spans="1:26" x14ac:dyDescent="0.3">
      <c r="A35" s="521"/>
      <c r="B35" s="521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2"/>
    </row>
    <row r="36" spans="1:26" x14ac:dyDescent="0.3">
      <c r="A36" s="521"/>
      <c r="B36" s="521"/>
      <c r="C36" s="521"/>
      <c r="D36" s="521"/>
      <c r="E36" s="521"/>
      <c r="F36" s="521"/>
      <c r="G36" s="521"/>
      <c r="H36" s="521"/>
      <c r="I36" s="521"/>
      <c r="J36" s="521"/>
      <c r="K36" s="521"/>
      <c r="L36" s="521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2"/>
    </row>
    <row r="37" spans="1:26" x14ac:dyDescent="0.3">
      <c r="A37" s="521"/>
      <c r="B37" s="521"/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2"/>
    </row>
    <row r="38" spans="1:26" x14ac:dyDescent="0.3">
      <c r="A38" s="521"/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2"/>
    </row>
    <row r="39" spans="1:26" x14ac:dyDescent="0.3">
      <c r="A39" s="521"/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2"/>
    </row>
    <row r="40" spans="1:26" x14ac:dyDescent="0.3">
      <c r="A40" s="521"/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2"/>
    </row>
    <row r="41" spans="1:26" x14ac:dyDescent="0.3">
      <c r="A41" s="521"/>
      <c r="B41" s="521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2"/>
    </row>
    <row r="42" spans="1:26" x14ac:dyDescent="0.3">
      <c r="A42" s="521"/>
      <c r="B42" s="521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2"/>
    </row>
    <row r="43" spans="1:26" x14ac:dyDescent="0.3">
      <c r="A43" s="521"/>
      <c r="B43" s="521"/>
      <c r="C43" s="521"/>
      <c r="D43" s="521"/>
      <c r="E43" s="521"/>
      <c r="F43" s="521"/>
      <c r="G43" s="521"/>
      <c r="H43" s="521"/>
      <c r="I43" s="521"/>
      <c r="J43" s="521"/>
      <c r="K43" s="521"/>
      <c r="L43" s="521"/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2"/>
    </row>
    <row r="44" spans="1:26" x14ac:dyDescent="0.3">
      <c r="A44" s="521"/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2"/>
    </row>
    <row r="45" spans="1:26" x14ac:dyDescent="0.3">
      <c r="A45" s="521"/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  <c r="W45" s="521"/>
      <c r="X45" s="521"/>
      <c r="Y45" s="521"/>
      <c r="Z45" s="522"/>
    </row>
    <row r="46" spans="1:26" x14ac:dyDescent="0.3">
      <c r="A46" s="521"/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2"/>
    </row>
    <row r="47" spans="1:26" x14ac:dyDescent="0.3">
      <c r="A47" s="521"/>
      <c r="B47" s="521"/>
      <c r="C47" s="521"/>
      <c r="D47" s="521"/>
      <c r="E47" s="521"/>
      <c r="F47" s="521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2"/>
    </row>
    <row r="48" spans="1:26" x14ac:dyDescent="0.3">
      <c r="A48" s="521"/>
      <c r="B48" s="521"/>
      <c r="C48" s="521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2"/>
    </row>
    <row r="49" spans="1:26" x14ac:dyDescent="0.3">
      <c r="A49" s="521"/>
      <c r="B49" s="521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2"/>
    </row>
    <row r="50" spans="1:26" x14ac:dyDescent="0.3">
      <c r="A50" s="521"/>
      <c r="B50" s="521"/>
      <c r="C50" s="521"/>
      <c r="D50" s="521"/>
      <c r="E50" s="521"/>
      <c r="F50" s="521"/>
      <c r="G50" s="521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2"/>
    </row>
    <row r="51" spans="1:26" x14ac:dyDescent="0.3">
      <c r="A51" s="521"/>
      <c r="B51" s="521"/>
      <c r="C51" s="521"/>
      <c r="D51" s="521"/>
      <c r="E51" s="521"/>
      <c r="F51" s="521"/>
      <c r="G51" s="521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2"/>
    </row>
    <row r="52" spans="1:26" x14ac:dyDescent="0.3">
      <c r="A52" s="521"/>
      <c r="B52" s="521"/>
      <c r="C52" s="521"/>
      <c r="D52" s="521"/>
      <c r="E52" s="521"/>
      <c r="F52" s="521"/>
      <c r="G52" s="521"/>
      <c r="H52" s="521"/>
      <c r="I52" s="521"/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2"/>
    </row>
    <row r="53" spans="1:26" x14ac:dyDescent="0.3">
      <c r="A53" s="521"/>
      <c r="B53" s="521"/>
      <c r="C53" s="521"/>
      <c r="D53" s="521"/>
      <c r="E53" s="521"/>
      <c r="F53" s="521"/>
      <c r="G53" s="521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2"/>
    </row>
    <row r="54" spans="1:26" x14ac:dyDescent="0.3">
      <c r="A54" s="521"/>
      <c r="B54" s="521"/>
      <c r="C54" s="521"/>
      <c r="D54" s="521"/>
      <c r="E54" s="521"/>
      <c r="F54" s="521"/>
      <c r="G54" s="521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2"/>
    </row>
    <row r="55" spans="1:26" x14ac:dyDescent="0.3">
      <c r="A55" s="521"/>
      <c r="B55" s="521"/>
      <c r="C55" s="521"/>
      <c r="D55" s="521"/>
      <c r="E55" s="521"/>
      <c r="F55" s="521"/>
      <c r="G55" s="521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2"/>
    </row>
    <row r="56" spans="1:26" x14ac:dyDescent="0.3">
      <c r="A56" s="521"/>
      <c r="B56" s="521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2"/>
    </row>
    <row r="57" spans="1:26" x14ac:dyDescent="0.3">
      <c r="A57" s="521"/>
      <c r="B57" s="521"/>
      <c r="C57" s="521"/>
      <c r="D57" s="521"/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2"/>
    </row>
    <row r="58" spans="1:26" x14ac:dyDescent="0.3">
      <c r="A58" s="521"/>
      <c r="B58" s="521"/>
      <c r="C58" s="521"/>
      <c r="D58" s="521"/>
      <c r="E58" s="521"/>
      <c r="F58" s="521"/>
      <c r="G58" s="521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2"/>
    </row>
    <row r="59" spans="1:26" x14ac:dyDescent="0.3">
      <c r="A59" s="521"/>
      <c r="B59" s="521"/>
      <c r="C59" s="521"/>
      <c r="D59" s="521"/>
      <c r="E59" s="521"/>
      <c r="F59" s="521"/>
      <c r="G59" s="521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2"/>
    </row>
    <row r="60" spans="1:26" x14ac:dyDescent="0.3">
      <c r="A60" s="521"/>
      <c r="B60" s="521"/>
      <c r="C60" s="521"/>
      <c r="D60" s="521"/>
      <c r="E60" s="521"/>
      <c r="F60" s="521"/>
      <c r="G60" s="521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2"/>
    </row>
    <row r="61" spans="1:26" x14ac:dyDescent="0.3">
      <c r="A61" s="521"/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2"/>
    </row>
    <row r="62" spans="1:26" x14ac:dyDescent="0.3">
      <c r="A62" s="521"/>
      <c r="B62" s="521"/>
      <c r="C62" s="521"/>
      <c r="D62" s="521"/>
      <c r="E62" s="521"/>
      <c r="F62" s="521"/>
      <c r="G62" s="521"/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2"/>
    </row>
    <row r="63" spans="1:26" x14ac:dyDescent="0.3">
      <c r="A63" s="521"/>
      <c r="B63" s="521"/>
      <c r="C63" s="521"/>
      <c r="D63" s="521"/>
      <c r="E63" s="521"/>
      <c r="F63" s="521"/>
      <c r="G63" s="521"/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2"/>
    </row>
    <row r="64" spans="1:26" x14ac:dyDescent="0.3">
      <c r="A64" s="521"/>
      <c r="B64" s="521"/>
      <c r="C64" s="521"/>
      <c r="D64" s="521"/>
      <c r="E64" s="521"/>
      <c r="F64" s="521"/>
      <c r="G64" s="521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2"/>
    </row>
    <row r="65" spans="1:26" x14ac:dyDescent="0.3">
      <c r="A65" s="521"/>
      <c r="B65" s="521"/>
      <c r="C65" s="521"/>
      <c r="D65" s="521"/>
      <c r="E65" s="521"/>
      <c r="F65" s="521"/>
      <c r="G65" s="521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2"/>
    </row>
    <row r="66" spans="1:26" x14ac:dyDescent="0.3">
      <c r="A66" s="521"/>
      <c r="B66" s="521"/>
      <c r="C66" s="521"/>
      <c r="D66" s="521"/>
      <c r="E66" s="521"/>
      <c r="F66" s="521"/>
      <c r="G66" s="521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2"/>
    </row>
    <row r="67" spans="1:26" x14ac:dyDescent="0.3">
      <c r="A67" s="521"/>
      <c r="B67" s="521"/>
      <c r="C67" s="521"/>
      <c r="D67" s="521"/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2"/>
    </row>
    <row r="68" spans="1:26" x14ac:dyDescent="0.3">
      <c r="A68" s="521"/>
      <c r="B68" s="521"/>
      <c r="C68" s="521"/>
      <c r="D68" s="521"/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2"/>
    </row>
    <row r="69" spans="1:26" x14ac:dyDescent="0.3">
      <c r="A69" s="521"/>
      <c r="B69" s="521"/>
      <c r="C69" s="521"/>
      <c r="D69" s="521"/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2"/>
    </row>
    <row r="70" spans="1:26" x14ac:dyDescent="0.3">
      <c r="A70" s="521"/>
      <c r="B70" s="521"/>
      <c r="C70" s="521"/>
      <c r="D70" s="521"/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2"/>
    </row>
    <row r="71" spans="1:26" x14ac:dyDescent="0.3">
      <c r="A71" s="521"/>
      <c r="B71" s="521"/>
      <c r="C71" s="521"/>
      <c r="D71" s="521"/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2"/>
    </row>
    <row r="72" spans="1:26" x14ac:dyDescent="0.3">
      <c r="A72" s="521"/>
      <c r="B72" s="521"/>
      <c r="C72" s="521"/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2"/>
    </row>
    <row r="73" spans="1:26" x14ac:dyDescent="0.3">
      <c r="A73" s="521"/>
      <c r="B73" s="521"/>
      <c r="C73" s="521"/>
      <c r="D73" s="521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2"/>
    </row>
    <row r="74" spans="1:26" x14ac:dyDescent="0.3">
      <c r="A74" s="521"/>
      <c r="B74" s="521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2"/>
    </row>
    <row r="75" spans="1:26" x14ac:dyDescent="0.3">
      <c r="A75" s="521"/>
      <c r="B75" s="521"/>
      <c r="C75" s="521"/>
      <c r="D75" s="521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2"/>
    </row>
    <row r="76" spans="1:26" x14ac:dyDescent="0.3">
      <c r="A76" s="521"/>
      <c r="B76" s="521"/>
      <c r="C76" s="521"/>
      <c r="D76" s="521"/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2"/>
    </row>
    <row r="77" spans="1:26" x14ac:dyDescent="0.3">
      <c r="A77" s="521"/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2"/>
    </row>
    <row r="78" spans="1:26" x14ac:dyDescent="0.3">
      <c r="A78" s="521"/>
      <c r="B78" s="521"/>
      <c r="C78" s="521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2"/>
    </row>
    <row r="79" spans="1:26" x14ac:dyDescent="0.3">
      <c r="A79" s="521"/>
      <c r="B79" s="521"/>
      <c r="C79" s="521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2"/>
    </row>
    <row r="80" spans="1:26" x14ac:dyDescent="0.3">
      <c r="A80" s="521"/>
      <c r="B80" s="521"/>
      <c r="C80" s="521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2"/>
    </row>
    <row r="81" spans="1:26" x14ac:dyDescent="0.3">
      <c r="A81" s="521"/>
      <c r="B81" s="521"/>
      <c r="C81" s="521"/>
      <c r="D81" s="521"/>
      <c r="E81" s="521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2"/>
    </row>
    <row r="82" spans="1:26" x14ac:dyDescent="0.3">
      <c r="A82" s="521"/>
      <c r="B82" s="521"/>
      <c r="C82" s="521"/>
      <c r="D82" s="521"/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2"/>
    </row>
    <row r="83" spans="1:26" x14ac:dyDescent="0.3">
      <c r="A83" s="521"/>
      <c r="B83" s="521"/>
      <c r="C83" s="521"/>
      <c r="D83" s="521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2"/>
    </row>
    <row r="84" spans="1:26" x14ac:dyDescent="0.3">
      <c r="A84" s="521"/>
      <c r="B84" s="521"/>
      <c r="C84" s="521"/>
      <c r="D84" s="521"/>
      <c r="E84" s="521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2"/>
    </row>
    <row r="85" spans="1:26" x14ac:dyDescent="0.3">
      <c r="A85" s="521"/>
      <c r="B85" s="521"/>
      <c r="C85" s="521"/>
      <c r="D85" s="521"/>
      <c r="E85" s="521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2"/>
    </row>
    <row r="86" spans="1:26" x14ac:dyDescent="0.3">
      <c r="A86" s="521"/>
      <c r="B86" s="521"/>
      <c r="C86" s="521"/>
      <c r="D86" s="521"/>
      <c r="E86" s="521"/>
      <c r="F86" s="521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22"/>
    </row>
    <row r="87" spans="1:26" x14ac:dyDescent="0.3">
      <c r="A87" s="521"/>
      <c r="B87" s="521"/>
      <c r="C87" s="521"/>
      <c r="D87" s="521"/>
      <c r="E87" s="521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2"/>
    </row>
    <row r="88" spans="1:26" x14ac:dyDescent="0.3">
      <c r="A88" s="521"/>
      <c r="B88" s="521"/>
      <c r="C88" s="521"/>
      <c r="D88" s="521"/>
      <c r="E88" s="521"/>
      <c r="F88" s="521"/>
      <c r="G88" s="521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2"/>
    </row>
    <row r="89" spans="1:26" x14ac:dyDescent="0.3">
      <c r="A89" s="521"/>
      <c r="B89" s="521"/>
      <c r="C89" s="521"/>
      <c r="D89" s="521"/>
      <c r="E89" s="521"/>
      <c r="F89" s="521"/>
      <c r="G89" s="521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  <c r="W89" s="521"/>
      <c r="X89" s="521"/>
      <c r="Y89" s="521"/>
      <c r="Z89" s="522"/>
    </row>
    <row r="90" spans="1:26" x14ac:dyDescent="0.3">
      <c r="A90" s="521"/>
      <c r="B90" s="521"/>
      <c r="C90" s="521"/>
      <c r="D90" s="521"/>
      <c r="E90" s="521"/>
      <c r="F90" s="521"/>
      <c r="G90" s="521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  <c r="W90" s="521"/>
      <c r="X90" s="521"/>
      <c r="Y90" s="521"/>
      <c r="Z90" s="522"/>
    </row>
    <row r="91" spans="1:26" x14ac:dyDescent="0.3">
      <c r="A91" s="521"/>
      <c r="B91" s="521"/>
      <c r="C91" s="521"/>
      <c r="D91" s="521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  <c r="W91" s="521"/>
      <c r="X91" s="521"/>
      <c r="Y91" s="521"/>
      <c r="Z91" s="522"/>
    </row>
    <row r="92" spans="1:26" x14ac:dyDescent="0.3">
      <c r="A92" s="521"/>
      <c r="B92" s="521"/>
      <c r="C92" s="521"/>
      <c r="D92" s="521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  <c r="W92" s="521"/>
      <c r="X92" s="521"/>
      <c r="Y92" s="521"/>
      <c r="Z92" s="522"/>
    </row>
    <row r="93" spans="1:26" x14ac:dyDescent="0.3">
      <c r="A93" s="521"/>
      <c r="B93" s="521"/>
      <c r="C93" s="521"/>
      <c r="D93" s="521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2"/>
    </row>
    <row r="94" spans="1:26" x14ac:dyDescent="0.3">
      <c r="A94" s="521"/>
      <c r="B94" s="521"/>
      <c r="C94" s="521"/>
      <c r="D94" s="521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2"/>
    </row>
    <row r="95" spans="1:26" x14ac:dyDescent="0.3">
      <c r="A95" s="521"/>
      <c r="B95" s="521"/>
      <c r="C95" s="521"/>
      <c r="D95" s="521"/>
      <c r="E95" s="521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2"/>
    </row>
    <row r="96" spans="1:26" x14ac:dyDescent="0.3">
      <c r="A96" s="521"/>
      <c r="B96" s="521"/>
      <c r="C96" s="521"/>
      <c r="D96" s="521"/>
      <c r="E96" s="521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2"/>
    </row>
    <row r="97" spans="1:26" x14ac:dyDescent="0.3">
      <c r="A97" s="521"/>
      <c r="B97" s="521"/>
      <c r="C97" s="521"/>
      <c r="D97" s="521"/>
      <c r="E97" s="521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2"/>
    </row>
    <row r="98" spans="1:26" x14ac:dyDescent="0.3">
      <c r="A98" s="521"/>
      <c r="B98" s="521"/>
      <c r="C98" s="521"/>
      <c r="D98" s="521"/>
      <c r="E98" s="521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2"/>
    </row>
    <row r="99" spans="1:26" x14ac:dyDescent="0.3">
      <c r="A99" s="521"/>
      <c r="B99" s="521"/>
      <c r="C99" s="521"/>
      <c r="D99" s="521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2"/>
    </row>
    <row r="100" spans="1:26" x14ac:dyDescent="0.3">
      <c r="A100" s="521"/>
      <c r="B100" s="521"/>
      <c r="C100" s="521"/>
      <c r="D100" s="521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2"/>
    </row>
    <row r="101" spans="1:26" x14ac:dyDescent="0.3">
      <c r="A101" s="521"/>
      <c r="B101" s="521"/>
      <c r="C101" s="521"/>
      <c r="D101" s="521"/>
      <c r="E101" s="521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2"/>
    </row>
    <row r="102" spans="1:26" x14ac:dyDescent="0.3">
      <c r="A102" s="521"/>
      <c r="B102" s="521"/>
      <c r="C102" s="521"/>
      <c r="D102" s="521"/>
      <c r="E102" s="521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2"/>
    </row>
    <row r="103" spans="1:26" x14ac:dyDescent="0.3">
      <c r="A103" s="521"/>
      <c r="B103" s="521"/>
      <c r="C103" s="521"/>
      <c r="D103" s="521"/>
      <c r="E103" s="521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2"/>
    </row>
    <row r="104" spans="1:26" x14ac:dyDescent="0.3">
      <c r="A104" s="521"/>
      <c r="B104" s="521"/>
      <c r="C104" s="521"/>
      <c r="D104" s="521"/>
      <c r="E104" s="521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2"/>
    </row>
    <row r="105" spans="1:26" x14ac:dyDescent="0.3">
      <c r="A105" s="521"/>
      <c r="B105" s="521"/>
      <c r="C105" s="521"/>
      <c r="D105" s="521"/>
      <c r="E105" s="521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2"/>
    </row>
    <row r="106" spans="1:26" x14ac:dyDescent="0.3">
      <c r="A106" s="521"/>
      <c r="B106" s="521"/>
      <c r="C106" s="521"/>
      <c r="D106" s="521"/>
      <c r="E106" s="521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2"/>
    </row>
    <row r="107" spans="1:26" x14ac:dyDescent="0.3">
      <c r="A107" s="521"/>
      <c r="B107" s="521"/>
      <c r="C107" s="521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2"/>
    </row>
    <row r="108" spans="1:26" x14ac:dyDescent="0.3">
      <c r="A108" s="521"/>
      <c r="B108" s="521"/>
      <c r="C108" s="521"/>
      <c r="D108" s="521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2"/>
    </row>
    <row r="109" spans="1:26" x14ac:dyDescent="0.3">
      <c r="A109" s="521"/>
      <c r="B109" s="521"/>
      <c r="C109" s="521"/>
      <c r="D109" s="521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2"/>
    </row>
    <row r="110" spans="1:26" x14ac:dyDescent="0.3">
      <c r="A110" s="521"/>
      <c r="B110" s="521"/>
      <c r="C110" s="521"/>
      <c r="D110" s="521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2"/>
    </row>
    <row r="111" spans="1:26" x14ac:dyDescent="0.3">
      <c r="A111" s="521"/>
      <c r="B111" s="521"/>
      <c r="C111" s="521"/>
      <c r="D111" s="521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2"/>
    </row>
    <row r="112" spans="1:26" x14ac:dyDescent="0.3">
      <c r="A112" s="521"/>
      <c r="B112" s="521"/>
      <c r="C112" s="521"/>
      <c r="D112" s="521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2"/>
    </row>
    <row r="113" spans="1:26" x14ac:dyDescent="0.3">
      <c r="A113" s="521"/>
      <c r="B113" s="521"/>
      <c r="C113" s="521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2"/>
    </row>
    <row r="114" spans="1:26" x14ac:dyDescent="0.3">
      <c r="A114" s="521"/>
      <c r="B114" s="521"/>
      <c r="C114" s="521"/>
      <c r="D114" s="521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2"/>
    </row>
    <row r="115" spans="1:26" x14ac:dyDescent="0.3">
      <c r="A115" s="521"/>
      <c r="B115" s="521"/>
      <c r="C115" s="521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2"/>
    </row>
    <row r="116" spans="1:26" x14ac:dyDescent="0.3">
      <c r="A116" s="521"/>
      <c r="B116" s="521"/>
      <c r="C116" s="521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2"/>
    </row>
    <row r="117" spans="1:26" x14ac:dyDescent="0.3">
      <c r="A117" s="521"/>
      <c r="B117" s="521"/>
      <c r="C117" s="521"/>
      <c r="D117" s="521"/>
      <c r="E117" s="521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2"/>
    </row>
    <row r="118" spans="1:26" x14ac:dyDescent="0.3">
      <c r="A118" s="521"/>
      <c r="B118" s="521"/>
      <c r="C118" s="521"/>
      <c r="D118" s="521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2"/>
    </row>
    <row r="119" spans="1:26" x14ac:dyDescent="0.3">
      <c r="A119" s="521"/>
      <c r="B119" s="521"/>
      <c r="C119" s="521"/>
      <c r="D119" s="521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2"/>
    </row>
    <row r="120" spans="1:26" x14ac:dyDescent="0.3">
      <c r="A120" s="521"/>
      <c r="B120" s="521"/>
      <c r="C120" s="521"/>
      <c r="D120" s="521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2"/>
    </row>
    <row r="121" spans="1:26" x14ac:dyDescent="0.3">
      <c r="A121" s="521"/>
      <c r="B121" s="521"/>
      <c r="C121" s="521"/>
      <c r="D121" s="521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2"/>
    </row>
    <row r="122" spans="1:26" x14ac:dyDescent="0.3">
      <c r="A122" s="521"/>
      <c r="B122" s="521"/>
      <c r="C122" s="521"/>
      <c r="D122" s="521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2"/>
    </row>
    <row r="123" spans="1:26" x14ac:dyDescent="0.3">
      <c r="A123" s="521"/>
      <c r="B123" s="521"/>
      <c r="C123" s="521"/>
      <c r="D123" s="521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2"/>
    </row>
    <row r="124" spans="1:26" x14ac:dyDescent="0.3">
      <c r="A124" s="521"/>
      <c r="B124" s="521"/>
      <c r="C124" s="521"/>
      <c r="D124" s="521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2"/>
    </row>
    <row r="125" spans="1:26" x14ac:dyDescent="0.3">
      <c r="A125" s="521"/>
      <c r="B125" s="521"/>
      <c r="C125" s="521"/>
      <c r="D125" s="521"/>
      <c r="E125" s="521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2"/>
    </row>
    <row r="126" spans="1:26" x14ac:dyDescent="0.3">
      <c r="A126" s="521"/>
      <c r="B126" s="521"/>
      <c r="C126" s="521"/>
      <c r="D126" s="521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2"/>
    </row>
    <row r="127" spans="1:26" x14ac:dyDescent="0.3">
      <c r="A127" s="521"/>
      <c r="B127" s="521"/>
      <c r="C127" s="521"/>
      <c r="D127" s="521"/>
      <c r="E127" s="521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2"/>
    </row>
    <row r="128" spans="1:26" x14ac:dyDescent="0.3">
      <c r="A128" s="521"/>
      <c r="B128" s="521"/>
      <c r="C128" s="521"/>
      <c r="D128" s="521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2"/>
    </row>
    <row r="129" spans="1:26" x14ac:dyDescent="0.3">
      <c r="A129" s="521"/>
      <c r="B129" s="521"/>
      <c r="C129" s="521"/>
      <c r="D129" s="521"/>
      <c r="E129" s="521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2"/>
    </row>
    <row r="130" spans="1:26" x14ac:dyDescent="0.3">
      <c r="A130" s="521"/>
      <c r="B130" s="521"/>
      <c r="C130" s="521"/>
      <c r="D130" s="521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2"/>
    </row>
    <row r="131" spans="1:26" x14ac:dyDescent="0.3">
      <c r="A131" s="521"/>
      <c r="B131" s="521"/>
      <c r="C131" s="521"/>
      <c r="D131" s="521"/>
      <c r="E131" s="521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2"/>
    </row>
    <row r="132" spans="1:26" x14ac:dyDescent="0.3">
      <c r="A132" s="521"/>
      <c r="B132" s="521"/>
      <c r="C132" s="521"/>
      <c r="D132" s="521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2"/>
    </row>
    <row r="133" spans="1:26" x14ac:dyDescent="0.3">
      <c r="A133" s="521"/>
      <c r="B133" s="521"/>
      <c r="C133" s="521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2"/>
    </row>
    <row r="134" spans="1:26" x14ac:dyDescent="0.3">
      <c r="A134" s="521"/>
      <c r="B134" s="521"/>
      <c r="C134" s="521"/>
      <c r="D134" s="521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2"/>
    </row>
    <row r="135" spans="1:26" x14ac:dyDescent="0.3">
      <c r="A135" s="521"/>
      <c r="B135" s="521"/>
      <c r="C135" s="521"/>
      <c r="D135" s="521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2"/>
    </row>
    <row r="136" spans="1:26" x14ac:dyDescent="0.3">
      <c r="A136" s="521"/>
      <c r="B136" s="521"/>
      <c r="C136" s="521"/>
      <c r="D136" s="521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2"/>
    </row>
    <row r="137" spans="1:26" x14ac:dyDescent="0.3">
      <c r="A137" s="521"/>
      <c r="B137" s="521"/>
      <c r="C137" s="521"/>
      <c r="D137" s="521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2"/>
    </row>
    <row r="138" spans="1:26" x14ac:dyDescent="0.3">
      <c r="A138" s="521"/>
      <c r="B138" s="521"/>
      <c r="C138" s="521"/>
      <c r="D138" s="521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2"/>
    </row>
    <row r="139" spans="1:26" x14ac:dyDescent="0.3">
      <c r="A139" s="521"/>
      <c r="B139" s="521"/>
      <c r="C139" s="521"/>
      <c r="D139" s="521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2"/>
    </row>
    <row r="140" spans="1:26" x14ac:dyDescent="0.3">
      <c r="A140" s="521"/>
      <c r="B140" s="521"/>
      <c r="C140" s="521"/>
      <c r="D140" s="521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2"/>
    </row>
    <row r="141" spans="1:26" x14ac:dyDescent="0.3">
      <c r="A141" s="521"/>
      <c r="B141" s="521"/>
      <c r="C141" s="521"/>
      <c r="D141" s="521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2"/>
    </row>
    <row r="142" spans="1:26" x14ac:dyDescent="0.3">
      <c r="A142" s="521"/>
      <c r="B142" s="521"/>
      <c r="C142" s="521"/>
      <c r="D142" s="521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2"/>
    </row>
    <row r="143" spans="1:26" x14ac:dyDescent="0.3">
      <c r="A143" s="521"/>
      <c r="B143" s="521"/>
      <c r="C143" s="521"/>
      <c r="D143" s="521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2"/>
    </row>
    <row r="144" spans="1:26" x14ac:dyDescent="0.3">
      <c r="A144" s="521"/>
      <c r="B144" s="521"/>
      <c r="C144" s="521"/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2"/>
    </row>
    <row r="145" spans="1:26" x14ac:dyDescent="0.3">
      <c r="A145" s="521"/>
      <c r="B145" s="521"/>
      <c r="C145" s="521"/>
      <c r="D145" s="521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2"/>
    </row>
    <row r="146" spans="1:26" x14ac:dyDescent="0.3">
      <c r="A146" s="521"/>
      <c r="B146" s="521"/>
      <c r="C146" s="521"/>
      <c r="D146" s="521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2"/>
    </row>
    <row r="147" spans="1:26" x14ac:dyDescent="0.3">
      <c r="A147" s="521"/>
      <c r="B147" s="521"/>
      <c r="C147" s="521"/>
      <c r="D147" s="521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2"/>
    </row>
    <row r="148" spans="1:26" x14ac:dyDescent="0.3">
      <c r="A148" s="521"/>
      <c r="B148" s="521"/>
      <c r="C148" s="521"/>
      <c r="D148" s="521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2"/>
    </row>
    <row r="149" spans="1:26" x14ac:dyDescent="0.3">
      <c r="A149" s="521"/>
      <c r="B149" s="521"/>
      <c r="C149" s="521"/>
      <c r="D149" s="521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2"/>
    </row>
    <row r="150" spans="1:26" x14ac:dyDescent="0.3">
      <c r="A150" s="521"/>
      <c r="B150" s="521"/>
      <c r="C150" s="521"/>
      <c r="D150" s="521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2"/>
    </row>
    <row r="151" spans="1:26" x14ac:dyDescent="0.3">
      <c r="A151" s="521"/>
      <c r="B151" s="521"/>
      <c r="C151" s="521"/>
      <c r="D151" s="521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  <c r="W151" s="521"/>
      <c r="X151" s="521"/>
      <c r="Y151" s="521"/>
      <c r="Z151" s="522"/>
    </row>
    <row r="152" spans="1:26" x14ac:dyDescent="0.3">
      <c r="A152" s="521"/>
      <c r="B152" s="521"/>
      <c r="C152" s="521"/>
      <c r="D152" s="521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  <c r="W152" s="521"/>
      <c r="X152" s="521"/>
      <c r="Y152" s="521"/>
      <c r="Z152" s="522"/>
    </row>
    <row r="153" spans="1:26" x14ac:dyDescent="0.3">
      <c r="A153" s="521"/>
      <c r="B153" s="521"/>
      <c r="C153" s="521"/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  <c r="W153" s="521"/>
      <c r="X153" s="521"/>
      <c r="Y153" s="521"/>
      <c r="Z153" s="522"/>
    </row>
    <row r="154" spans="1:26" x14ac:dyDescent="0.3">
      <c r="A154" s="521"/>
      <c r="B154" s="521"/>
      <c r="C154" s="521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  <c r="W154" s="521"/>
      <c r="X154" s="521"/>
      <c r="Y154" s="521"/>
      <c r="Z154" s="522"/>
    </row>
    <row r="155" spans="1:26" x14ac:dyDescent="0.3">
      <c r="A155" s="521"/>
      <c r="B155" s="521"/>
      <c r="C155" s="521"/>
      <c r="D155" s="521"/>
      <c r="E155" s="521"/>
      <c r="F155" s="521"/>
      <c r="G155" s="521"/>
      <c r="H155" s="521"/>
      <c r="I155" s="521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  <c r="W155" s="521"/>
      <c r="X155" s="521"/>
      <c r="Y155" s="521"/>
      <c r="Z155" s="522"/>
    </row>
    <row r="156" spans="1:26" x14ac:dyDescent="0.3">
      <c r="A156" s="521"/>
      <c r="B156" s="521"/>
      <c r="C156" s="521"/>
      <c r="D156" s="521"/>
      <c r="E156" s="521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  <c r="W156" s="521"/>
      <c r="X156" s="521"/>
      <c r="Y156" s="521"/>
      <c r="Z156" s="522"/>
    </row>
    <row r="157" spans="1:26" x14ac:dyDescent="0.3">
      <c r="A157" s="521"/>
      <c r="B157" s="521"/>
      <c r="C157" s="521"/>
      <c r="D157" s="521"/>
      <c r="E157" s="521"/>
      <c r="F157" s="521"/>
      <c r="G157" s="521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  <c r="W157" s="521"/>
      <c r="X157" s="521"/>
      <c r="Y157" s="521"/>
      <c r="Z157" s="522"/>
    </row>
    <row r="158" spans="1:26" x14ac:dyDescent="0.3">
      <c r="A158" s="521"/>
      <c r="B158" s="521"/>
      <c r="C158" s="521"/>
      <c r="D158" s="521"/>
      <c r="E158" s="521"/>
      <c r="F158" s="521"/>
      <c r="G158" s="521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  <c r="W158" s="521"/>
      <c r="X158" s="521"/>
      <c r="Y158" s="521"/>
      <c r="Z158" s="522"/>
    </row>
    <row r="159" spans="1:26" x14ac:dyDescent="0.3">
      <c r="A159" s="521"/>
      <c r="B159" s="521"/>
      <c r="C159" s="521"/>
      <c r="D159" s="521"/>
      <c r="E159" s="521"/>
      <c r="F159" s="521"/>
      <c r="G159" s="521"/>
      <c r="H159" s="521"/>
      <c r="I159" s="521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  <c r="W159" s="521"/>
      <c r="X159" s="521"/>
      <c r="Y159" s="521"/>
      <c r="Z159" s="522"/>
    </row>
    <row r="160" spans="1:26" x14ac:dyDescent="0.3">
      <c r="A160" s="521"/>
      <c r="B160" s="521"/>
      <c r="C160" s="521"/>
      <c r="D160" s="521"/>
      <c r="E160" s="521"/>
      <c r="F160" s="521"/>
      <c r="G160" s="521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  <c r="W160" s="521"/>
      <c r="X160" s="521"/>
      <c r="Y160" s="521"/>
      <c r="Z160" s="522"/>
    </row>
    <row r="161" spans="1:26" x14ac:dyDescent="0.3">
      <c r="A161" s="521"/>
      <c r="B161" s="521"/>
      <c r="C161" s="521"/>
      <c r="D161" s="521"/>
      <c r="E161" s="521"/>
      <c r="F161" s="521"/>
      <c r="G161" s="521"/>
      <c r="H161" s="521"/>
      <c r="I161" s="521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  <c r="W161" s="521"/>
      <c r="X161" s="521"/>
      <c r="Y161" s="521"/>
      <c r="Z161" s="522"/>
    </row>
    <row r="162" spans="1:26" x14ac:dyDescent="0.3">
      <c r="A162" s="521"/>
      <c r="B162" s="521"/>
      <c r="C162" s="521"/>
      <c r="D162" s="521"/>
      <c r="E162" s="521"/>
      <c r="F162" s="521"/>
      <c r="G162" s="521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  <c r="W162" s="521"/>
      <c r="X162" s="521"/>
      <c r="Y162" s="521"/>
      <c r="Z162" s="522"/>
    </row>
    <row r="163" spans="1:26" x14ac:dyDescent="0.3">
      <c r="A163" s="521"/>
      <c r="B163" s="521"/>
      <c r="C163" s="521"/>
      <c r="D163" s="521"/>
      <c r="E163" s="521"/>
      <c r="F163" s="521"/>
      <c r="G163" s="521"/>
      <c r="H163" s="521"/>
      <c r="I163" s="521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  <c r="W163" s="521"/>
      <c r="X163" s="521"/>
      <c r="Y163" s="521"/>
      <c r="Z163" s="522"/>
    </row>
    <row r="164" spans="1:26" x14ac:dyDescent="0.3">
      <c r="A164" s="521"/>
      <c r="B164" s="521"/>
      <c r="C164" s="521"/>
      <c r="D164" s="521"/>
      <c r="E164" s="521"/>
      <c r="F164" s="521"/>
      <c r="G164" s="521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  <c r="W164" s="521"/>
      <c r="X164" s="521"/>
      <c r="Y164" s="521"/>
      <c r="Z164" s="522"/>
    </row>
    <row r="165" spans="1:26" x14ac:dyDescent="0.3">
      <c r="A165" s="521"/>
      <c r="B165" s="521"/>
      <c r="C165" s="521"/>
      <c r="D165" s="521"/>
      <c r="E165" s="521"/>
      <c r="F165" s="521"/>
      <c r="G165" s="521"/>
      <c r="H165" s="521"/>
      <c r="I165" s="521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  <c r="W165" s="521"/>
      <c r="X165" s="521"/>
      <c r="Y165" s="521"/>
      <c r="Z165" s="522"/>
    </row>
    <row r="166" spans="1:26" x14ac:dyDescent="0.3">
      <c r="A166" s="521"/>
      <c r="B166" s="521"/>
      <c r="C166" s="521"/>
      <c r="D166" s="521"/>
      <c r="E166" s="521"/>
      <c r="F166" s="521"/>
      <c r="G166" s="521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  <c r="W166" s="521"/>
      <c r="X166" s="521"/>
      <c r="Y166" s="521"/>
      <c r="Z166" s="522"/>
    </row>
    <row r="167" spans="1:26" x14ac:dyDescent="0.3">
      <c r="A167" s="521"/>
      <c r="B167" s="521"/>
      <c r="C167" s="521"/>
      <c r="D167" s="521"/>
      <c r="E167" s="521"/>
      <c r="F167" s="521"/>
      <c r="G167" s="521"/>
      <c r="H167" s="521"/>
      <c r="I167" s="521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  <c r="W167" s="521"/>
      <c r="X167" s="521"/>
      <c r="Y167" s="521"/>
      <c r="Z167" s="522"/>
    </row>
    <row r="168" spans="1:26" x14ac:dyDescent="0.3">
      <c r="A168" s="521"/>
      <c r="B168" s="521"/>
      <c r="C168" s="521"/>
      <c r="D168" s="521"/>
      <c r="E168" s="521"/>
      <c r="F168" s="521"/>
      <c r="G168" s="521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  <c r="W168" s="521"/>
      <c r="X168" s="521"/>
      <c r="Y168" s="521"/>
      <c r="Z168" s="522"/>
    </row>
    <row r="169" spans="1:26" x14ac:dyDescent="0.3">
      <c r="A169" s="521"/>
      <c r="B169" s="521"/>
      <c r="C169" s="521"/>
      <c r="D169" s="521"/>
      <c r="E169" s="521"/>
      <c r="F169" s="521"/>
      <c r="G169" s="521"/>
      <c r="H169" s="521"/>
      <c r="I169" s="521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  <c r="W169" s="521"/>
      <c r="X169" s="521"/>
      <c r="Y169" s="521"/>
      <c r="Z169" s="522"/>
    </row>
    <row r="170" spans="1:26" x14ac:dyDescent="0.3">
      <c r="A170" s="521"/>
      <c r="B170" s="521"/>
      <c r="C170" s="521"/>
      <c r="D170" s="521"/>
      <c r="E170" s="521"/>
      <c r="F170" s="521"/>
      <c r="G170" s="521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  <c r="W170" s="521"/>
      <c r="X170" s="521"/>
      <c r="Y170" s="521"/>
      <c r="Z170" s="522"/>
    </row>
    <row r="171" spans="1:26" x14ac:dyDescent="0.3">
      <c r="A171" s="521"/>
      <c r="B171" s="521"/>
      <c r="C171" s="521"/>
      <c r="D171" s="521"/>
      <c r="E171" s="521"/>
      <c r="F171" s="521"/>
      <c r="G171" s="521"/>
      <c r="H171" s="521"/>
      <c r="I171" s="521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  <c r="W171" s="521"/>
      <c r="X171" s="521"/>
      <c r="Y171" s="521"/>
      <c r="Z171" s="522"/>
    </row>
    <row r="172" spans="1:26" x14ac:dyDescent="0.3">
      <c r="A172" s="521"/>
      <c r="B172" s="521"/>
      <c r="C172" s="521"/>
      <c r="D172" s="521"/>
      <c r="E172" s="521"/>
      <c r="F172" s="521"/>
      <c r="G172" s="521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  <c r="W172" s="521"/>
      <c r="X172" s="521"/>
      <c r="Y172" s="521"/>
      <c r="Z172" s="522"/>
    </row>
    <row r="173" spans="1:26" x14ac:dyDescent="0.3">
      <c r="A173" s="521"/>
      <c r="B173" s="521"/>
      <c r="C173" s="521"/>
      <c r="D173" s="521"/>
      <c r="E173" s="521"/>
      <c r="F173" s="521"/>
      <c r="G173" s="521"/>
      <c r="H173" s="521"/>
      <c r="I173" s="521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  <c r="W173" s="521"/>
      <c r="X173" s="521"/>
      <c r="Y173" s="521"/>
      <c r="Z173" s="522"/>
    </row>
    <row r="174" spans="1:26" x14ac:dyDescent="0.3">
      <c r="A174" s="521"/>
      <c r="B174" s="521"/>
      <c r="C174" s="521"/>
      <c r="D174" s="521"/>
      <c r="E174" s="521"/>
      <c r="F174" s="521"/>
      <c r="G174" s="521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  <c r="W174" s="521"/>
      <c r="X174" s="521"/>
      <c r="Y174" s="521"/>
      <c r="Z174" s="522"/>
    </row>
    <row r="175" spans="1:26" x14ac:dyDescent="0.3">
      <c r="A175" s="521"/>
      <c r="B175" s="521"/>
      <c r="C175" s="521"/>
      <c r="D175" s="521"/>
      <c r="E175" s="521"/>
      <c r="F175" s="521"/>
      <c r="G175" s="521"/>
      <c r="H175" s="521"/>
      <c r="I175" s="521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  <c r="W175" s="521"/>
      <c r="X175" s="521"/>
      <c r="Y175" s="521"/>
      <c r="Z175" s="522"/>
    </row>
    <row r="176" spans="1:26" x14ac:dyDescent="0.3">
      <c r="A176" s="521"/>
      <c r="B176" s="521"/>
      <c r="C176" s="521"/>
      <c r="D176" s="521"/>
      <c r="E176" s="521"/>
      <c r="F176" s="521"/>
      <c r="G176" s="521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  <c r="W176" s="521"/>
      <c r="X176" s="521"/>
      <c r="Y176" s="521"/>
      <c r="Z176" s="522"/>
    </row>
    <row r="177" spans="1:26" x14ac:dyDescent="0.3">
      <c r="A177" s="521"/>
      <c r="B177" s="521"/>
      <c r="C177" s="521"/>
      <c r="D177" s="521"/>
      <c r="E177" s="521"/>
      <c r="F177" s="521"/>
      <c r="G177" s="521"/>
      <c r="H177" s="521"/>
      <c r="I177" s="521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  <c r="W177" s="521"/>
      <c r="X177" s="521"/>
      <c r="Y177" s="521"/>
      <c r="Z177" s="522"/>
    </row>
    <row r="178" spans="1:26" x14ac:dyDescent="0.3">
      <c r="A178" s="521"/>
      <c r="B178" s="521"/>
      <c r="C178" s="521"/>
      <c r="D178" s="521"/>
      <c r="E178" s="521"/>
      <c r="F178" s="521"/>
      <c r="G178" s="521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  <c r="W178" s="521"/>
      <c r="X178" s="521"/>
      <c r="Y178" s="521"/>
      <c r="Z178" s="522"/>
    </row>
    <row r="179" spans="1:26" x14ac:dyDescent="0.3">
      <c r="A179" s="521"/>
      <c r="B179" s="521"/>
      <c r="C179" s="521"/>
      <c r="D179" s="521"/>
      <c r="E179" s="521"/>
      <c r="F179" s="521"/>
      <c r="G179" s="521"/>
      <c r="H179" s="521"/>
      <c r="I179" s="521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  <c r="W179" s="521"/>
      <c r="X179" s="521"/>
      <c r="Y179" s="521"/>
      <c r="Z179" s="522"/>
    </row>
    <row r="180" spans="1:26" x14ac:dyDescent="0.3">
      <c r="A180" s="521"/>
      <c r="B180" s="521"/>
      <c r="C180" s="521"/>
      <c r="D180" s="521"/>
      <c r="E180" s="521"/>
      <c r="F180" s="521"/>
      <c r="G180" s="521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  <c r="W180" s="521"/>
      <c r="X180" s="521"/>
      <c r="Y180" s="521"/>
      <c r="Z180" s="522"/>
    </row>
    <row r="181" spans="1:26" x14ac:dyDescent="0.3">
      <c r="A181" s="521"/>
      <c r="B181" s="521"/>
      <c r="C181" s="521"/>
      <c r="D181" s="521"/>
      <c r="E181" s="521"/>
      <c r="F181" s="521"/>
      <c r="G181" s="521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  <c r="W181" s="521"/>
      <c r="X181" s="521"/>
      <c r="Y181" s="521"/>
      <c r="Z181" s="522"/>
    </row>
    <row r="182" spans="1:26" x14ac:dyDescent="0.3">
      <c r="A182" s="521"/>
      <c r="B182" s="521"/>
      <c r="C182" s="521"/>
      <c r="D182" s="521"/>
      <c r="E182" s="521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  <c r="W182" s="521"/>
      <c r="X182" s="521"/>
      <c r="Y182" s="521"/>
      <c r="Z182" s="522"/>
    </row>
    <row r="183" spans="1:26" x14ac:dyDescent="0.3">
      <c r="A183" s="521"/>
      <c r="B183" s="521"/>
      <c r="C183" s="521"/>
      <c r="D183" s="521"/>
      <c r="E183" s="521"/>
      <c r="F183" s="521"/>
      <c r="G183" s="521"/>
      <c r="H183" s="521"/>
      <c r="I183" s="521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  <c r="W183" s="521"/>
      <c r="X183" s="521"/>
      <c r="Y183" s="521"/>
      <c r="Z183" s="522"/>
    </row>
    <row r="184" spans="1:26" x14ac:dyDescent="0.3">
      <c r="A184" s="521"/>
      <c r="B184" s="521"/>
      <c r="C184" s="521"/>
      <c r="D184" s="521"/>
      <c r="E184" s="521"/>
      <c r="F184" s="521"/>
      <c r="G184" s="521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  <c r="W184" s="521"/>
      <c r="X184" s="521"/>
      <c r="Y184" s="521"/>
      <c r="Z184" s="522"/>
    </row>
    <row r="185" spans="1:26" x14ac:dyDescent="0.3">
      <c r="A185" s="521"/>
      <c r="B185" s="521"/>
      <c r="C185" s="521"/>
      <c r="D185" s="521"/>
      <c r="E185" s="521"/>
      <c r="F185" s="521"/>
      <c r="G185" s="521"/>
      <c r="H185" s="521"/>
      <c r="I185" s="521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  <c r="W185" s="521"/>
      <c r="X185" s="521"/>
      <c r="Y185" s="521"/>
      <c r="Z185" s="522"/>
    </row>
    <row r="186" spans="1:26" x14ac:dyDescent="0.3">
      <c r="A186" s="521"/>
      <c r="B186" s="521"/>
      <c r="C186" s="521"/>
      <c r="D186" s="521"/>
      <c r="E186" s="521"/>
      <c r="F186" s="521"/>
      <c r="G186" s="521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W186" s="521"/>
      <c r="X186" s="521"/>
      <c r="Y186" s="521"/>
      <c r="Z186" s="522"/>
    </row>
    <row r="187" spans="1:26" x14ac:dyDescent="0.3">
      <c r="A187" s="521"/>
      <c r="B187" s="521"/>
      <c r="C187" s="521"/>
      <c r="D187" s="521"/>
      <c r="E187" s="521"/>
      <c r="F187" s="521"/>
      <c r="G187" s="521"/>
      <c r="H187" s="521"/>
      <c r="I187" s="521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  <c r="W187" s="521"/>
      <c r="X187" s="521"/>
      <c r="Y187" s="521"/>
      <c r="Z187" s="522"/>
    </row>
    <row r="188" spans="1:26" x14ac:dyDescent="0.3">
      <c r="A188" s="521"/>
      <c r="B188" s="521"/>
      <c r="C188" s="521"/>
      <c r="D188" s="521"/>
      <c r="E188" s="521"/>
      <c r="F188" s="521"/>
      <c r="G188" s="521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  <c r="W188" s="521"/>
      <c r="X188" s="521"/>
      <c r="Y188" s="521"/>
      <c r="Z188" s="522"/>
    </row>
    <row r="189" spans="1:26" x14ac:dyDescent="0.3">
      <c r="A189" s="521"/>
      <c r="B189" s="521"/>
      <c r="C189" s="521"/>
      <c r="D189" s="521"/>
      <c r="E189" s="521"/>
      <c r="F189" s="521"/>
      <c r="G189" s="521"/>
      <c r="H189" s="521"/>
      <c r="I189" s="521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  <c r="W189" s="521"/>
      <c r="X189" s="521"/>
      <c r="Y189" s="521"/>
      <c r="Z189" s="522"/>
    </row>
    <row r="190" spans="1:26" x14ac:dyDescent="0.3">
      <c r="A190" s="521"/>
      <c r="B190" s="521"/>
      <c r="C190" s="521"/>
      <c r="D190" s="521"/>
      <c r="E190" s="521"/>
      <c r="F190" s="521"/>
      <c r="G190" s="521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  <c r="W190" s="521"/>
      <c r="X190" s="521"/>
      <c r="Y190" s="521"/>
      <c r="Z190" s="522"/>
    </row>
    <row r="191" spans="1:26" x14ac:dyDescent="0.3">
      <c r="A191" s="521"/>
      <c r="B191" s="521"/>
      <c r="C191" s="521"/>
      <c r="D191" s="521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  <c r="W191" s="521"/>
      <c r="X191" s="521"/>
      <c r="Y191" s="521"/>
      <c r="Z191" s="522"/>
    </row>
    <row r="192" spans="1:26" x14ac:dyDescent="0.3">
      <c r="A192" s="521"/>
      <c r="B192" s="521"/>
      <c r="C192" s="521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  <c r="W192" s="521"/>
      <c r="X192" s="521"/>
      <c r="Y192" s="521"/>
      <c r="Z192" s="522"/>
    </row>
    <row r="193" spans="1:26" x14ac:dyDescent="0.3">
      <c r="A193" s="521"/>
      <c r="B193" s="521"/>
      <c r="C193" s="521"/>
      <c r="D193" s="521"/>
      <c r="E193" s="521"/>
      <c r="F193" s="521"/>
      <c r="G193" s="521"/>
      <c r="H193" s="521"/>
      <c r="I193" s="521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  <c r="W193" s="521"/>
      <c r="X193" s="521"/>
      <c r="Y193" s="521"/>
      <c r="Z193" s="522"/>
    </row>
    <row r="194" spans="1:26" x14ac:dyDescent="0.3">
      <c r="A194" s="521"/>
      <c r="B194" s="521"/>
      <c r="C194" s="521"/>
      <c r="D194" s="521"/>
      <c r="E194" s="521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  <c r="W194" s="521"/>
      <c r="X194" s="521"/>
      <c r="Y194" s="521"/>
      <c r="Z194" s="522"/>
    </row>
    <row r="195" spans="1:26" x14ac:dyDescent="0.3">
      <c r="A195" s="521"/>
      <c r="B195" s="521"/>
      <c r="C195" s="521"/>
      <c r="D195" s="521"/>
      <c r="E195" s="521"/>
      <c r="F195" s="521"/>
      <c r="G195" s="521"/>
      <c r="H195" s="521"/>
      <c r="I195" s="521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  <c r="W195" s="521"/>
      <c r="X195" s="521"/>
      <c r="Y195" s="521"/>
      <c r="Z195" s="522"/>
    </row>
    <row r="196" spans="1:26" x14ac:dyDescent="0.3">
      <c r="A196" s="521"/>
      <c r="B196" s="521"/>
      <c r="C196" s="521"/>
      <c r="D196" s="521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  <c r="W196" s="521"/>
      <c r="X196" s="521"/>
      <c r="Y196" s="521"/>
      <c r="Z196" s="522"/>
    </row>
    <row r="197" spans="1:26" x14ac:dyDescent="0.3">
      <c r="A197" s="521"/>
      <c r="B197" s="521"/>
      <c r="C197" s="521"/>
      <c r="D197" s="521"/>
      <c r="E197" s="521"/>
      <c r="F197" s="521"/>
      <c r="G197" s="521"/>
      <c r="H197" s="521"/>
      <c r="I197" s="521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  <c r="W197" s="521"/>
      <c r="X197" s="521"/>
      <c r="Y197" s="521"/>
      <c r="Z197" s="522"/>
    </row>
    <row r="198" spans="1:26" x14ac:dyDescent="0.3">
      <c r="A198" s="521"/>
      <c r="B198" s="521"/>
      <c r="C198" s="521"/>
      <c r="D198" s="521"/>
      <c r="E198" s="521"/>
      <c r="F198" s="521"/>
      <c r="G198" s="521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  <c r="W198" s="521"/>
      <c r="X198" s="521"/>
      <c r="Y198" s="521"/>
      <c r="Z198" s="522"/>
    </row>
    <row r="199" spans="1:26" x14ac:dyDescent="0.3">
      <c r="A199" s="521"/>
      <c r="B199" s="521"/>
      <c r="C199" s="521"/>
      <c r="D199" s="521"/>
      <c r="E199" s="521"/>
      <c r="F199" s="521"/>
      <c r="G199" s="521"/>
      <c r="H199" s="521"/>
      <c r="I199" s="521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  <c r="W199" s="521"/>
      <c r="X199" s="521"/>
      <c r="Y199" s="521"/>
      <c r="Z199" s="522"/>
    </row>
    <row r="200" spans="1:26" x14ac:dyDescent="0.3">
      <c r="A200" s="521"/>
      <c r="B200" s="521"/>
      <c r="C200" s="521"/>
      <c r="D200" s="521"/>
      <c r="E200" s="521"/>
      <c r="F200" s="521"/>
      <c r="G200" s="521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  <c r="W200" s="521"/>
      <c r="X200" s="521"/>
      <c r="Y200" s="521"/>
      <c r="Z200" s="522"/>
    </row>
    <row r="201" spans="1:26" x14ac:dyDescent="0.3">
      <c r="A201" s="521"/>
      <c r="B201" s="521"/>
      <c r="C201" s="521"/>
      <c r="D201" s="521"/>
      <c r="E201" s="521"/>
      <c r="F201" s="521"/>
      <c r="G201" s="521"/>
      <c r="H201" s="521"/>
      <c r="I201" s="521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  <c r="W201" s="521"/>
      <c r="X201" s="521"/>
      <c r="Y201" s="521"/>
      <c r="Z201" s="522"/>
    </row>
    <row r="202" spans="1:26" x14ac:dyDescent="0.3">
      <c r="A202" s="521"/>
      <c r="B202" s="521"/>
      <c r="C202" s="521"/>
      <c r="D202" s="521"/>
      <c r="E202" s="521"/>
      <c r="F202" s="521"/>
      <c r="G202" s="521"/>
      <c r="H202" s="521"/>
      <c r="I202" s="521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  <c r="W202" s="521"/>
      <c r="X202" s="521"/>
      <c r="Y202" s="521"/>
      <c r="Z202" s="522"/>
    </row>
    <row r="203" spans="1:26" x14ac:dyDescent="0.3">
      <c r="A203" s="521"/>
      <c r="B203" s="521"/>
      <c r="C203" s="521"/>
      <c r="D203" s="521"/>
      <c r="E203" s="521"/>
      <c r="F203" s="521"/>
      <c r="G203" s="521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  <c r="W203" s="521"/>
      <c r="X203" s="521"/>
      <c r="Y203" s="521"/>
      <c r="Z203" s="522"/>
    </row>
    <row r="204" spans="1:26" x14ac:dyDescent="0.3">
      <c r="A204" s="521"/>
      <c r="B204" s="521"/>
      <c r="C204" s="521"/>
      <c r="D204" s="521"/>
      <c r="E204" s="521"/>
      <c r="F204" s="521"/>
      <c r="G204" s="521"/>
      <c r="H204" s="521"/>
      <c r="I204" s="521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  <c r="W204" s="521"/>
      <c r="X204" s="521"/>
      <c r="Y204" s="521"/>
      <c r="Z204" s="522"/>
    </row>
    <row r="205" spans="1:26" x14ac:dyDescent="0.3">
      <c r="A205" s="521"/>
      <c r="B205" s="521"/>
      <c r="C205" s="521"/>
      <c r="D205" s="521"/>
      <c r="E205" s="521"/>
      <c r="F205" s="521"/>
      <c r="G205" s="521"/>
      <c r="H205" s="521"/>
      <c r="I205" s="521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  <c r="W205" s="521"/>
      <c r="X205" s="521"/>
      <c r="Y205" s="521"/>
      <c r="Z205" s="522"/>
    </row>
    <row r="206" spans="1:26" x14ac:dyDescent="0.3">
      <c r="A206" s="521"/>
      <c r="B206" s="521"/>
      <c r="C206" s="521"/>
      <c r="D206" s="521"/>
      <c r="E206" s="521"/>
      <c r="F206" s="521"/>
      <c r="G206" s="521"/>
      <c r="H206" s="521"/>
      <c r="I206" s="521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  <c r="W206" s="521"/>
      <c r="X206" s="521"/>
      <c r="Y206" s="521"/>
      <c r="Z206" s="522"/>
    </row>
    <row r="207" spans="1:26" x14ac:dyDescent="0.3">
      <c r="A207" s="521"/>
      <c r="B207" s="521"/>
      <c r="C207" s="521"/>
      <c r="D207" s="521"/>
      <c r="E207" s="521"/>
      <c r="F207" s="521"/>
      <c r="G207" s="521"/>
      <c r="H207" s="521"/>
      <c r="I207" s="521"/>
      <c r="J207" s="521"/>
      <c r="K207" s="521"/>
      <c r="L207" s="521"/>
      <c r="M207" s="521"/>
      <c r="N207" s="521"/>
      <c r="O207" s="521"/>
      <c r="P207" s="521"/>
      <c r="Q207" s="521"/>
      <c r="R207" s="521"/>
      <c r="S207" s="521"/>
      <c r="T207" s="521"/>
      <c r="U207" s="521"/>
      <c r="V207" s="521"/>
      <c r="W207" s="521"/>
      <c r="X207" s="521"/>
      <c r="Y207" s="521"/>
      <c r="Z207" s="522"/>
    </row>
    <row r="208" spans="1:26" x14ac:dyDescent="0.3">
      <c r="A208" s="521"/>
      <c r="B208" s="521"/>
      <c r="C208" s="521"/>
      <c r="D208" s="521"/>
      <c r="E208" s="521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P208" s="521"/>
      <c r="Q208" s="521"/>
      <c r="R208" s="521"/>
      <c r="S208" s="521"/>
      <c r="T208" s="521"/>
      <c r="U208" s="521"/>
      <c r="V208" s="521"/>
      <c r="W208" s="521"/>
      <c r="X208" s="521"/>
      <c r="Y208" s="521"/>
      <c r="Z208" s="522"/>
    </row>
    <row r="209" spans="1:26" x14ac:dyDescent="0.3">
      <c r="A209" s="521"/>
      <c r="B209" s="521"/>
      <c r="C209" s="521"/>
      <c r="D209" s="521"/>
      <c r="E209" s="521"/>
      <c r="F209" s="521"/>
      <c r="G209" s="521"/>
      <c r="H209" s="521"/>
      <c r="I209" s="521"/>
      <c r="J209" s="521"/>
      <c r="K209" s="521"/>
      <c r="L209" s="521"/>
      <c r="M209" s="521"/>
      <c r="N209" s="521"/>
      <c r="O209" s="521"/>
      <c r="P209" s="521"/>
      <c r="Q209" s="521"/>
      <c r="R209" s="521"/>
      <c r="S209" s="521"/>
      <c r="T209" s="521"/>
      <c r="U209" s="521"/>
      <c r="V209" s="521"/>
      <c r="W209" s="521"/>
      <c r="X209" s="521"/>
      <c r="Y209" s="521"/>
      <c r="Z209" s="522"/>
    </row>
    <row r="210" spans="1:26" x14ac:dyDescent="0.3">
      <c r="A210" s="521"/>
      <c r="B210" s="521"/>
      <c r="C210" s="521"/>
      <c r="D210" s="521"/>
      <c r="E210" s="521"/>
      <c r="F210" s="521"/>
      <c r="G210" s="521"/>
      <c r="H210" s="521"/>
      <c r="I210" s="521"/>
      <c r="J210" s="521"/>
      <c r="K210" s="521"/>
      <c r="L210" s="521"/>
      <c r="M210" s="521"/>
      <c r="N210" s="521"/>
      <c r="O210" s="521"/>
      <c r="P210" s="521"/>
      <c r="Q210" s="521"/>
      <c r="R210" s="521"/>
      <c r="S210" s="521"/>
      <c r="T210" s="521"/>
      <c r="U210" s="521"/>
      <c r="V210" s="521"/>
      <c r="W210" s="521"/>
      <c r="X210" s="521"/>
      <c r="Y210" s="521"/>
      <c r="Z210" s="522"/>
    </row>
    <row r="211" spans="1:26" x14ac:dyDescent="0.3">
      <c r="A211" s="521"/>
      <c r="B211" s="521"/>
      <c r="C211" s="521"/>
      <c r="D211" s="521"/>
      <c r="E211" s="521"/>
      <c r="F211" s="521"/>
      <c r="G211" s="521"/>
      <c r="H211" s="521"/>
      <c r="I211" s="521"/>
      <c r="J211" s="521"/>
      <c r="K211" s="521"/>
      <c r="L211" s="521"/>
      <c r="M211" s="521"/>
      <c r="N211" s="521"/>
      <c r="O211" s="521"/>
      <c r="P211" s="521"/>
      <c r="Q211" s="521"/>
      <c r="R211" s="521"/>
      <c r="S211" s="521"/>
      <c r="T211" s="521"/>
      <c r="U211" s="521"/>
      <c r="V211" s="521"/>
      <c r="W211" s="521"/>
      <c r="X211" s="521"/>
      <c r="Y211" s="521"/>
      <c r="Z211" s="522"/>
    </row>
    <row r="212" spans="1:26" x14ac:dyDescent="0.3">
      <c r="A212" s="521"/>
      <c r="B212" s="521"/>
      <c r="C212" s="521"/>
      <c r="D212" s="521"/>
      <c r="E212" s="521"/>
      <c r="F212" s="521"/>
      <c r="G212" s="521"/>
      <c r="H212" s="521"/>
      <c r="I212" s="521"/>
      <c r="J212" s="521"/>
      <c r="K212" s="521"/>
      <c r="L212" s="521"/>
      <c r="M212" s="521"/>
      <c r="N212" s="521"/>
      <c r="O212" s="521"/>
      <c r="P212" s="521"/>
      <c r="Q212" s="521"/>
      <c r="R212" s="521"/>
      <c r="S212" s="521"/>
      <c r="T212" s="521"/>
      <c r="U212" s="521"/>
      <c r="V212" s="521"/>
      <c r="W212" s="521"/>
      <c r="X212" s="521"/>
      <c r="Y212" s="521"/>
      <c r="Z212" s="522"/>
    </row>
    <row r="213" spans="1:26" x14ac:dyDescent="0.3">
      <c r="A213" s="521"/>
      <c r="B213" s="521"/>
      <c r="C213" s="521"/>
      <c r="D213" s="521"/>
      <c r="E213" s="521"/>
      <c r="F213" s="521"/>
      <c r="G213" s="521"/>
      <c r="H213" s="521"/>
      <c r="I213" s="521"/>
      <c r="J213" s="521"/>
      <c r="K213" s="521"/>
      <c r="L213" s="521"/>
      <c r="M213" s="521"/>
      <c r="N213" s="521"/>
      <c r="O213" s="521"/>
      <c r="P213" s="521"/>
      <c r="Q213" s="521"/>
      <c r="R213" s="521"/>
      <c r="S213" s="521"/>
      <c r="T213" s="521"/>
      <c r="U213" s="521"/>
      <c r="V213" s="521"/>
      <c r="W213" s="521"/>
      <c r="X213" s="521"/>
      <c r="Y213" s="521"/>
      <c r="Z213" s="522"/>
    </row>
    <row r="214" spans="1:26" x14ac:dyDescent="0.3">
      <c r="A214" s="521"/>
      <c r="B214" s="521"/>
      <c r="C214" s="521"/>
      <c r="D214" s="521"/>
      <c r="E214" s="521"/>
      <c r="F214" s="521"/>
      <c r="G214" s="521"/>
      <c r="H214" s="521"/>
      <c r="I214" s="521"/>
      <c r="J214" s="521"/>
      <c r="K214" s="521"/>
      <c r="L214" s="521"/>
      <c r="M214" s="521"/>
      <c r="N214" s="521"/>
      <c r="O214" s="521"/>
      <c r="P214" s="521"/>
      <c r="Q214" s="521"/>
      <c r="R214" s="521"/>
      <c r="S214" s="521"/>
      <c r="T214" s="521"/>
      <c r="U214" s="521"/>
      <c r="V214" s="521"/>
      <c r="W214" s="521"/>
      <c r="X214" s="521"/>
      <c r="Y214" s="521"/>
      <c r="Z214" s="522"/>
    </row>
    <row r="215" spans="1:26" x14ac:dyDescent="0.3">
      <c r="A215" s="521"/>
      <c r="B215" s="521"/>
      <c r="C215" s="521"/>
      <c r="D215" s="521"/>
      <c r="E215" s="521"/>
      <c r="F215" s="521"/>
      <c r="G215" s="521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  <c r="W215" s="521"/>
      <c r="X215" s="521"/>
      <c r="Y215" s="521"/>
      <c r="Z215" s="522"/>
    </row>
    <row r="216" spans="1:26" x14ac:dyDescent="0.3">
      <c r="A216" s="521"/>
      <c r="B216" s="521"/>
      <c r="C216" s="521"/>
      <c r="D216" s="521"/>
      <c r="E216" s="521"/>
      <c r="F216" s="521"/>
      <c r="G216" s="521"/>
      <c r="H216" s="521"/>
      <c r="I216" s="521"/>
      <c r="J216" s="521"/>
      <c r="K216" s="521"/>
      <c r="L216" s="521"/>
      <c r="M216" s="521"/>
      <c r="N216" s="521"/>
      <c r="O216" s="521"/>
      <c r="P216" s="521"/>
      <c r="Q216" s="521"/>
      <c r="R216" s="521"/>
      <c r="S216" s="521"/>
      <c r="T216" s="521"/>
      <c r="U216" s="521"/>
      <c r="V216" s="521"/>
      <c r="W216" s="521"/>
      <c r="X216" s="521"/>
      <c r="Y216" s="521"/>
      <c r="Z216" s="522"/>
    </row>
    <row r="217" spans="1:26" x14ac:dyDescent="0.3">
      <c r="A217" s="521"/>
      <c r="B217" s="521"/>
      <c r="C217" s="521"/>
      <c r="D217" s="521"/>
      <c r="E217" s="521"/>
      <c r="F217" s="521"/>
      <c r="G217" s="521"/>
      <c r="H217" s="521"/>
      <c r="I217" s="521"/>
      <c r="J217" s="521"/>
      <c r="K217" s="521"/>
      <c r="L217" s="521"/>
      <c r="M217" s="521"/>
      <c r="N217" s="521"/>
      <c r="O217" s="521"/>
      <c r="P217" s="521"/>
      <c r="Q217" s="521"/>
      <c r="R217" s="521"/>
      <c r="S217" s="521"/>
      <c r="T217" s="521"/>
      <c r="U217" s="521"/>
      <c r="V217" s="521"/>
      <c r="W217" s="521"/>
      <c r="X217" s="521"/>
      <c r="Y217" s="521"/>
      <c r="Z217" s="522"/>
    </row>
    <row r="218" spans="1:26" x14ac:dyDescent="0.3">
      <c r="A218" s="521"/>
      <c r="B218" s="521"/>
      <c r="C218" s="521"/>
      <c r="D218" s="521"/>
      <c r="E218" s="521"/>
      <c r="F218" s="521"/>
      <c r="G218" s="521"/>
      <c r="H218" s="521"/>
      <c r="I218" s="521"/>
      <c r="J218" s="521"/>
      <c r="K218" s="521"/>
      <c r="L218" s="521"/>
      <c r="M218" s="521"/>
      <c r="N218" s="521"/>
      <c r="O218" s="521"/>
      <c r="P218" s="521"/>
      <c r="Q218" s="521"/>
      <c r="R218" s="521"/>
      <c r="S218" s="521"/>
      <c r="T218" s="521"/>
      <c r="U218" s="521"/>
      <c r="V218" s="521"/>
      <c r="W218" s="521"/>
      <c r="X218" s="521"/>
      <c r="Y218" s="521"/>
      <c r="Z218" s="522"/>
    </row>
    <row r="219" spans="1:26" x14ac:dyDescent="0.3">
      <c r="A219" s="521"/>
      <c r="B219" s="521"/>
      <c r="C219" s="521"/>
      <c r="D219" s="521"/>
      <c r="E219" s="521"/>
      <c r="F219" s="521"/>
      <c r="G219" s="521"/>
      <c r="H219" s="521"/>
      <c r="I219" s="521"/>
      <c r="J219" s="521"/>
      <c r="K219" s="521"/>
      <c r="L219" s="521"/>
      <c r="M219" s="521"/>
      <c r="N219" s="521"/>
      <c r="O219" s="521"/>
      <c r="P219" s="521"/>
      <c r="Q219" s="521"/>
      <c r="R219" s="521"/>
      <c r="S219" s="521"/>
      <c r="T219" s="521"/>
      <c r="U219" s="521"/>
      <c r="V219" s="521"/>
      <c r="W219" s="521"/>
      <c r="X219" s="521"/>
      <c r="Y219" s="521"/>
      <c r="Z219" s="522"/>
    </row>
    <row r="220" spans="1:26" x14ac:dyDescent="0.3">
      <c r="A220" s="521"/>
      <c r="B220" s="521"/>
      <c r="C220" s="521"/>
      <c r="D220" s="521"/>
      <c r="E220" s="521"/>
      <c r="F220" s="521"/>
      <c r="G220" s="521"/>
      <c r="H220" s="521"/>
      <c r="I220" s="521"/>
      <c r="J220" s="521"/>
      <c r="K220" s="521"/>
      <c r="L220" s="521"/>
      <c r="M220" s="521"/>
      <c r="N220" s="521"/>
      <c r="O220" s="521"/>
      <c r="P220" s="521"/>
      <c r="Q220" s="521"/>
      <c r="R220" s="521"/>
      <c r="S220" s="521"/>
      <c r="T220" s="521"/>
      <c r="U220" s="521"/>
      <c r="V220" s="521"/>
      <c r="W220" s="521"/>
      <c r="X220" s="521"/>
      <c r="Y220" s="521"/>
      <c r="Z220" s="522"/>
    </row>
    <row r="221" spans="1:26" x14ac:dyDescent="0.3">
      <c r="A221" s="521"/>
      <c r="B221" s="521"/>
      <c r="C221" s="521"/>
      <c r="D221" s="521"/>
      <c r="E221" s="521"/>
      <c r="F221" s="521"/>
      <c r="G221" s="521"/>
      <c r="H221" s="521"/>
      <c r="I221" s="521"/>
      <c r="J221" s="521"/>
      <c r="K221" s="521"/>
      <c r="L221" s="521"/>
      <c r="M221" s="521"/>
      <c r="N221" s="521"/>
      <c r="O221" s="521"/>
      <c r="P221" s="521"/>
      <c r="Q221" s="521"/>
      <c r="R221" s="521"/>
      <c r="S221" s="521"/>
      <c r="T221" s="521"/>
      <c r="U221" s="521"/>
      <c r="V221" s="521"/>
      <c r="W221" s="521"/>
      <c r="X221" s="521"/>
      <c r="Y221" s="521"/>
      <c r="Z221" s="522"/>
    </row>
    <row r="222" spans="1:26" x14ac:dyDescent="0.3">
      <c r="A222" s="521"/>
      <c r="B222" s="521"/>
      <c r="C222" s="521"/>
      <c r="D222" s="521"/>
      <c r="E222" s="521"/>
      <c r="F222" s="521"/>
      <c r="G222" s="521"/>
      <c r="H222" s="521"/>
      <c r="I222" s="521"/>
      <c r="J222" s="521"/>
      <c r="K222" s="521"/>
      <c r="L222" s="521"/>
      <c r="M222" s="521"/>
      <c r="N222" s="521"/>
      <c r="O222" s="521"/>
      <c r="P222" s="521"/>
      <c r="Q222" s="521"/>
      <c r="R222" s="521"/>
      <c r="S222" s="521"/>
      <c r="T222" s="521"/>
      <c r="U222" s="521"/>
      <c r="V222" s="521"/>
      <c r="W222" s="521"/>
      <c r="X222" s="521"/>
      <c r="Y222" s="521"/>
      <c r="Z222" s="522"/>
    </row>
    <row r="223" spans="1:26" x14ac:dyDescent="0.3">
      <c r="A223" s="521"/>
      <c r="B223" s="521"/>
      <c r="C223" s="521"/>
      <c r="D223" s="521"/>
      <c r="E223" s="521"/>
      <c r="F223" s="521"/>
      <c r="G223" s="521"/>
      <c r="H223" s="521"/>
      <c r="I223" s="521"/>
      <c r="J223" s="521"/>
      <c r="K223" s="521"/>
      <c r="L223" s="521"/>
      <c r="M223" s="521"/>
      <c r="N223" s="521"/>
      <c r="O223" s="521"/>
      <c r="P223" s="521"/>
      <c r="Q223" s="521"/>
      <c r="R223" s="521"/>
      <c r="S223" s="521"/>
      <c r="T223" s="521"/>
      <c r="U223" s="521"/>
      <c r="V223" s="521"/>
      <c r="W223" s="521"/>
      <c r="X223" s="521"/>
      <c r="Y223" s="521"/>
      <c r="Z223" s="522"/>
    </row>
    <row r="224" spans="1:26" x14ac:dyDescent="0.3">
      <c r="A224" s="521"/>
      <c r="B224" s="521"/>
      <c r="C224" s="521"/>
      <c r="D224" s="521"/>
      <c r="E224" s="521"/>
      <c r="F224" s="521"/>
      <c r="G224" s="521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21"/>
      <c r="V224" s="521"/>
      <c r="W224" s="521"/>
      <c r="X224" s="521"/>
      <c r="Y224" s="521"/>
      <c r="Z224" s="522"/>
    </row>
    <row r="225" spans="1:26" x14ac:dyDescent="0.3">
      <c r="A225" s="521"/>
      <c r="B225" s="521"/>
      <c r="C225" s="521"/>
      <c r="D225" s="521"/>
      <c r="E225" s="521"/>
      <c r="F225" s="521"/>
      <c r="G225" s="521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21"/>
      <c r="V225" s="521"/>
      <c r="W225" s="521"/>
      <c r="X225" s="521"/>
      <c r="Y225" s="521"/>
      <c r="Z225" s="522"/>
    </row>
    <row r="226" spans="1:26" x14ac:dyDescent="0.3">
      <c r="A226" s="521"/>
      <c r="B226" s="521"/>
      <c r="C226" s="521"/>
      <c r="D226" s="521"/>
      <c r="E226" s="521"/>
      <c r="F226" s="521"/>
      <c r="G226" s="521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21"/>
      <c r="V226" s="521"/>
      <c r="W226" s="521"/>
      <c r="X226" s="521"/>
      <c r="Y226" s="521"/>
      <c r="Z226" s="522"/>
    </row>
    <row r="227" spans="1:26" x14ac:dyDescent="0.3">
      <c r="A227" s="521"/>
      <c r="B227" s="521"/>
      <c r="C227" s="521"/>
      <c r="D227" s="521"/>
      <c r="E227" s="521"/>
      <c r="F227" s="521"/>
      <c r="G227" s="521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21"/>
      <c r="V227" s="521"/>
      <c r="W227" s="521"/>
      <c r="X227" s="521"/>
      <c r="Y227" s="521"/>
      <c r="Z227" s="522"/>
    </row>
    <row r="228" spans="1:26" x14ac:dyDescent="0.3">
      <c r="A228" s="521"/>
      <c r="B228" s="521"/>
      <c r="C228" s="521"/>
      <c r="D228" s="521"/>
      <c r="E228" s="521"/>
      <c r="F228" s="521"/>
      <c r="G228" s="521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21"/>
      <c r="V228" s="521"/>
      <c r="W228" s="521"/>
      <c r="X228" s="521"/>
      <c r="Y228" s="521"/>
      <c r="Z228" s="522"/>
    </row>
    <row r="229" spans="1:26" x14ac:dyDescent="0.3">
      <c r="A229" s="521"/>
      <c r="B229" s="521"/>
      <c r="C229" s="521"/>
      <c r="D229" s="521"/>
      <c r="E229" s="521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21"/>
      <c r="V229" s="521"/>
      <c r="W229" s="521"/>
      <c r="X229" s="521"/>
      <c r="Y229" s="521"/>
      <c r="Z229" s="522"/>
    </row>
    <row r="230" spans="1:26" x14ac:dyDescent="0.3">
      <c r="A230" s="521"/>
      <c r="B230" s="521"/>
      <c r="C230" s="521"/>
      <c r="D230" s="521"/>
      <c r="E230" s="521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21"/>
      <c r="V230" s="521"/>
      <c r="W230" s="521"/>
      <c r="X230" s="521"/>
      <c r="Y230" s="521"/>
      <c r="Z230" s="522"/>
    </row>
    <row r="231" spans="1:26" x14ac:dyDescent="0.3">
      <c r="A231" s="521"/>
      <c r="B231" s="521"/>
      <c r="C231" s="521"/>
      <c r="D231" s="521"/>
      <c r="E231" s="521"/>
      <c r="F231" s="521"/>
      <c r="G231" s="521"/>
      <c r="H231" s="521"/>
      <c r="I231" s="521"/>
      <c r="J231" s="521"/>
      <c r="K231" s="521"/>
      <c r="L231" s="521"/>
      <c r="M231" s="521"/>
      <c r="N231" s="521"/>
      <c r="O231" s="521"/>
      <c r="P231" s="521"/>
      <c r="Q231" s="521"/>
      <c r="R231" s="521"/>
      <c r="S231" s="521"/>
      <c r="T231" s="521"/>
      <c r="U231" s="521"/>
      <c r="V231" s="521"/>
      <c r="W231" s="521"/>
      <c r="X231" s="521"/>
      <c r="Y231" s="521"/>
      <c r="Z231" s="522"/>
    </row>
    <row r="232" spans="1:26" x14ac:dyDescent="0.3">
      <c r="A232" s="521"/>
      <c r="B232" s="521"/>
      <c r="C232" s="521"/>
      <c r="D232" s="521"/>
      <c r="E232" s="521"/>
      <c r="F232" s="521"/>
      <c r="G232" s="521"/>
      <c r="H232" s="521"/>
      <c r="I232" s="521"/>
      <c r="J232" s="521"/>
      <c r="K232" s="521"/>
      <c r="L232" s="521"/>
      <c r="M232" s="521"/>
      <c r="N232" s="521"/>
      <c r="O232" s="521"/>
      <c r="P232" s="521"/>
      <c r="Q232" s="521"/>
      <c r="R232" s="521"/>
      <c r="S232" s="521"/>
      <c r="T232" s="521"/>
      <c r="U232" s="521"/>
      <c r="V232" s="521"/>
      <c r="W232" s="521"/>
      <c r="X232" s="521"/>
      <c r="Y232" s="521"/>
      <c r="Z232" s="522"/>
    </row>
    <row r="233" spans="1:26" x14ac:dyDescent="0.3">
      <c r="A233" s="521"/>
      <c r="B233" s="521"/>
      <c r="C233" s="521"/>
      <c r="D233" s="521"/>
      <c r="E233" s="521"/>
      <c r="F233" s="521"/>
      <c r="G233" s="521"/>
      <c r="H233" s="521"/>
      <c r="I233" s="521"/>
      <c r="J233" s="521"/>
      <c r="K233" s="521"/>
      <c r="L233" s="521"/>
      <c r="M233" s="521"/>
      <c r="N233" s="521"/>
      <c r="O233" s="521"/>
      <c r="P233" s="521"/>
      <c r="Q233" s="521"/>
      <c r="R233" s="521"/>
      <c r="S233" s="521"/>
      <c r="T233" s="521"/>
      <c r="U233" s="521"/>
      <c r="V233" s="521"/>
      <c r="W233" s="521"/>
      <c r="X233" s="521"/>
      <c r="Y233" s="521"/>
      <c r="Z233" s="522"/>
    </row>
    <row r="234" spans="1:26" x14ac:dyDescent="0.3">
      <c r="A234" s="521"/>
      <c r="B234" s="521"/>
      <c r="C234" s="521"/>
      <c r="D234" s="521"/>
      <c r="E234" s="521"/>
      <c r="F234" s="521"/>
      <c r="G234" s="521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  <c r="W234" s="521"/>
      <c r="X234" s="521"/>
      <c r="Y234" s="521"/>
      <c r="Z234" s="522"/>
    </row>
    <row r="235" spans="1:26" x14ac:dyDescent="0.3">
      <c r="A235" s="521"/>
      <c r="B235" s="521"/>
      <c r="C235" s="521"/>
      <c r="D235" s="521"/>
      <c r="E235" s="521"/>
      <c r="F235" s="521"/>
      <c r="G235" s="521"/>
      <c r="H235" s="521"/>
      <c r="I235" s="521"/>
      <c r="J235" s="521"/>
      <c r="K235" s="521"/>
      <c r="L235" s="521"/>
      <c r="M235" s="521"/>
      <c r="N235" s="521"/>
      <c r="O235" s="521"/>
      <c r="P235" s="521"/>
      <c r="Q235" s="521"/>
      <c r="R235" s="521"/>
      <c r="S235" s="521"/>
      <c r="T235" s="521"/>
      <c r="U235" s="521"/>
      <c r="V235" s="521"/>
      <c r="W235" s="521"/>
      <c r="X235" s="521"/>
      <c r="Y235" s="521"/>
      <c r="Z235" s="522"/>
    </row>
    <row r="236" spans="1:26" x14ac:dyDescent="0.3">
      <c r="A236" s="521"/>
      <c r="B236" s="521"/>
      <c r="C236" s="521"/>
      <c r="D236" s="521"/>
      <c r="E236" s="521"/>
      <c r="F236" s="521"/>
      <c r="G236" s="521"/>
      <c r="H236" s="521"/>
      <c r="I236" s="521"/>
      <c r="J236" s="521"/>
      <c r="K236" s="521"/>
      <c r="L236" s="521"/>
      <c r="M236" s="521"/>
      <c r="N236" s="521"/>
      <c r="O236" s="521"/>
      <c r="P236" s="521"/>
      <c r="Q236" s="521"/>
      <c r="R236" s="521"/>
      <c r="S236" s="521"/>
      <c r="T236" s="521"/>
      <c r="U236" s="521"/>
      <c r="V236" s="521"/>
      <c r="W236" s="521"/>
      <c r="X236" s="521"/>
      <c r="Y236" s="521"/>
      <c r="Z236" s="522"/>
    </row>
    <row r="237" spans="1:26" x14ac:dyDescent="0.3">
      <c r="A237" s="521"/>
      <c r="B237" s="521"/>
      <c r="C237" s="521"/>
      <c r="D237" s="521"/>
      <c r="E237" s="521"/>
      <c r="F237" s="521"/>
      <c r="G237" s="521"/>
      <c r="H237" s="521"/>
      <c r="I237" s="521"/>
      <c r="J237" s="521"/>
      <c r="K237" s="521"/>
      <c r="L237" s="521"/>
      <c r="M237" s="521"/>
      <c r="N237" s="521"/>
      <c r="O237" s="521"/>
      <c r="P237" s="521"/>
      <c r="Q237" s="521"/>
      <c r="R237" s="521"/>
      <c r="S237" s="521"/>
      <c r="T237" s="521"/>
      <c r="U237" s="521"/>
      <c r="V237" s="521"/>
      <c r="W237" s="521"/>
      <c r="X237" s="521"/>
      <c r="Y237" s="521"/>
      <c r="Z237" s="522"/>
    </row>
    <row r="238" spans="1:26" x14ac:dyDescent="0.3">
      <c r="A238" s="521"/>
      <c r="B238" s="521"/>
      <c r="C238" s="521"/>
      <c r="D238" s="521"/>
      <c r="E238" s="521"/>
      <c r="F238" s="521"/>
      <c r="G238" s="521"/>
      <c r="H238" s="521"/>
      <c r="I238" s="521"/>
      <c r="J238" s="521"/>
      <c r="K238" s="521"/>
      <c r="L238" s="521"/>
      <c r="M238" s="521"/>
      <c r="N238" s="521"/>
      <c r="O238" s="521"/>
      <c r="P238" s="521"/>
      <c r="Q238" s="521"/>
      <c r="R238" s="521"/>
      <c r="S238" s="521"/>
      <c r="T238" s="521"/>
      <c r="U238" s="521"/>
      <c r="V238" s="521"/>
      <c r="W238" s="521"/>
      <c r="X238" s="521"/>
      <c r="Y238" s="521"/>
      <c r="Z238" s="522"/>
    </row>
    <row r="239" spans="1:26" x14ac:dyDescent="0.3">
      <c r="A239" s="521"/>
      <c r="B239" s="521"/>
      <c r="C239" s="521"/>
      <c r="D239" s="521"/>
      <c r="E239" s="521"/>
      <c r="F239" s="521"/>
      <c r="G239" s="521"/>
      <c r="H239" s="521"/>
      <c r="I239" s="521"/>
      <c r="J239" s="521"/>
      <c r="K239" s="521"/>
      <c r="L239" s="521"/>
      <c r="M239" s="521"/>
      <c r="N239" s="521"/>
      <c r="O239" s="521"/>
      <c r="P239" s="521"/>
      <c r="Q239" s="521"/>
      <c r="R239" s="521"/>
      <c r="S239" s="521"/>
      <c r="T239" s="521"/>
      <c r="U239" s="521"/>
      <c r="V239" s="521"/>
      <c r="W239" s="521"/>
      <c r="X239" s="521"/>
      <c r="Y239" s="521"/>
      <c r="Z239" s="522"/>
    </row>
    <row r="240" spans="1:26" x14ac:dyDescent="0.3">
      <c r="A240" s="521"/>
      <c r="B240" s="521"/>
      <c r="C240" s="521"/>
      <c r="D240" s="521"/>
      <c r="E240" s="521"/>
      <c r="F240" s="521"/>
      <c r="G240" s="521"/>
      <c r="H240" s="521"/>
      <c r="I240" s="521"/>
      <c r="J240" s="521"/>
      <c r="K240" s="521"/>
      <c r="L240" s="521"/>
      <c r="M240" s="521"/>
      <c r="N240" s="521"/>
      <c r="O240" s="521"/>
      <c r="P240" s="521"/>
      <c r="Q240" s="521"/>
      <c r="R240" s="521"/>
      <c r="S240" s="521"/>
      <c r="T240" s="521"/>
      <c r="U240" s="521"/>
      <c r="V240" s="521"/>
      <c r="W240" s="521"/>
      <c r="X240" s="521"/>
      <c r="Y240" s="521"/>
      <c r="Z240" s="522"/>
    </row>
    <row r="241" spans="1:26" x14ac:dyDescent="0.3">
      <c r="A241" s="521"/>
      <c r="B241" s="521"/>
      <c r="C241" s="521"/>
      <c r="D241" s="521"/>
      <c r="E241" s="521"/>
      <c r="F241" s="521"/>
      <c r="G241" s="521"/>
      <c r="H241" s="521"/>
      <c r="I241" s="521"/>
      <c r="J241" s="521"/>
      <c r="K241" s="521"/>
      <c r="L241" s="521"/>
      <c r="M241" s="521"/>
      <c r="N241" s="521"/>
      <c r="O241" s="521"/>
      <c r="P241" s="521"/>
      <c r="Q241" s="521"/>
      <c r="R241" s="521"/>
      <c r="S241" s="521"/>
      <c r="T241" s="521"/>
      <c r="U241" s="521"/>
      <c r="V241" s="521"/>
      <c r="W241" s="521"/>
      <c r="X241" s="521"/>
      <c r="Y241" s="521"/>
      <c r="Z241" s="522"/>
    </row>
    <row r="242" spans="1:26" x14ac:dyDescent="0.3">
      <c r="A242" s="521"/>
      <c r="B242" s="521"/>
      <c r="C242" s="521"/>
      <c r="D242" s="521"/>
      <c r="E242" s="521"/>
      <c r="F242" s="521"/>
      <c r="G242" s="521"/>
      <c r="H242" s="521"/>
      <c r="I242" s="521"/>
      <c r="J242" s="521"/>
      <c r="K242" s="521"/>
      <c r="L242" s="521"/>
      <c r="M242" s="521"/>
      <c r="N242" s="521"/>
      <c r="O242" s="521"/>
      <c r="P242" s="521"/>
      <c r="Q242" s="521"/>
      <c r="R242" s="521"/>
      <c r="S242" s="521"/>
      <c r="T242" s="521"/>
      <c r="U242" s="521"/>
      <c r="V242" s="521"/>
      <c r="W242" s="521"/>
      <c r="X242" s="521"/>
      <c r="Y242" s="521"/>
      <c r="Z242" s="522"/>
    </row>
    <row r="243" spans="1:26" x14ac:dyDescent="0.3">
      <c r="A243" s="521"/>
      <c r="B243" s="521"/>
      <c r="C243" s="521"/>
      <c r="D243" s="521"/>
      <c r="E243" s="521"/>
      <c r="F243" s="521"/>
      <c r="G243" s="521"/>
      <c r="H243" s="521"/>
      <c r="I243" s="521"/>
      <c r="J243" s="521"/>
      <c r="K243" s="521"/>
      <c r="L243" s="521"/>
      <c r="M243" s="521"/>
      <c r="N243" s="521"/>
      <c r="O243" s="521"/>
      <c r="P243" s="521"/>
      <c r="Q243" s="521"/>
      <c r="R243" s="521"/>
      <c r="S243" s="521"/>
      <c r="T243" s="521"/>
      <c r="U243" s="521"/>
      <c r="V243" s="521"/>
      <c r="W243" s="521"/>
      <c r="X243" s="521"/>
      <c r="Y243" s="521"/>
      <c r="Z243" s="522"/>
    </row>
    <row r="244" spans="1:26" x14ac:dyDescent="0.3">
      <c r="A244" s="521"/>
      <c r="B244" s="521"/>
      <c r="C244" s="521"/>
      <c r="D244" s="521"/>
      <c r="E244" s="521"/>
      <c r="F244" s="521"/>
      <c r="G244" s="521"/>
      <c r="H244" s="521"/>
      <c r="I244" s="521"/>
      <c r="J244" s="521"/>
      <c r="K244" s="521"/>
      <c r="L244" s="521"/>
      <c r="M244" s="521"/>
      <c r="N244" s="521"/>
      <c r="O244" s="521"/>
      <c r="P244" s="521"/>
      <c r="Q244" s="521"/>
      <c r="R244" s="521"/>
      <c r="S244" s="521"/>
      <c r="T244" s="521"/>
      <c r="U244" s="521"/>
      <c r="V244" s="521"/>
      <c r="W244" s="521"/>
      <c r="X244" s="521"/>
      <c r="Y244" s="521"/>
      <c r="Z244" s="522"/>
    </row>
    <row r="245" spans="1:26" x14ac:dyDescent="0.3">
      <c r="A245" s="521"/>
      <c r="B245" s="521"/>
      <c r="C245" s="521"/>
      <c r="D245" s="521"/>
      <c r="E245" s="521"/>
      <c r="F245" s="521"/>
      <c r="G245" s="521"/>
      <c r="H245" s="521"/>
      <c r="I245" s="521"/>
      <c r="J245" s="521"/>
      <c r="K245" s="521"/>
      <c r="L245" s="521"/>
      <c r="M245" s="521"/>
      <c r="N245" s="521"/>
      <c r="O245" s="521"/>
      <c r="P245" s="521"/>
      <c r="Q245" s="521"/>
      <c r="R245" s="521"/>
      <c r="S245" s="521"/>
      <c r="T245" s="521"/>
      <c r="U245" s="521"/>
      <c r="V245" s="521"/>
      <c r="W245" s="521"/>
      <c r="X245" s="521"/>
      <c r="Y245" s="521"/>
      <c r="Z245" s="522"/>
    </row>
    <row r="246" spans="1:26" x14ac:dyDescent="0.3">
      <c r="A246" s="521"/>
      <c r="B246" s="521"/>
      <c r="C246" s="521"/>
      <c r="D246" s="521"/>
      <c r="E246" s="521"/>
      <c r="F246" s="521"/>
      <c r="G246" s="521"/>
      <c r="H246" s="521"/>
      <c r="I246" s="521"/>
      <c r="J246" s="521"/>
      <c r="K246" s="521"/>
      <c r="L246" s="521"/>
      <c r="M246" s="521"/>
      <c r="N246" s="521"/>
      <c r="O246" s="521"/>
      <c r="P246" s="521"/>
      <c r="Q246" s="521"/>
      <c r="R246" s="521"/>
      <c r="S246" s="521"/>
      <c r="T246" s="521"/>
      <c r="U246" s="521"/>
      <c r="V246" s="521"/>
      <c r="W246" s="521"/>
      <c r="X246" s="521"/>
      <c r="Y246" s="521"/>
      <c r="Z246" s="522"/>
    </row>
    <row r="247" spans="1:26" x14ac:dyDescent="0.3">
      <c r="A247" s="521"/>
      <c r="B247" s="521"/>
      <c r="C247" s="521"/>
      <c r="D247" s="521"/>
      <c r="E247" s="521"/>
      <c r="F247" s="521"/>
      <c r="G247" s="521"/>
      <c r="H247" s="521"/>
      <c r="I247" s="521"/>
      <c r="J247" s="521"/>
      <c r="K247" s="521"/>
      <c r="L247" s="521"/>
      <c r="M247" s="521"/>
      <c r="N247" s="521"/>
      <c r="O247" s="521"/>
      <c r="P247" s="521"/>
      <c r="Q247" s="521"/>
      <c r="R247" s="521"/>
      <c r="S247" s="521"/>
      <c r="T247" s="521"/>
      <c r="U247" s="521"/>
      <c r="V247" s="521"/>
      <c r="W247" s="521"/>
      <c r="X247" s="521"/>
      <c r="Y247" s="521"/>
      <c r="Z247" s="522"/>
    </row>
    <row r="248" spans="1:26" x14ac:dyDescent="0.3">
      <c r="A248" s="521"/>
      <c r="B248" s="521"/>
      <c r="C248" s="521"/>
      <c r="D248" s="521"/>
      <c r="E248" s="521"/>
      <c r="F248" s="521"/>
      <c r="G248" s="521"/>
      <c r="H248" s="521"/>
      <c r="I248" s="521"/>
      <c r="J248" s="521"/>
      <c r="K248" s="521"/>
      <c r="L248" s="521"/>
      <c r="M248" s="521"/>
      <c r="N248" s="521"/>
      <c r="O248" s="521"/>
      <c r="P248" s="521"/>
      <c r="Q248" s="521"/>
      <c r="R248" s="521"/>
      <c r="S248" s="521"/>
      <c r="T248" s="521"/>
      <c r="U248" s="521"/>
      <c r="V248" s="521"/>
      <c r="W248" s="521"/>
      <c r="X248" s="521"/>
      <c r="Y248" s="521"/>
      <c r="Z248" s="522"/>
    </row>
    <row r="249" spans="1:26" x14ac:dyDescent="0.3">
      <c r="A249" s="521"/>
      <c r="B249" s="521"/>
      <c r="C249" s="521"/>
      <c r="D249" s="521"/>
      <c r="E249" s="521"/>
      <c r="F249" s="521"/>
      <c r="G249" s="521"/>
      <c r="H249" s="521"/>
      <c r="I249" s="521"/>
      <c r="J249" s="521"/>
      <c r="K249" s="521"/>
      <c r="L249" s="521"/>
      <c r="M249" s="521"/>
      <c r="N249" s="521"/>
      <c r="O249" s="521"/>
      <c r="P249" s="521"/>
      <c r="Q249" s="521"/>
      <c r="R249" s="521"/>
      <c r="S249" s="521"/>
      <c r="T249" s="521"/>
      <c r="U249" s="521"/>
      <c r="V249" s="521"/>
      <c r="W249" s="521"/>
      <c r="X249" s="521"/>
      <c r="Y249" s="521"/>
      <c r="Z249" s="522"/>
    </row>
    <row r="250" spans="1:26" x14ac:dyDescent="0.3">
      <c r="A250" s="521"/>
      <c r="B250" s="521"/>
      <c r="C250" s="521"/>
      <c r="D250" s="521"/>
      <c r="E250" s="521"/>
      <c r="F250" s="521"/>
      <c r="G250" s="521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1"/>
      <c r="U250" s="521"/>
      <c r="V250" s="521"/>
      <c r="W250" s="521"/>
      <c r="X250" s="521"/>
      <c r="Y250" s="521"/>
      <c r="Z250" s="522"/>
    </row>
    <row r="251" spans="1:26" x14ac:dyDescent="0.3">
      <c r="A251" s="521"/>
      <c r="B251" s="521"/>
      <c r="C251" s="521"/>
      <c r="D251" s="521"/>
      <c r="E251" s="521"/>
      <c r="F251" s="521"/>
      <c r="G251" s="521"/>
      <c r="H251" s="521"/>
      <c r="I251" s="521"/>
      <c r="J251" s="521"/>
      <c r="K251" s="521"/>
      <c r="L251" s="521"/>
      <c r="M251" s="521"/>
      <c r="N251" s="521"/>
      <c r="O251" s="521"/>
      <c r="P251" s="521"/>
      <c r="Q251" s="521"/>
      <c r="R251" s="521"/>
      <c r="S251" s="521"/>
      <c r="T251" s="521"/>
      <c r="U251" s="521"/>
      <c r="V251" s="521"/>
      <c r="W251" s="521"/>
      <c r="X251" s="521"/>
      <c r="Y251" s="521"/>
      <c r="Z251" s="522"/>
    </row>
    <row r="252" spans="1:26" x14ac:dyDescent="0.3">
      <c r="A252" s="521"/>
      <c r="B252" s="521"/>
      <c r="C252" s="521"/>
      <c r="D252" s="521"/>
      <c r="E252" s="521"/>
      <c r="F252" s="521"/>
      <c r="G252" s="521"/>
      <c r="H252" s="521"/>
      <c r="I252" s="521"/>
      <c r="J252" s="521"/>
      <c r="K252" s="521"/>
      <c r="L252" s="521"/>
      <c r="M252" s="521"/>
      <c r="N252" s="521"/>
      <c r="O252" s="521"/>
      <c r="P252" s="521"/>
      <c r="Q252" s="521"/>
      <c r="R252" s="521"/>
      <c r="S252" s="521"/>
      <c r="T252" s="521"/>
      <c r="U252" s="521"/>
      <c r="V252" s="521"/>
      <c r="W252" s="521"/>
      <c r="X252" s="521"/>
      <c r="Y252" s="521"/>
      <c r="Z252" s="522"/>
    </row>
    <row r="253" spans="1:26" x14ac:dyDescent="0.3">
      <c r="A253" s="521"/>
      <c r="B253" s="521"/>
      <c r="C253" s="521"/>
      <c r="D253" s="521"/>
      <c r="E253" s="521"/>
      <c r="F253" s="521"/>
      <c r="G253" s="521"/>
      <c r="H253" s="521"/>
      <c r="I253" s="521"/>
      <c r="J253" s="521"/>
      <c r="K253" s="521"/>
      <c r="L253" s="521"/>
      <c r="M253" s="521"/>
      <c r="N253" s="521"/>
      <c r="O253" s="521"/>
      <c r="P253" s="521"/>
      <c r="Q253" s="521"/>
      <c r="R253" s="521"/>
      <c r="S253" s="521"/>
      <c r="T253" s="521"/>
      <c r="U253" s="521"/>
      <c r="V253" s="521"/>
      <c r="W253" s="521"/>
      <c r="X253" s="521"/>
      <c r="Y253" s="521"/>
      <c r="Z253" s="522"/>
    </row>
    <row r="254" spans="1:26" x14ac:dyDescent="0.3">
      <c r="A254" s="521"/>
      <c r="B254" s="521"/>
      <c r="C254" s="521"/>
      <c r="D254" s="521"/>
      <c r="E254" s="521"/>
      <c r="F254" s="521"/>
      <c r="G254" s="521"/>
      <c r="H254" s="521"/>
      <c r="I254" s="521"/>
      <c r="J254" s="521"/>
      <c r="K254" s="521"/>
      <c r="L254" s="521"/>
      <c r="M254" s="521"/>
      <c r="N254" s="521"/>
      <c r="O254" s="521"/>
      <c r="P254" s="521"/>
      <c r="Q254" s="521"/>
      <c r="R254" s="521"/>
      <c r="S254" s="521"/>
      <c r="T254" s="521"/>
      <c r="U254" s="521"/>
      <c r="V254" s="521"/>
      <c r="W254" s="521"/>
      <c r="X254" s="521"/>
      <c r="Y254" s="521"/>
      <c r="Z254" s="522"/>
    </row>
    <row r="255" spans="1:26" x14ac:dyDescent="0.3">
      <c r="A255" s="521"/>
      <c r="B255" s="521"/>
      <c r="C255" s="521"/>
      <c r="D255" s="521"/>
      <c r="E255" s="521"/>
      <c r="F255" s="521"/>
      <c r="G255" s="521"/>
      <c r="H255" s="521"/>
      <c r="I255" s="521"/>
      <c r="J255" s="521"/>
      <c r="K255" s="521"/>
      <c r="L255" s="521"/>
      <c r="M255" s="521"/>
      <c r="N255" s="521"/>
      <c r="O255" s="521"/>
      <c r="P255" s="521"/>
      <c r="Q255" s="521"/>
      <c r="R255" s="521"/>
      <c r="S255" s="521"/>
      <c r="T255" s="521"/>
      <c r="U255" s="521"/>
      <c r="V255" s="521"/>
      <c r="W255" s="521"/>
      <c r="X255" s="521"/>
      <c r="Y255" s="521"/>
      <c r="Z255" s="522"/>
    </row>
    <row r="256" spans="1:26" x14ac:dyDescent="0.3">
      <c r="A256" s="521"/>
      <c r="B256" s="521"/>
      <c r="C256" s="521"/>
      <c r="D256" s="521"/>
      <c r="E256" s="521"/>
      <c r="F256" s="521"/>
      <c r="G256" s="521"/>
      <c r="H256" s="521"/>
      <c r="I256" s="521"/>
      <c r="J256" s="521"/>
      <c r="K256" s="521"/>
      <c r="L256" s="521"/>
      <c r="M256" s="521"/>
      <c r="N256" s="521"/>
      <c r="O256" s="521"/>
      <c r="P256" s="521"/>
      <c r="Q256" s="521"/>
      <c r="R256" s="521"/>
      <c r="S256" s="521"/>
      <c r="T256" s="521"/>
      <c r="U256" s="521"/>
      <c r="V256" s="521"/>
      <c r="W256" s="521"/>
      <c r="X256" s="521"/>
      <c r="Y256" s="521"/>
      <c r="Z256" s="522"/>
    </row>
    <row r="257" spans="1:26" x14ac:dyDescent="0.3">
      <c r="A257" s="521"/>
      <c r="B257" s="521"/>
      <c r="C257" s="521"/>
      <c r="D257" s="521"/>
      <c r="E257" s="521"/>
      <c r="F257" s="521"/>
      <c r="G257" s="521"/>
      <c r="H257" s="521"/>
      <c r="I257" s="521"/>
      <c r="J257" s="521"/>
      <c r="K257" s="521"/>
      <c r="L257" s="521"/>
      <c r="M257" s="521"/>
      <c r="N257" s="521"/>
      <c r="O257" s="521"/>
      <c r="P257" s="521"/>
      <c r="Q257" s="521"/>
      <c r="R257" s="521"/>
      <c r="S257" s="521"/>
      <c r="T257" s="521"/>
      <c r="U257" s="521"/>
      <c r="V257" s="521"/>
      <c r="W257" s="521"/>
      <c r="X257" s="521"/>
      <c r="Y257" s="521"/>
      <c r="Z257" s="522"/>
    </row>
    <row r="258" spans="1:26" x14ac:dyDescent="0.3">
      <c r="A258" s="521"/>
      <c r="B258" s="521"/>
      <c r="C258" s="521"/>
      <c r="D258" s="521"/>
      <c r="E258" s="521"/>
      <c r="F258" s="521"/>
      <c r="G258" s="521"/>
      <c r="H258" s="521"/>
      <c r="I258" s="521"/>
      <c r="J258" s="521"/>
      <c r="K258" s="521"/>
      <c r="L258" s="521"/>
      <c r="M258" s="521"/>
      <c r="N258" s="521"/>
      <c r="O258" s="521"/>
      <c r="P258" s="521"/>
      <c r="Q258" s="521"/>
      <c r="R258" s="521"/>
      <c r="S258" s="521"/>
      <c r="T258" s="521"/>
      <c r="U258" s="521"/>
      <c r="V258" s="521"/>
      <c r="W258" s="521"/>
      <c r="X258" s="521"/>
      <c r="Y258" s="521"/>
      <c r="Z258" s="522"/>
    </row>
    <row r="259" spans="1:26" x14ac:dyDescent="0.3">
      <c r="A259" s="521"/>
      <c r="B259" s="521"/>
      <c r="C259" s="521"/>
      <c r="D259" s="521"/>
      <c r="E259" s="521"/>
      <c r="F259" s="521"/>
      <c r="G259" s="521"/>
      <c r="H259" s="521"/>
      <c r="I259" s="521"/>
      <c r="J259" s="521"/>
      <c r="K259" s="521"/>
      <c r="L259" s="521"/>
      <c r="M259" s="521"/>
      <c r="N259" s="521"/>
      <c r="O259" s="521"/>
      <c r="P259" s="521"/>
      <c r="Q259" s="521"/>
      <c r="R259" s="521"/>
      <c r="S259" s="521"/>
      <c r="T259" s="521"/>
      <c r="U259" s="521"/>
      <c r="V259" s="521"/>
      <c r="W259" s="521"/>
      <c r="X259" s="521"/>
      <c r="Y259" s="521"/>
      <c r="Z259" s="522"/>
    </row>
    <row r="260" spans="1:26" x14ac:dyDescent="0.3">
      <c r="A260" s="521"/>
      <c r="B260" s="521"/>
      <c r="C260" s="521"/>
      <c r="D260" s="521"/>
      <c r="E260" s="521"/>
      <c r="F260" s="521"/>
      <c r="G260" s="521"/>
      <c r="H260" s="521"/>
      <c r="I260" s="521"/>
      <c r="J260" s="521"/>
      <c r="K260" s="521"/>
      <c r="L260" s="521"/>
      <c r="M260" s="521"/>
      <c r="N260" s="521"/>
      <c r="O260" s="521"/>
      <c r="P260" s="521"/>
      <c r="Q260" s="521"/>
      <c r="R260" s="521"/>
      <c r="S260" s="521"/>
      <c r="T260" s="521"/>
      <c r="U260" s="521"/>
      <c r="V260" s="521"/>
      <c r="W260" s="521"/>
      <c r="X260" s="521"/>
      <c r="Y260" s="521"/>
      <c r="Z260" s="522"/>
    </row>
    <row r="261" spans="1:26" x14ac:dyDescent="0.3">
      <c r="A261" s="521"/>
      <c r="B261" s="521"/>
      <c r="C261" s="521"/>
      <c r="D261" s="521"/>
      <c r="E261" s="521"/>
      <c r="F261" s="521"/>
      <c r="G261" s="521"/>
      <c r="H261" s="521"/>
      <c r="I261" s="521"/>
      <c r="J261" s="521"/>
      <c r="K261" s="521"/>
      <c r="L261" s="521"/>
      <c r="M261" s="521"/>
      <c r="N261" s="521"/>
      <c r="O261" s="521"/>
      <c r="P261" s="521"/>
      <c r="Q261" s="521"/>
      <c r="R261" s="521"/>
      <c r="S261" s="521"/>
      <c r="T261" s="521"/>
      <c r="U261" s="521"/>
      <c r="V261" s="521"/>
      <c r="W261" s="521"/>
      <c r="X261" s="521"/>
      <c r="Y261" s="521"/>
      <c r="Z261" s="522"/>
    </row>
    <row r="262" spans="1:26" x14ac:dyDescent="0.3">
      <c r="A262" s="521"/>
      <c r="B262" s="521"/>
      <c r="C262" s="521"/>
      <c r="D262" s="521"/>
      <c r="E262" s="521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P262" s="521"/>
      <c r="Q262" s="521"/>
      <c r="R262" s="521"/>
      <c r="S262" s="521"/>
      <c r="T262" s="521"/>
      <c r="U262" s="521"/>
      <c r="V262" s="521"/>
      <c r="W262" s="521"/>
      <c r="X262" s="521"/>
      <c r="Y262" s="521"/>
      <c r="Z262" s="522"/>
    </row>
    <row r="263" spans="1:26" x14ac:dyDescent="0.3">
      <c r="A263" s="521"/>
      <c r="B263" s="521"/>
      <c r="C263" s="521"/>
      <c r="D263" s="521"/>
      <c r="E263" s="521"/>
      <c r="F263" s="521"/>
      <c r="G263" s="521"/>
      <c r="H263" s="521"/>
      <c r="I263" s="521"/>
      <c r="J263" s="521"/>
      <c r="K263" s="521"/>
      <c r="L263" s="521"/>
      <c r="M263" s="521"/>
      <c r="N263" s="521"/>
      <c r="O263" s="521"/>
      <c r="P263" s="521"/>
      <c r="Q263" s="521"/>
      <c r="R263" s="521"/>
      <c r="S263" s="521"/>
      <c r="T263" s="521"/>
      <c r="U263" s="521"/>
      <c r="V263" s="521"/>
      <c r="W263" s="521"/>
      <c r="X263" s="521"/>
      <c r="Y263" s="521"/>
      <c r="Z263" s="522"/>
    </row>
    <row r="264" spans="1:26" x14ac:dyDescent="0.3">
      <c r="A264" s="521"/>
      <c r="B264" s="521"/>
      <c r="C264" s="521"/>
      <c r="D264" s="521"/>
      <c r="E264" s="521"/>
      <c r="F264" s="521"/>
      <c r="G264" s="521"/>
      <c r="H264" s="521"/>
      <c r="I264" s="521"/>
      <c r="J264" s="521"/>
      <c r="K264" s="521"/>
      <c r="L264" s="521"/>
      <c r="M264" s="521"/>
      <c r="N264" s="521"/>
      <c r="O264" s="521"/>
      <c r="P264" s="521"/>
      <c r="Q264" s="521"/>
      <c r="R264" s="521"/>
      <c r="S264" s="521"/>
      <c r="T264" s="521"/>
      <c r="U264" s="521"/>
      <c r="V264" s="521"/>
      <c r="W264" s="521"/>
      <c r="X264" s="521"/>
      <c r="Y264" s="521"/>
      <c r="Z264" s="522"/>
    </row>
    <row r="265" spans="1:26" x14ac:dyDescent="0.3">
      <c r="A265" s="521"/>
      <c r="B265" s="521"/>
      <c r="C265" s="521"/>
      <c r="D265" s="521"/>
      <c r="E265" s="521"/>
      <c r="F265" s="521"/>
      <c r="G265" s="521"/>
      <c r="H265" s="521"/>
      <c r="I265" s="521"/>
      <c r="J265" s="521"/>
      <c r="K265" s="521"/>
      <c r="L265" s="521"/>
      <c r="M265" s="521"/>
      <c r="N265" s="521"/>
      <c r="O265" s="521"/>
      <c r="P265" s="521"/>
      <c r="Q265" s="521"/>
      <c r="R265" s="521"/>
      <c r="S265" s="521"/>
      <c r="T265" s="521"/>
      <c r="U265" s="521"/>
      <c r="V265" s="521"/>
      <c r="W265" s="521"/>
      <c r="X265" s="521"/>
      <c r="Y265" s="521"/>
      <c r="Z265" s="522"/>
    </row>
    <row r="266" spans="1:26" x14ac:dyDescent="0.3">
      <c r="A266" s="521"/>
      <c r="B266" s="521"/>
      <c r="C266" s="521"/>
      <c r="D266" s="521"/>
      <c r="E266" s="521"/>
      <c r="F266" s="521"/>
      <c r="G266" s="521"/>
      <c r="H266" s="521"/>
      <c r="I266" s="521"/>
      <c r="J266" s="521"/>
      <c r="K266" s="521"/>
      <c r="L266" s="521"/>
      <c r="M266" s="521"/>
      <c r="N266" s="521"/>
      <c r="O266" s="521"/>
      <c r="P266" s="521"/>
      <c r="Q266" s="521"/>
      <c r="R266" s="521"/>
      <c r="S266" s="521"/>
      <c r="T266" s="521"/>
      <c r="U266" s="521"/>
      <c r="V266" s="521"/>
      <c r="W266" s="521"/>
      <c r="X266" s="521"/>
      <c r="Y266" s="521"/>
      <c r="Z266" s="522"/>
    </row>
    <row r="267" spans="1:26" x14ac:dyDescent="0.3">
      <c r="A267" s="521"/>
      <c r="B267" s="521"/>
      <c r="C267" s="521"/>
      <c r="D267" s="521"/>
      <c r="E267" s="521"/>
      <c r="F267" s="521"/>
      <c r="G267" s="521"/>
      <c r="H267" s="521"/>
      <c r="I267" s="521"/>
      <c r="J267" s="521"/>
      <c r="K267" s="521"/>
      <c r="L267" s="521"/>
      <c r="M267" s="521"/>
      <c r="N267" s="521"/>
      <c r="O267" s="521"/>
      <c r="P267" s="521"/>
      <c r="Q267" s="521"/>
      <c r="R267" s="521"/>
      <c r="S267" s="521"/>
      <c r="T267" s="521"/>
      <c r="U267" s="521"/>
      <c r="V267" s="521"/>
      <c r="W267" s="521"/>
      <c r="X267" s="521"/>
      <c r="Y267" s="521"/>
      <c r="Z267" s="522"/>
    </row>
    <row r="268" spans="1:26" x14ac:dyDescent="0.3">
      <c r="A268" s="521"/>
      <c r="B268" s="521"/>
      <c r="C268" s="521"/>
      <c r="D268" s="521"/>
      <c r="E268" s="521"/>
      <c r="F268" s="521"/>
      <c r="G268" s="521"/>
      <c r="H268" s="521"/>
      <c r="I268" s="521"/>
      <c r="J268" s="521"/>
      <c r="K268" s="521"/>
      <c r="L268" s="521"/>
      <c r="M268" s="521"/>
      <c r="N268" s="521"/>
      <c r="O268" s="521"/>
      <c r="P268" s="521"/>
      <c r="Q268" s="521"/>
      <c r="R268" s="521"/>
      <c r="S268" s="521"/>
      <c r="T268" s="521"/>
      <c r="U268" s="521"/>
      <c r="V268" s="521"/>
      <c r="W268" s="521"/>
      <c r="X268" s="521"/>
      <c r="Y268" s="521"/>
      <c r="Z268" s="522"/>
    </row>
    <row r="269" spans="1:26" x14ac:dyDescent="0.3">
      <c r="A269" s="521"/>
      <c r="B269" s="521"/>
      <c r="C269" s="521"/>
      <c r="D269" s="521"/>
      <c r="E269" s="521"/>
      <c r="F269" s="521"/>
      <c r="G269" s="521"/>
      <c r="H269" s="521"/>
      <c r="I269" s="521"/>
      <c r="J269" s="521"/>
      <c r="K269" s="521"/>
      <c r="L269" s="521"/>
      <c r="M269" s="521"/>
      <c r="N269" s="521"/>
      <c r="O269" s="521"/>
      <c r="P269" s="521"/>
      <c r="Q269" s="521"/>
      <c r="R269" s="521"/>
      <c r="S269" s="521"/>
      <c r="T269" s="521"/>
      <c r="U269" s="521"/>
      <c r="V269" s="521"/>
      <c r="W269" s="521"/>
      <c r="X269" s="521"/>
      <c r="Y269" s="521"/>
      <c r="Z269" s="522"/>
    </row>
    <row r="270" spans="1:26" x14ac:dyDescent="0.3">
      <c r="A270" s="521"/>
      <c r="B270" s="521"/>
      <c r="C270" s="521"/>
      <c r="D270" s="521"/>
      <c r="E270" s="521"/>
      <c r="F270" s="521"/>
      <c r="G270" s="521"/>
      <c r="H270" s="521"/>
      <c r="I270" s="521"/>
      <c r="J270" s="521"/>
      <c r="K270" s="521"/>
      <c r="L270" s="521"/>
      <c r="M270" s="521"/>
      <c r="N270" s="521"/>
      <c r="O270" s="521"/>
      <c r="P270" s="521"/>
      <c r="Q270" s="521"/>
      <c r="R270" s="521"/>
      <c r="S270" s="521"/>
      <c r="T270" s="521"/>
      <c r="U270" s="521"/>
      <c r="V270" s="521"/>
      <c r="W270" s="521"/>
      <c r="X270" s="521"/>
      <c r="Y270" s="521"/>
      <c r="Z270" s="522"/>
    </row>
    <row r="271" spans="1:26" x14ac:dyDescent="0.3">
      <c r="A271" s="521"/>
      <c r="B271" s="521"/>
      <c r="C271" s="521"/>
      <c r="D271" s="521"/>
      <c r="E271" s="521"/>
      <c r="F271" s="521"/>
      <c r="G271" s="521"/>
      <c r="H271" s="521"/>
      <c r="I271" s="521"/>
      <c r="J271" s="521"/>
      <c r="K271" s="521"/>
      <c r="L271" s="521"/>
      <c r="M271" s="521"/>
      <c r="N271" s="521"/>
      <c r="O271" s="521"/>
      <c r="P271" s="521"/>
      <c r="Q271" s="521"/>
      <c r="R271" s="521"/>
      <c r="S271" s="521"/>
      <c r="T271" s="521"/>
      <c r="U271" s="521"/>
      <c r="V271" s="521"/>
      <c r="W271" s="521"/>
      <c r="X271" s="521"/>
      <c r="Y271" s="521"/>
      <c r="Z271" s="522"/>
    </row>
    <row r="272" spans="1:26" x14ac:dyDescent="0.3">
      <c r="A272" s="521"/>
      <c r="B272" s="521"/>
      <c r="C272" s="521"/>
      <c r="D272" s="521"/>
      <c r="E272" s="521"/>
      <c r="F272" s="521"/>
      <c r="G272" s="521"/>
      <c r="H272" s="521"/>
      <c r="I272" s="521"/>
      <c r="J272" s="521"/>
      <c r="K272" s="521"/>
      <c r="L272" s="521"/>
      <c r="M272" s="521"/>
      <c r="N272" s="521"/>
      <c r="O272" s="521"/>
      <c r="P272" s="521"/>
      <c r="Q272" s="521"/>
      <c r="R272" s="521"/>
      <c r="S272" s="521"/>
      <c r="T272" s="521"/>
      <c r="U272" s="521"/>
      <c r="V272" s="521"/>
      <c r="W272" s="521"/>
      <c r="X272" s="521"/>
      <c r="Y272" s="521"/>
      <c r="Z272" s="522"/>
    </row>
    <row r="273" spans="1:26" x14ac:dyDescent="0.3">
      <c r="A273" s="521"/>
      <c r="B273" s="521"/>
      <c r="C273" s="521"/>
      <c r="D273" s="521"/>
      <c r="E273" s="521"/>
      <c r="F273" s="521"/>
      <c r="G273" s="521"/>
      <c r="H273" s="521"/>
      <c r="I273" s="521"/>
      <c r="J273" s="521"/>
      <c r="K273" s="521"/>
      <c r="L273" s="521"/>
      <c r="M273" s="521"/>
      <c r="N273" s="521"/>
      <c r="O273" s="521"/>
      <c r="P273" s="521"/>
      <c r="Q273" s="521"/>
      <c r="R273" s="521"/>
      <c r="S273" s="521"/>
      <c r="T273" s="521"/>
      <c r="U273" s="521"/>
      <c r="V273" s="521"/>
      <c r="W273" s="521"/>
      <c r="X273" s="521"/>
      <c r="Y273" s="521"/>
      <c r="Z273" s="522"/>
    </row>
    <row r="274" spans="1:26" x14ac:dyDescent="0.3">
      <c r="A274" s="521"/>
      <c r="B274" s="521"/>
      <c r="C274" s="521"/>
      <c r="D274" s="521"/>
      <c r="E274" s="521"/>
      <c r="F274" s="521"/>
      <c r="G274" s="521"/>
      <c r="H274" s="521"/>
      <c r="I274" s="521"/>
      <c r="J274" s="521"/>
      <c r="K274" s="521"/>
      <c r="L274" s="521"/>
      <c r="M274" s="521"/>
      <c r="N274" s="521"/>
      <c r="O274" s="521"/>
      <c r="P274" s="521"/>
      <c r="Q274" s="521"/>
      <c r="R274" s="521"/>
      <c r="S274" s="521"/>
      <c r="T274" s="521"/>
      <c r="U274" s="521"/>
      <c r="V274" s="521"/>
      <c r="W274" s="521"/>
      <c r="X274" s="521"/>
      <c r="Y274" s="521"/>
      <c r="Z274" s="522"/>
    </row>
    <row r="275" spans="1:26" x14ac:dyDescent="0.3">
      <c r="A275" s="521"/>
      <c r="B275" s="521"/>
      <c r="C275" s="521"/>
      <c r="D275" s="521"/>
      <c r="E275" s="521"/>
      <c r="F275" s="521"/>
      <c r="G275" s="521"/>
      <c r="H275" s="521"/>
      <c r="I275" s="521"/>
      <c r="J275" s="521"/>
      <c r="K275" s="521"/>
      <c r="L275" s="521"/>
      <c r="M275" s="521"/>
      <c r="N275" s="521"/>
      <c r="O275" s="521"/>
      <c r="P275" s="521"/>
      <c r="Q275" s="521"/>
      <c r="R275" s="521"/>
      <c r="S275" s="521"/>
      <c r="T275" s="521"/>
      <c r="U275" s="521"/>
      <c r="V275" s="521"/>
      <c r="W275" s="521"/>
      <c r="X275" s="521"/>
      <c r="Y275" s="521"/>
      <c r="Z275" s="522"/>
    </row>
    <row r="276" spans="1:26" x14ac:dyDescent="0.3">
      <c r="A276" s="521"/>
      <c r="B276" s="521"/>
      <c r="C276" s="521"/>
      <c r="D276" s="521"/>
      <c r="E276" s="521"/>
      <c r="F276" s="521"/>
      <c r="G276" s="521"/>
      <c r="H276" s="521"/>
      <c r="I276" s="521"/>
      <c r="J276" s="521"/>
      <c r="K276" s="521"/>
      <c r="L276" s="521"/>
      <c r="M276" s="521"/>
      <c r="N276" s="521"/>
      <c r="O276" s="521"/>
      <c r="P276" s="521"/>
      <c r="Q276" s="521"/>
      <c r="R276" s="521"/>
      <c r="S276" s="521"/>
      <c r="T276" s="521"/>
      <c r="U276" s="521"/>
      <c r="V276" s="521"/>
      <c r="W276" s="521"/>
      <c r="X276" s="521"/>
      <c r="Y276" s="521"/>
      <c r="Z276" s="522"/>
    </row>
    <row r="277" spans="1:26" x14ac:dyDescent="0.3">
      <c r="A277" s="521"/>
      <c r="B277" s="521"/>
      <c r="C277" s="521"/>
      <c r="D277" s="521"/>
      <c r="E277" s="521"/>
      <c r="F277" s="521"/>
      <c r="G277" s="521"/>
      <c r="H277" s="521"/>
      <c r="I277" s="521"/>
      <c r="J277" s="521"/>
      <c r="K277" s="521"/>
      <c r="L277" s="521"/>
      <c r="M277" s="521"/>
      <c r="N277" s="521"/>
      <c r="O277" s="521"/>
      <c r="P277" s="521"/>
      <c r="Q277" s="521"/>
      <c r="R277" s="521"/>
      <c r="S277" s="521"/>
      <c r="T277" s="521"/>
      <c r="U277" s="521"/>
      <c r="V277" s="521"/>
      <c r="W277" s="521"/>
      <c r="X277" s="521"/>
      <c r="Y277" s="521"/>
      <c r="Z277" s="522"/>
    </row>
    <row r="278" spans="1:26" x14ac:dyDescent="0.3">
      <c r="A278" s="521"/>
      <c r="B278" s="521"/>
      <c r="C278" s="521"/>
      <c r="D278" s="521"/>
      <c r="E278" s="521"/>
      <c r="F278" s="521"/>
      <c r="G278" s="521"/>
      <c r="H278" s="521"/>
      <c r="I278" s="521"/>
      <c r="J278" s="521"/>
      <c r="K278" s="521"/>
      <c r="L278" s="521"/>
      <c r="M278" s="521"/>
      <c r="N278" s="521"/>
      <c r="O278" s="521"/>
      <c r="P278" s="521"/>
      <c r="Q278" s="521"/>
      <c r="R278" s="521"/>
      <c r="S278" s="521"/>
      <c r="T278" s="521"/>
      <c r="U278" s="521"/>
      <c r="V278" s="521"/>
      <c r="W278" s="521"/>
      <c r="X278" s="521"/>
      <c r="Y278" s="521"/>
      <c r="Z278" s="522"/>
    </row>
    <row r="279" spans="1:26" x14ac:dyDescent="0.3">
      <c r="A279" s="521"/>
      <c r="B279" s="521"/>
      <c r="C279" s="521"/>
      <c r="D279" s="521"/>
      <c r="E279" s="521"/>
      <c r="F279" s="521"/>
      <c r="G279" s="521"/>
      <c r="H279" s="521"/>
      <c r="I279" s="521"/>
      <c r="J279" s="521"/>
      <c r="K279" s="521"/>
      <c r="L279" s="521"/>
      <c r="M279" s="521"/>
      <c r="N279" s="521"/>
      <c r="O279" s="521"/>
      <c r="P279" s="521"/>
      <c r="Q279" s="521"/>
      <c r="R279" s="521"/>
      <c r="S279" s="521"/>
      <c r="T279" s="521"/>
      <c r="U279" s="521"/>
      <c r="V279" s="521"/>
      <c r="W279" s="521"/>
      <c r="X279" s="521"/>
      <c r="Y279" s="521"/>
      <c r="Z279" s="522"/>
    </row>
    <row r="280" spans="1:26" x14ac:dyDescent="0.3">
      <c r="A280" s="521"/>
      <c r="B280" s="521"/>
      <c r="C280" s="521"/>
      <c r="D280" s="521"/>
      <c r="E280" s="521"/>
      <c r="F280" s="521"/>
      <c r="G280" s="521"/>
      <c r="H280" s="521"/>
      <c r="I280" s="521"/>
      <c r="J280" s="521"/>
      <c r="K280" s="521"/>
      <c r="L280" s="521"/>
      <c r="M280" s="521"/>
      <c r="N280" s="521"/>
      <c r="O280" s="521"/>
      <c r="P280" s="521"/>
      <c r="Q280" s="521"/>
      <c r="R280" s="521"/>
      <c r="S280" s="521"/>
      <c r="T280" s="521"/>
      <c r="U280" s="521"/>
      <c r="V280" s="521"/>
      <c r="W280" s="521"/>
      <c r="X280" s="521"/>
      <c r="Y280" s="521"/>
      <c r="Z280" s="522"/>
    </row>
    <row r="281" spans="1:26" x14ac:dyDescent="0.3">
      <c r="A281" s="521"/>
      <c r="B281" s="521"/>
      <c r="C281" s="521"/>
      <c r="D281" s="521"/>
      <c r="E281" s="521"/>
      <c r="F281" s="521"/>
      <c r="G281" s="521"/>
      <c r="H281" s="521"/>
      <c r="I281" s="521"/>
      <c r="J281" s="521"/>
      <c r="K281" s="521"/>
      <c r="L281" s="521"/>
      <c r="M281" s="521"/>
      <c r="N281" s="521"/>
      <c r="O281" s="521"/>
      <c r="P281" s="521"/>
      <c r="Q281" s="521"/>
      <c r="R281" s="521"/>
      <c r="S281" s="521"/>
      <c r="T281" s="521"/>
      <c r="U281" s="521"/>
      <c r="V281" s="521"/>
      <c r="W281" s="521"/>
      <c r="X281" s="521"/>
      <c r="Y281" s="521"/>
      <c r="Z281" s="522"/>
    </row>
    <row r="282" spans="1:26" x14ac:dyDescent="0.3">
      <c r="A282" s="521"/>
      <c r="B282" s="521"/>
      <c r="C282" s="521"/>
      <c r="D282" s="521"/>
      <c r="E282" s="521"/>
      <c r="F282" s="521"/>
      <c r="G282" s="521"/>
      <c r="H282" s="521"/>
      <c r="I282" s="521"/>
      <c r="J282" s="521"/>
      <c r="K282" s="521"/>
      <c r="L282" s="521"/>
      <c r="M282" s="521"/>
      <c r="N282" s="521"/>
      <c r="O282" s="521"/>
      <c r="P282" s="521"/>
      <c r="Q282" s="521"/>
      <c r="R282" s="521"/>
      <c r="S282" s="521"/>
      <c r="T282" s="521"/>
      <c r="U282" s="521"/>
      <c r="V282" s="521"/>
      <c r="W282" s="521"/>
      <c r="X282" s="521"/>
      <c r="Y282" s="521"/>
      <c r="Z282" s="522"/>
    </row>
    <row r="283" spans="1:26" x14ac:dyDescent="0.3">
      <c r="A283" s="521"/>
      <c r="B283" s="521"/>
      <c r="C283" s="521"/>
      <c r="D283" s="521"/>
      <c r="E283" s="521"/>
      <c r="F283" s="521"/>
      <c r="G283" s="521"/>
      <c r="H283" s="521"/>
      <c r="I283" s="521"/>
      <c r="J283" s="521"/>
      <c r="K283" s="521"/>
      <c r="L283" s="521"/>
      <c r="M283" s="521"/>
      <c r="N283" s="521"/>
      <c r="O283" s="521"/>
      <c r="P283" s="521"/>
      <c r="Q283" s="521"/>
      <c r="R283" s="521"/>
      <c r="S283" s="521"/>
      <c r="T283" s="521"/>
      <c r="U283" s="521"/>
      <c r="V283" s="521"/>
      <c r="W283" s="521"/>
      <c r="X283" s="521"/>
      <c r="Y283" s="521"/>
      <c r="Z283" s="522"/>
    </row>
    <row r="284" spans="1:26" x14ac:dyDescent="0.3">
      <c r="A284" s="521"/>
      <c r="B284" s="521"/>
      <c r="C284" s="521"/>
      <c r="D284" s="521"/>
      <c r="E284" s="521"/>
      <c r="F284" s="521"/>
      <c r="G284" s="521"/>
      <c r="H284" s="521"/>
      <c r="I284" s="521"/>
      <c r="J284" s="521"/>
      <c r="K284" s="521"/>
      <c r="L284" s="521"/>
      <c r="M284" s="521"/>
      <c r="N284" s="521"/>
      <c r="O284" s="521"/>
      <c r="P284" s="521"/>
      <c r="Q284" s="521"/>
      <c r="R284" s="521"/>
      <c r="S284" s="521"/>
      <c r="T284" s="521"/>
      <c r="U284" s="521"/>
      <c r="V284" s="521"/>
      <c r="W284" s="521"/>
      <c r="X284" s="521"/>
      <c r="Y284" s="521"/>
      <c r="Z284" s="522"/>
    </row>
    <row r="285" spans="1:26" x14ac:dyDescent="0.3">
      <c r="A285" s="521"/>
      <c r="B285" s="521"/>
      <c r="C285" s="521"/>
      <c r="D285" s="521"/>
      <c r="E285" s="521"/>
      <c r="F285" s="521"/>
      <c r="G285" s="521"/>
      <c r="H285" s="521"/>
      <c r="I285" s="521"/>
      <c r="J285" s="521"/>
      <c r="K285" s="521"/>
      <c r="L285" s="521"/>
      <c r="M285" s="521"/>
      <c r="N285" s="521"/>
      <c r="O285" s="521"/>
      <c r="P285" s="521"/>
      <c r="Q285" s="521"/>
      <c r="R285" s="521"/>
      <c r="S285" s="521"/>
      <c r="T285" s="521"/>
      <c r="U285" s="521"/>
      <c r="V285" s="521"/>
      <c r="W285" s="521"/>
      <c r="X285" s="521"/>
      <c r="Y285" s="521"/>
      <c r="Z285" s="522"/>
    </row>
    <row r="286" spans="1:26" x14ac:dyDescent="0.3">
      <c r="A286" s="521"/>
      <c r="B286" s="521"/>
      <c r="C286" s="521"/>
      <c r="D286" s="521"/>
      <c r="E286" s="521"/>
      <c r="F286" s="521"/>
      <c r="G286" s="521"/>
      <c r="H286" s="521"/>
      <c r="I286" s="521"/>
      <c r="J286" s="521"/>
      <c r="K286" s="521"/>
      <c r="L286" s="521"/>
      <c r="M286" s="521"/>
      <c r="N286" s="521"/>
      <c r="O286" s="521"/>
      <c r="P286" s="521"/>
      <c r="Q286" s="521"/>
      <c r="R286" s="521"/>
      <c r="S286" s="521"/>
      <c r="T286" s="521"/>
      <c r="U286" s="521"/>
      <c r="V286" s="521"/>
      <c r="W286" s="521"/>
      <c r="X286" s="521"/>
      <c r="Y286" s="521"/>
      <c r="Z286" s="522"/>
    </row>
    <row r="287" spans="1:26" x14ac:dyDescent="0.3">
      <c r="A287" s="521"/>
      <c r="B287" s="521"/>
      <c r="C287" s="521"/>
      <c r="D287" s="521"/>
      <c r="E287" s="521"/>
      <c r="F287" s="521"/>
      <c r="G287" s="521"/>
      <c r="H287" s="521"/>
      <c r="I287" s="521"/>
      <c r="J287" s="521"/>
      <c r="K287" s="521"/>
      <c r="L287" s="521"/>
      <c r="M287" s="521"/>
      <c r="N287" s="521"/>
      <c r="O287" s="521"/>
      <c r="P287" s="521"/>
      <c r="Q287" s="521"/>
      <c r="R287" s="521"/>
      <c r="S287" s="521"/>
      <c r="T287" s="521"/>
      <c r="U287" s="521"/>
      <c r="V287" s="521"/>
      <c r="W287" s="521"/>
      <c r="X287" s="521"/>
      <c r="Y287" s="521"/>
      <c r="Z287" s="522"/>
    </row>
    <row r="288" spans="1:26" x14ac:dyDescent="0.3">
      <c r="A288" s="521"/>
      <c r="B288" s="521"/>
      <c r="C288" s="521"/>
      <c r="D288" s="521"/>
      <c r="E288" s="521"/>
      <c r="F288" s="521"/>
      <c r="G288" s="521"/>
      <c r="H288" s="521"/>
      <c r="I288" s="521"/>
      <c r="J288" s="521"/>
      <c r="K288" s="521"/>
      <c r="L288" s="521"/>
      <c r="M288" s="521"/>
      <c r="N288" s="521"/>
      <c r="O288" s="521"/>
      <c r="P288" s="521"/>
      <c r="Q288" s="521"/>
      <c r="R288" s="521"/>
      <c r="S288" s="521"/>
      <c r="T288" s="521"/>
      <c r="U288" s="521"/>
      <c r="V288" s="521"/>
      <c r="W288" s="521"/>
      <c r="X288" s="521"/>
      <c r="Y288" s="521"/>
      <c r="Z288" s="522"/>
    </row>
    <row r="289" spans="1:26" x14ac:dyDescent="0.3">
      <c r="A289" s="521"/>
      <c r="B289" s="521"/>
      <c r="C289" s="521"/>
      <c r="D289" s="521"/>
      <c r="E289" s="521"/>
      <c r="F289" s="521"/>
      <c r="G289" s="521"/>
      <c r="H289" s="521"/>
      <c r="I289" s="521"/>
      <c r="J289" s="521"/>
      <c r="K289" s="521"/>
      <c r="L289" s="521"/>
      <c r="M289" s="521"/>
      <c r="N289" s="521"/>
      <c r="O289" s="521"/>
      <c r="P289" s="521"/>
      <c r="Q289" s="521"/>
      <c r="R289" s="521"/>
      <c r="S289" s="521"/>
      <c r="T289" s="521"/>
      <c r="U289" s="521"/>
      <c r="V289" s="521"/>
      <c r="W289" s="521"/>
      <c r="X289" s="521"/>
      <c r="Y289" s="521"/>
      <c r="Z289" s="522"/>
    </row>
    <row r="290" spans="1:26" x14ac:dyDescent="0.3">
      <c r="A290" s="521"/>
      <c r="B290" s="521"/>
      <c r="C290" s="521"/>
      <c r="D290" s="521"/>
      <c r="E290" s="521"/>
      <c r="F290" s="521"/>
      <c r="G290" s="521"/>
      <c r="H290" s="521"/>
      <c r="I290" s="521"/>
      <c r="J290" s="521"/>
      <c r="K290" s="521"/>
      <c r="L290" s="521"/>
      <c r="M290" s="521"/>
      <c r="N290" s="521"/>
      <c r="O290" s="521"/>
      <c r="P290" s="521"/>
      <c r="Q290" s="521"/>
      <c r="R290" s="521"/>
      <c r="S290" s="521"/>
      <c r="T290" s="521"/>
      <c r="U290" s="521"/>
      <c r="V290" s="521"/>
      <c r="W290" s="521"/>
      <c r="X290" s="521"/>
      <c r="Y290" s="521"/>
      <c r="Z290" s="522"/>
    </row>
    <row r="291" spans="1:26" x14ac:dyDescent="0.3">
      <c r="A291" s="521"/>
      <c r="B291" s="521"/>
      <c r="C291" s="521"/>
      <c r="D291" s="521"/>
      <c r="E291" s="521"/>
      <c r="F291" s="521"/>
      <c r="G291" s="521"/>
      <c r="H291" s="521"/>
      <c r="I291" s="521"/>
      <c r="J291" s="521"/>
      <c r="K291" s="521"/>
      <c r="L291" s="521"/>
      <c r="M291" s="521"/>
      <c r="N291" s="521"/>
      <c r="O291" s="521"/>
      <c r="P291" s="521"/>
      <c r="Q291" s="521"/>
      <c r="R291" s="521"/>
      <c r="S291" s="521"/>
      <c r="T291" s="521"/>
      <c r="U291" s="521"/>
      <c r="V291" s="521"/>
      <c r="W291" s="521"/>
      <c r="X291" s="521"/>
      <c r="Y291" s="521"/>
      <c r="Z291" s="522"/>
    </row>
    <row r="292" spans="1:26" x14ac:dyDescent="0.3">
      <c r="A292" s="521"/>
      <c r="B292" s="521"/>
      <c r="C292" s="521"/>
      <c r="D292" s="521"/>
      <c r="E292" s="521"/>
      <c r="F292" s="521"/>
      <c r="G292" s="521"/>
      <c r="H292" s="521"/>
      <c r="I292" s="521"/>
      <c r="J292" s="521"/>
      <c r="K292" s="521"/>
      <c r="L292" s="521"/>
      <c r="M292" s="521"/>
      <c r="N292" s="521"/>
      <c r="O292" s="521"/>
      <c r="P292" s="521"/>
      <c r="Q292" s="521"/>
      <c r="R292" s="521"/>
      <c r="S292" s="521"/>
      <c r="T292" s="521"/>
      <c r="U292" s="521"/>
      <c r="V292" s="521"/>
      <c r="W292" s="521"/>
      <c r="X292" s="521"/>
      <c r="Y292" s="521"/>
      <c r="Z292" s="522"/>
    </row>
    <row r="293" spans="1:26" x14ac:dyDescent="0.3">
      <c r="A293" s="521"/>
      <c r="B293" s="521"/>
      <c r="C293" s="521"/>
      <c r="D293" s="521"/>
      <c r="E293" s="521"/>
      <c r="F293" s="521"/>
      <c r="G293" s="521"/>
      <c r="H293" s="521"/>
      <c r="I293" s="521"/>
      <c r="J293" s="521"/>
      <c r="K293" s="521"/>
      <c r="L293" s="521"/>
      <c r="M293" s="521"/>
      <c r="N293" s="521"/>
      <c r="O293" s="521"/>
      <c r="P293" s="521"/>
      <c r="Q293" s="521"/>
      <c r="R293" s="521"/>
      <c r="S293" s="521"/>
      <c r="T293" s="521"/>
      <c r="U293" s="521"/>
      <c r="V293" s="521"/>
      <c r="W293" s="521"/>
      <c r="X293" s="521"/>
      <c r="Y293" s="521"/>
      <c r="Z293" s="522"/>
    </row>
    <row r="294" spans="1:26" x14ac:dyDescent="0.3">
      <c r="A294" s="521"/>
      <c r="B294" s="521"/>
      <c r="C294" s="521"/>
      <c r="D294" s="521"/>
      <c r="E294" s="521"/>
      <c r="F294" s="521"/>
      <c r="G294" s="521"/>
      <c r="H294" s="521"/>
      <c r="I294" s="521"/>
      <c r="J294" s="521"/>
      <c r="K294" s="521"/>
      <c r="L294" s="521"/>
      <c r="M294" s="521"/>
      <c r="N294" s="521"/>
      <c r="O294" s="521"/>
      <c r="P294" s="521"/>
      <c r="Q294" s="521"/>
      <c r="R294" s="521"/>
      <c r="S294" s="521"/>
      <c r="T294" s="521"/>
      <c r="U294" s="521"/>
      <c r="V294" s="521"/>
      <c r="W294" s="521"/>
      <c r="X294" s="521"/>
      <c r="Y294" s="521"/>
      <c r="Z294" s="522"/>
    </row>
    <row r="295" spans="1:26" x14ac:dyDescent="0.3">
      <c r="A295" s="521"/>
      <c r="B295" s="521"/>
      <c r="C295" s="521"/>
      <c r="D295" s="521"/>
      <c r="E295" s="521"/>
      <c r="F295" s="521"/>
      <c r="G295" s="521"/>
      <c r="H295" s="521"/>
      <c r="I295" s="521"/>
      <c r="J295" s="521"/>
      <c r="K295" s="521"/>
      <c r="L295" s="521"/>
      <c r="M295" s="521"/>
      <c r="N295" s="521"/>
      <c r="O295" s="521"/>
      <c r="P295" s="521"/>
      <c r="Q295" s="521"/>
      <c r="R295" s="521"/>
      <c r="S295" s="521"/>
      <c r="T295" s="521"/>
      <c r="U295" s="521"/>
      <c r="V295" s="521"/>
      <c r="W295" s="521"/>
      <c r="X295" s="521"/>
      <c r="Y295" s="521"/>
      <c r="Z295" s="522"/>
    </row>
    <row r="296" spans="1:26" x14ac:dyDescent="0.3">
      <c r="A296" s="521"/>
      <c r="B296" s="521"/>
      <c r="C296" s="521"/>
      <c r="D296" s="521"/>
      <c r="E296" s="521"/>
      <c r="F296" s="521"/>
      <c r="G296" s="521"/>
      <c r="H296" s="521"/>
      <c r="I296" s="521"/>
      <c r="J296" s="521"/>
      <c r="K296" s="521"/>
      <c r="L296" s="521"/>
      <c r="M296" s="521"/>
      <c r="N296" s="521"/>
      <c r="O296" s="521"/>
      <c r="P296" s="521"/>
      <c r="Q296" s="521"/>
      <c r="R296" s="521"/>
      <c r="S296" s="521"/>
      <c r="T296" s="521"/>
      <c r="U296" s="521"/>
      <c r="V296" s="521"/>
      <c r="W296" s="521"/>
      <c r="X296" s="521"/>
      <c r="Y296" s="521"/>
      <c r="Z296" s="522"/>
    </row>
    <row r="297" spans="1:26" x14ac:dyDescent="0.3">
      <c r="A297" s="521"/>
      <c r="B297" s="521"/>
      <c r="C297" s="521"/>
      <c r="D297" s="521"/>
      <c r="E297" s="521"/>
      <c r="F297" s="521"/>
      <c r="G297" s="521"/>
      <c r="H297" s="521"/>
      <c r="I297" s="521"/>
      <c r="J297" s="521"/>
      <c r="K297" s="521"/>
      <c r="L297" s="521"/>
      <c r="M297" s="521"/>
      <c r="N297" s="521"/>
      <c r="O297" s="521"/>
      <c r="P297" s="521"/>
      <c r="Q297" s="521"/>
      <c r="R297" s="521"/>
      <c r="S297" s="521"/>
      <c r="T297" s="521"/>
      <c r="U297" s="521"/>
      <c r="V297" s="521"/>
      <c r="W297" s="521"/>
      <c r="X297" s="521"/>
      <c r="Y297" s="521"/>
      <c r="Z297" s="522"/>
    </row>
    <row r="298" spans="1:26" x14ac:dyDescent="0.3">
      <c r="A298" s="521"/>
      <c r="B298" s="521"/>
      <c r="C298" s="521"/>
      <c r="D298" s="521"/>
      <c r="E298" s="521"/>
      <c r="F298" s="521"/>
      <c r="G298" s="521"/>
      <c r="H298" s="521"/>
      <c r="I298" s="521"/>
      <c r="J298" s="521"/>
      <c r="K298" s="521"/>
      <c r="L298" s="521"/>
      <c r="M298" s="521"/>
      <c r="N298" s="521"/>
      <c r="O298" s="521"/>
      <c r="P298" s="521"/>
      <c r="Q298" s="521"/>
      <c r="R298" s="521"/>
      <c r="S298" s="521"/>
      <c r="T298" s="521"/>
      <c r="U298" s="521"/>
      <c r="V298" s="521"/>
      <c r="W298" s="521"/>
      <c r="X298" s="521"/>
      <c r="Y298" s="521"/>
      <c r="Z298" s="522"/>
    </row>
    <row r="299" spans="1:26" x14ac:dyDescent="0.3">
      <c r="A299" s="521"/>
      <c r="B299" s="521"/>
      <c r="C299" s="521"/>
      <c r="D299" s="521"/>
      <c r="E299" s="521"/>
      <c r="F299" s="521"/>
      <c r="G299" s="521"/>
      <c r="H299" s="521"/>
      <c r="I299" s="521"/>
      <c r="J299" s="521"/>
      <c r="K299" s="521"/>
      <c r="L299" s="521"/>
      <c r="M299" s="521"/>
      <c r="N299" s="521"/>
      <c r="O299" s="521"/>
      <c r="P299" s="521"/>
      <c r="Q299" s="521"/>
      <c r="R299" s="521"/>
      <c r="S299" s="521"/>
      <c r="T299" s="521"/>
      <c r="U299" s="521"/>
      <c r="V299" s="521"/>
      <c r="W299" s="521"/>
      <c r="X299" s="521"/>
      <c r="Y299" s="521"/>
      <c r="Z299" s="522"/>
    </row>
    <row r="300" spans="1:26" x14ac:dyDescent="0.3">
      <c r="A300" s="521"/>
      <c r="B300" s="521"/>
      <c r="C300" s="521"/>
      <c r="D300" s="521"/>
      <c r="E300" s="521"/>
      <c r="F300" s="521"/>
      <c r="G300" s="521"/>
      <c r="H300" s="521"/>
      <c r="I300" s="521"/>
      <c r="J300" s="521"/>
      <c r="K300" s="521"/>
      <c r="L300" s="521"/>
      <c r="M300" s="521"/>
      <c r="N300" s="521"/>
      <c r="O300" s="521"/>
      <c r="P300" s="521"/>
      <c r="Q300" s="521"/>
      <c r="R300" s="521"/>
      <c r="S300" s="521"/>
      <c r="T300" s="521"/>
      <c r="U300" s="521"/>
      <c r="V300" s="521"/>
      <c r="W300" s="521"/>
      <c r="X300" s="521"/>
      <c r="Y300" s="521"/>
      <c r="Z300" s="522"/>
    </row>
    <row r="301" spans="1:26" x14ac:dyDescent="0.3">
      <c r="A301" s="521"/>
      <c r="B301" s="521"/>
      <c r="C301" s="521"/>
      <c r="D301" s="521"/>
      <c r="E301" s="521"/>
      <c r="F301" s="521"/>
      <c r="G301" s="521"/>
      <c r="H301" s="521"/>
      <c r="I301" s="521"/>
      <c r="J301" s="521"/>
      <c r="K301" s="521"/>
      <c r="L301" s="521"/>
      <c r="M301" s="521"/>
      <c r="N301" s="521"/>
      <c r="O301" s="521"/>
      <c r="P301" s="521"/>
      <c r="Q301" s="521"/>
      <c r="R301" s="521"/>
      <c r="S301" s="521"/>
      <c r="T301" s="521"/>
      <c r="U301" s="521"/>
      <c r="V301" s="521"/>
      <c r="W301" s="521"/>
      <c r="X301" s="521"/>
      <c r="Y301" s="521"/>
      <c r="Z301" s="522"/>
    </row>
    <row r="302" spans="1:26" x14ac:dyDescent="0.3">
      <c r="A302" s="521"/>
      <c r="B302" s="521"/>
      <c r="C302" s="521"/>
      <c r="D302" s="521"/>
      <c r="E302" s="521"/>
      <c r="F302" s="521"/>
      <c r="G302" s="521"/>
      <c r="H302" s="521"/>
      <c r="I302" s="521"/>
      <c r="J302" s="521"/>
      <c r="K302" s="521"/>
      <c r="L302" s="521"/>
      <c r="M302" s="521"/>
      <c r="N302" s="521"/>
      <c r="O302" s="521"/>
      <c r="P302" s="521"/>
      <c r="Q302" s="521"/>
      <c r="R302" s="521"/>
      <c r="S302" s="521"/>
      <c r="T302" s="521"/>
      <c r="U302" s="521"/>
      <c r="V302" s="521"/>
      <c r="W302" s="521"/>
      <c r="X302" s="521"/>
      <c r="Y302" s="521"/>
      <c r="Z302" s="522"/>
    </row>
    <row r="303" spans="1:26" x14ac:dyDescent="0.3">
      <c r="A303" s="521"/>
      <c r="B303" s="521"/>
      <c r="C303" s="521"/>
      <c r="D303" s="521"/>
      <c r="E303" s="521"/>
      <c r="F303" s="521"/>
      <c r="G303" s="521"/>
      <c r="H303" s="521"/>
      <c r="I303" s="521"/>
      <c r="J303" s="521"/>
      <c r="K303" s="521"/>
      <c r="L303" s="521"/>
      <c r="M303" s="521"/>
      <c r="N303" s="521"/>
      <c r="O303" s="521"/>
      <c r="P303" s="521"/>
      <c r="Q303" s="521"/>
      <c r="R303" s="521"/>
      <c r="S303" s="521"/>
      <c r="T303" s="521"/>
      <c r="U303" s="521"/>
      <c r="V303" s="521"/>
      <c r="W303" s="521"/>
      <c r="X303" s="521"/>
      <c r="Y303" s="521"/>
      <c r="Z303" s="522"/>
    </row>
    <row r="304" spans="1:26" x14ac:dyDescent="0.3">
      <c r="A304" s="521"/>
      <c r="B304" s="521"/>
      <c r="C304" s="521"/>
      <c r="D304" s="521"/>
      <c r="E304" s="521"/>
      <c r="F304" s="521"/>
      <c r="G304" s="521"/>
      <c r="H304" s="521"/>
      <c r="I304" s="521"/>
      <c r="J304" s="521"/>
      <c r="K304" s="521"/>
      <c r="L304" s="521"/>
      <c r="M304" s="521"/>
      <c r="N304" s="521"/>
      <c r="O304" s="521"/>
      <c r="P304" s="521"/>
      <c r="Q304" s="521"/>
      <c r="R304" s="521"/>
      <c r="S304" s="521"/>
      <c r="T304" s="521"/>
      <c r="U304" s="521"/>
      <c r="V304" s="521"/>
      <c r="W304" s="521"/>
      <c r="X304" s="521"/>
      <c r="Y304" s="521"/>
      <c r="Z304" s="522"/>
    </row>
    <row r="305" spans="1:26" x14ac:dyDescent="0.3">
      <c r="A305" s="521"/>
      <c r="B305" s="521"/>
      <c r="C305" s="521"/>
      <c r="D305" s="521"/>
      <c r="E305" s="521"/>
      <c r="F305" s="521"/>
      <c r="G305" s="521"/>
      <c r="H305" s="521"/>
      <c r="I305" s="521"/>
      <c r="J305" s="521"/>
      <c r="K305" s="521"/>
      <c r="L305" s="521"/>
      <c r="M305" s="521"/>
      <c r="N305" s="521"/>
      <c r="O305" s="521"/>
      <c r="P305" s="521"/>
      <c r="Q305" s="521"/>
      <c r="R305" s="521"/>
      <c r="S305" s="521"/>
      <c r="T305" s="521"/>
      <c r="U305" s="521"/>
      <c r="V305" s="521"/>
      <c r="W305" s="521"/>
      <c r="X305" s="521"/>
      <c r="Y305" s="521"/>
      <c r="Z305" s="522"/>
    </row>
    <row r="306" spans="1:26" x14ac:dyDescent="0.3">
      <c r="A306" s="521"/>
      <c r="B306" s="521"/>
      <c r="C306" s="521"/>
      <c r="D306" s="521"/>
      <c r="E306" s="521"/>
      <c r="F306" s="521"/>
      <c r="G306" s="521"/>
      <c r="H306" s="521"/>
      <c r="I306" s="521"/>
      <c r="J306" s="521"/>
      <c r="K306" s="521"/>
      <c r="L306" s="521"/>
      <c r="M306" s="521"/>
      <c r="N306" s="521"/>
      <c r="O306" s="521"/>
      <c r="P306" s="521"/>
      <c r="Q306" s="521"/>
      <c r="R306" s="521"/>
      <c r="S306" s="521"/>
      <c r="T306" s="521"/>
      <c r="U306" s="521"/>
      <c r="V306" s="521"/>
      <c r="W306" s="521"/>
      <c r="X306" s="521"/>
      <c r="Y306" s="521"/>
      <c r="Z306" s="522"/>
    </row>
    <row r="307" spans="1:26" x14ac:dyDescent="0.3">
      <c r="A307" s="521"/>
      <c r="B307" s="521"/>
      <c r="C307" s="521"/>
      <c r="D307" s="521"/>
      <c r="E307" s="521"/>
      <c r="F307" s="521"/>
      <c r="G307" s="521"/>
      <c r="H307" s="521"/>
      <c r="I307" s="521"/>
      <c r="J307" s="521"/>
      <c r="K307" s="521"/>
      <c r="L307" s="521"/>
      <c r="M307" s="521"/>
      <c r="N307" s="521"/>
      <c r="O307" s="521"/>
      <c r="P307" s="521"/>
      <c r="Q307" s="521"/>
      <c r="R307" s="521"/>
      <c r="S307" s="521"/>
      <c r="T307" s="521"/>
      <c r="U307" s="521"/>
      <c r="V307" s="521"/>
      <c r="W307" s="521"/>
      <c r="X307" s="521"/>
      <c r="Y307" s="521"/>
      <c r="Z307" s="522"/>
    </row>
    <row r="308" spans="1:26" x14ac:dyDescent="0.3">
      <c r="A308" s="521"/>
      <c r="B308" s="521"/>
      <c r="C308" s="521"/>
      <c r="D308" s="521"/>
      <c r="E308" s="521"/>
      <c r="F308" s="521"/>
      <c r="G308" s="521"/>
      <c r="H308" s="521"/>
      <c r="I308" s="521"/>
      <c r="J308" s="521"/>
      <c r="K308" s="521"/>
      <c r="L308" s="521"/>
      <c r="M308" s="521"/>
      <c r="N308" s="521"/>
      <c r="O308" s="521"/>
      <c r="P308" s="521"/>
      <c r="Q308" s="521"/>
      <c r="R308" s="521"/>
      <c r="S308" s="521"/>
      <c r="T308" s="521"/>
      <c r="U308" s="521"/>
      <c r="V308" s="521"/>
      <c r="W308" s="521"/>
      <c r="X308" s="521"/>
      <c r="Y308" s="521"/>
      <c r="Z308" s="522"/>
    </row>
    <row r="309" spans="1:26" x14ac:dyDescent="0.3">
      <c r="A309" s="521"/>
      <c r="B309" s="521"/>
      <c r="C309" s="521"/>
      <c r="D309" s="521"/>
      <c r="E309" s="521"/>
      <c r="F309" s="521"/>
      <c r="G309" s="521"/>
      <c r="H309" s="521"/>
      <c r="I309" s="521"/>
      <c r="J309" s="521"/>
      <c r="K309" s="521"/>
      <c r="L309" s="521"/>
      <c r="M309" s="521"/>
      <c r="N309" s="521"/>
      <c r="O309" s="521"/>
      <c r="P309" s="521"/>
      <c r="Q309" s="521"/>
      <c r="R309" s="521"/>
      <c r="S309" s="521"/>
      <c r="T309" s="521"/>
      <c r="U309" s="521"/>
      <c r="V309" s="521"/>
      <c r="W309" s="521"/>
      <c r="X309" s="521"/>
      <c r="Y309" s="521"/>
      <c r="Z309" s="522"/>
    </row>
    <row r="310" spans="1:26" x14ac:dyDescent="0.3">
      <c r="A310" s="521"/>
      <c r="B310" s="521"/>
      <c r="C310" s="521"/>
      <c r="D310" s="521"/>
      <c r="E310" s="521"/>
      <c r="F310" s="521"/>
      <c r="G310" s="521"/>
      <c r="H310" s="521"/>
      <c r="I310" s="521"/>
      <c r="J310" s="521"/>
      <c r="K310" s="521"/>
      <c r="L310" s="521"/>
      <c r="M310" s="521"/>
      <c r="N310" s="521"/>
      <c r="O310" s="521"/>
      <c r="P310" s="521"/>
      <c r="Q310" s="521"/>
      <c r="R310" s="521"/>
      <c r="S310" s="521"/>
      <c r="T310" s="521"/>
      <c r="U310" s="521"/>
      <c r="V310" s="521"/>
      <c r="W310" s="521"/>
      <c r="X310" s="521"/>
      <c r="Y310" s="521"/>
      <c r="Z310" s="522"/>
    </row>
    <row r="311" spans="1:26" x14ac:dyDescent="0.3">
      <c r="A311" s="521"/>
      <c r="B311" s="521"/>
      <c r="C311" s="521"/>
      <c r="D311" s="521"/>
      <c r="E311" s="521"/>
      <c r="F311" s="521"/>
      <c r="G311" s="521"/>
      <c r="H311" s="521"/>
      <c r="I311" s="521"/>
      <c r="J311" s="521"/>
      <c r="K311" s="521"/>
      <c r="L311" s="521"/>
      <c r="M311" s="521"/>
      <c r="N311" s="521"/>
      <c r="O311" s="521"/>
      <c r="P311" s="521"/>
      <c r="Q311" s="521"/>
      <c r="R311" s="521"/>
      <c r="S311" s="521"/>
      <c r="T311" s="521"/>
      <c r="U311" s="521"/>
      <c r="V311" s="521"/>
      <c r="W311" s="521"/>
      <c r="X311" s="521"/>
      <c r="Y311" s="521"/>
      <c r="Z311" s="522"/>
    </row>
    <row r="312" spans="1:26" x14ac:dyDescent="0.3">
      <c r="A312" s="521"/>
      <c r="B312" s="521"/>
      <c r="C312" s="521"/>
      <c r="D312" s="521"/>
      <c r="E312" s="521"/>
      <c r="F312" s="521"/>
      <c r="G312" s="521"/>
      <c r="H312" s="521"/>
      <c r="I312" s="521"/>
      <c r="J312" s="521"/>
      <c r="K312" s="521"/>
      <c r="L312" s="521"/>
      <c r="M312" s="521"/>
      <c r="N312" s="521"/>
      <c r="O312" s="521"/>
      <c r="P312" s="521"/>
      <c r="Q312" s="521"/>
      <c r="R312" s="521"/>
      <c r="S312" s="521"/>
      <c r="T312" s="521"/>
      <c r="U312" s="521"/>
      <c r="V312" s="521"/>
      <c r="W312" s="521"/>
      <c r="X312" s="521"/>
      <c r="Y312" s="521"/>
      <c r="Z312" s="522"/>
    </row>
    <row r="313" spans="1:26" x14ac:dyDescent="0.3">
      <c r="A313" s="521"/>
      <c r="B313" s="521"/>
      <c r="C313" s="521"/>
      <c r="D313" s="521"/>
      <c r="E313" s="521"/>
      <c r="F313" s="521"/>
      <c r="G313" s="521"/>
      <c r="H313" s="521"/>
      <c r="I313" s="521"/>
      <c r="J313" s="521"/>
      <c r="K313" s="521"/>
      <c r="L313" s="521"/>
      <c r="M313" s="521"/>
      <c r="N313" s="521"/>
      <c r="O313" s="521"/>
      <c r="P313" s="521"/>
      <c r="Q313" s="521"/>
      <c r="R313" s="521"/>
      <c r="S313" s="521"/>
      <c r="T313" s="521"/>
      <c r="U313" s="521"/>
      <c r="V313" s="521"/>
      <c r="W313" s="521"/>
      <c r="X313" s="521"/>
      <c r="Y313" s="521"/>
      <c r="Z313" s="522"/>
    </row>
    <row r="314" spans="1:26" x14ac:dyDescent="0.3">
      <c r="A314" s="521"/>
      <c r="B314" s="521"/>
      <c r="C314" s="521"/>
      <c r="D314" s="521"/>
      <c r="E314" s="521"/>
      <c r="F314" s="521"/>
      <c r="G314" s="521"/>
      <c r="H314" s="521"/>
      <c r="I314" s="521"/>
      <c r="J314" s="521"/>
      <c r="K314" s="521"/>
      <c r="L314" s="521"/>
      <c r="M314" s="521"/>
      <c r="N314" s="521"/>
      <c r="O314" s="521"/>
      <c r="P314" s="521"/>
      <c r="Q314" s="521"/>
      <c r="R314" s="521"/>
      <c r="S314" s="521"/>
      <c r="T314" s="521"/>
      <c r="U314" s="521"/>
      <c r="V314" s="521"/>
      <c r="W314" s="521"/>
      <c r="X314" s="521"/>
      <c r="Y314" s="521"/>
      <c r="Z314" s="522"/>
    </row>
    <row r="315" spans="1:26" x14ac:dyDescent="0.3">
      <c r="A315" s="521"/>
      <c r="B315" s="521"/>
      <c r="C315" s="521"/>
      <c r="D315" s="521"/>
      <c r="E315" s="521"/>
      <c r="F315" s="521"/>
      <c r="G315" s="521"/>
      <c r="H315" s="521"/>
      <c r="I315" s="521"/>
      <c r="J315" s="521"/>
      <c r="K315" s="521"/>
      <c r="L315" s="521"/>
      <c r="M315" s="521"/>
      <c r="N315" s="521"/>
      <c r="O315" s="521"/>
      <c r="P315" s="521"/>
      <c r="Q315" s="521"/>
      <c r="R315" s="521"/>
      <c r="S315" s="521"/>
      <c r="T315" s="521"/>
      <c r="U315" s="521"/>
      <c r="V315" s="521"/>
      <c r="W315" s="521"/>
      <c r="X315" s="521"/>
      <c r="Y315" s="521"/>
      <c r="Z315" s="522"/>
    </row>
    <row r="316" spans="1:26" x14ac:dyDescent="0.3">
      <c r="A316" s="521"/>
      <c r="B316" s="521"/>
      <c r="C316" s="521"/>
      <c r="D316" s="521"/>
      <c r="E316" s="521"/>
      <c r="F316" s="521"/>
      <c r="G316" s="521"/>
      <c r="H316" s="521"/>
      <c r="I316" s="521"/>
      <c r="J316" s="521"/>
      <c r="K316" s="521"/>
      <c r="L316" s="521"/>
      <c r="M316" s="521"/>
      <c r="N316" s="521"/>
      <c r="O316" s="521"/>
      <c r="P316" s="521"/>
      <c r="Q316" s="521"/>
      <c r="R316" s="521"/>
      <c r="S316" s="521"/>
      <c r="T316" s="521"/>
      <c r="U316" s="521"/>
      <c r="V316" s="521"/>
      <c r="W316" s="521"/>
      <c r="X316" s="521"/>
      <c r="Y316" s="521"/>
      <c r="Z316" s="522"/>
    </row>
    <row r="317" spans="1:26" x14ac:dyDescent="0.3">
      <c r="A317" s="521"/>
      <c r="B317" s="521"/>
      <c r="C317" s="521"/>
      <c r="D317" s="521"/>
      <c r="E317" s="521"/>
      <c r="F317" s="521"/>
      <c r="G317" s="521"/>
      <c r="H317" s="521"/>
      <c r="I317" s="521"/>
      <c r="J317" s="521"/>
      <c r="K317" s="521"/>
      <c r="L317" s="521"/>
      <c r="M317" s="521"/>
      <c r="N317" s="521"/>
      <c r="O317" s="521"/>
      <c r="P317" s="521"/>
      <c r="Q317" s="521"/>
      <c r="R317" s="521"/>
      <c r="S317" s="521"/>
      <c r="T317" s="521"/>
      <c r="U317" s="521"/>
      <c r="V317" s="521"/>
      <c r="W317" s="521"/>
      <c r="X317" s="521"/>
      <c r="Y317" s="521"/>
      <c r="Z317" s="522"/>
    </row>
    <row r="318" spans="1:26" x14ac:dyDescent="0.3">
      <c r="A318" s="521"/>
      <c r="B318" s="521"/>
      <c r="C318" s="521"/>
      <c r="D318" s="521"/>
      <c r="E318" s="521"/>
      <c r="F318" s="521"/>
      <c r="G318" s="521"/>
      <c r="H318" s="521"/>
      <c r="I318" s="521"/>
      <c r="J318" s="521"/>
      <c r="K318" s="521"/>
      <c r="L318" s="521"/>
      <c r="M318" s="521"/>
      <c r="N318" s="521"/>
      <c r="O318" s="521"/>
      <c r="P318" s="521"/>
      <c r="Q318" s="521"/>
      <c r="R318" s="521"/>
      <c r="S318" s="521"/>
      <c r="T318" s="521"/>
      <c r="U318" s="521"/>
      <c r="V318" s="521"/>
      <c r="W318" s="521"/>
      <c r="X318" s="521"/>
      <c r="Y318" s="521"/>
      <c r="Z318" s="522"/>
    </row>
    <row r="319" spans="1:26" x14ac:dyDescent="0.3">
      <c r="A319" s="521"/>
      <c r="B319" s="521"/>
      <c r="C319" s="521"/>
      <c r="D319" s="521"/>
      <c r="E319" s="521"/>
      <c r="F319" s="521"/>
      <c r="G319" s="521"/>
      <c r="H319" s="521"/>
      <c r="I319" s="521"/>
      <c r="J319" s="521"/>
      <c r="K319" s="521"/>
      <c r="L319" s="521"/>
      <c r="M319" s="521"/>
      <c r="N319" s="521"/>
      <c r="O319" s="521"/>
      <c r="P319" s="521"/>
      <c r="Q319" s="521"/>
      <c r="R319" s="521"/>
      <c r="S319" s="521"/>
      <c r="T319" s="521"/>
      <c r="U319" s="521"/>
      <c r="V319" s="521"/>
      <c r="W319" s="521"/>
      <c r="X319" s="521"/>
      <c r="Y319" s="521"/>
      <c r="Z319" s="522"/>
    </row>
    <row r="320" spans="1:26" x14ac:dyDescent="0.3">
      <c r="A320" s="521"/>
      <c r="B320" s="521"/>
      <c r="C320" s="521"/>
      <c r="D320" s="521"/>
      <c r="E320" s="521"/>
      <c r="F320" s="521"/>
      <c r="G320" s="521"/>
      <c r="H320" s="521"/>
      <c r="I320" s="521"/>
      <c r="J320" s="521"/>
      <c r="K320" s="521"/>
      <c r="L320" s="521"/>
      <c r="M320" s="521"/>
      <c r="N320" s="521"/>
      <c r="O320" s="521"/>
      <c r="P320" s="521"/>
      <c r="Q320" s="521"/>
      <c r="R320" s="521"/>
      <c r="S320" s="521"/>
      <c r="T320" s="521"/>
      <c r="U320" s="521"/>
      <c r="V320" s="521"/>
      <c r="W320" s="521"/>
      <c r="X320" s="521"/>
      <c r="Y320" s="521"/>
      <c r="Z320" s="522"/>
    </row>
    <row r="321" spans="1:26" x14ac:dyDescent="0.3">
      <c r="A321" s="521"/>
      <c r="B321" s="521"/>
      <c r="C321" s="521"/>
      <c r="D321" s="521"/>
      <c r="E321" s="521"/>
      <c r="F321" s="521"/>
      <c r="G321" s="521"/>
      <c r="H321" s="521"/>
      <c r="I321" s="521"/>
      <c r="J321" s="521"/>
      <c r="K321" s="521"/>
      <c r="L321" s="521"/>
      <c r="M321" s="521"/>
      <c r="N321" s="521"/>
      <c r="O321" s="521"/>
      <c r="P321" s="521"/>
      <c r="Q321" s="521"/>
      <c r="R321" s="521"/>
      <c r="S321" s="521"/>
      <c r="T321" s="521"/>
      <c r="U321" s="521"/>
      <c r="V321" s="521"/>
      <c r="W321" s="521"/>
      <c r="X321" s="521"/>
      <c r="Y321" s="521"/>
      <c r="Z321" s="522"/>
    </row>
    <row r="322" spans="1:26" x14ac:dyDescent="0.3">
      <c r="A322" s="521"/>
      <c r="B322" s="521"/>
      <c r="C322" s="521"/>
      <c r="D322" s="521"/>
      <c r="E322" s="521"/>
      <c r="F322" s="521"/>
      <c r="G322" s="521"/>
      <c r="H322" s="521"/>
      <c r="I322" s="521"/>
      <c r="J322" s="521"/>
      <c r="K322" s="521"/>
      <c r="L322" s="521"/>
      <c r="M322" s="521"/>
      <c r="N322" s="521"/>
      <c r="O322" s="521"/>
      <c r="P322" s="521"/>
      <c r="Q322" s="521"/>
      <c r="R322" s="521"/>
      <c r="S322" s="521"/>
      <c r="T322" s="521"/>
      <c r="U322" s="521"/>
      <c r="V322" s="521"/>
      <c r="W322" s="521"/>
      <c r="X322" s="521"/>
      <c r="Y322" s="521"/>
      <c r="Z322" s="522"/>
    </row>
    <row r="323" spans="1:26" x14ac:dyDescent="0.3">
      <c r="A323" s="521"/>
      <c r="B323" s="521"/>
      <c r="C323" s="521"/>
      <c r="D323" s="521"/>
      <c r="E323" s="521"/>
      <c r="F323" s="521"/>
      <c r="G323" s="521"/>
      <c r="H323" s="521"/>
      <c r="I323" s="521"/>
      <c r="J323" s="521"/>
      <c r="K323" s="521"/>
      <c r="L323" s="521"/>
      <c r="M323" s="521"/>
      <c r="N323" s="521"/>
      <c r="O323" s="521"/>
      <c r="P323" s="521"/>
      <c r="Q323" s="521"/>
      <c r="R323" s="521"/>
      <c r="S323" s="521"/>
      <c r="T323" s="521"/>
      <c r="U323" s="521"/>
      <c r="V323" s="521"/>
      <c r="W323" s="521"/>
      <c r="X323" s="521"/>
      <c r="Y323" s="521"/>
      <c r="Z323" s="522"/>
    </row>
    <row r="324" spans="1:26" x14ac:dyDescent="0.3">
      <c r="A324" s="521"/>
      <c r="B324" s="521"/>
      <c r="C324" s="521"/>
      <c r="D324" s="521"/>
      <c r="E324" s="521"/>
      <c r="F324" s="521"/>
      <c r="G324" s="521"/>
      <c r="H324" s="521"/>
      <c r="I324" s="521"/>
      <c r="J324" s="521"/>
      <c r="K324" s="521"/>
      <c r="L324" s="521"/>
      <c r="M324" s="521"/>
      <c r="N324" s="521"/>
      <c r="O324" s="521"/>
      <c r="P324" s="521"/>
      <c r="Q324" s="521"/>
      <c r="R324" s="521"/>
      <c r="S324" s="521"/>
      <c r="T324" s="521"/>
      <c r="U324" s="521"/>
      <c r="V324" s="521"/>
      <c r="W324" s="521"/>
      <c r="X324" s="521"/>
      <c r="Y324" s="521"/>
      <c r="Z324" s="522"/>
    </row>
    <row r="325" spans="1:26" x14ac:dyDescent="0.3">
      <c r="A325" s="521"/>
      <c r="B325" s="521"/>
      <c r="C325" s="521"/>
      <c r="D325" s="521"/>
      <c r="E325" s="521"/>
      <c r="F325" s="521"/>
      <c r="G325" s="521"/>
      <c r="H325" s="521"/>
      <c r="I325" s="521"/>
      <c r="J325" s="521"/>
      <c r="K325" s="521"/>
      <c r="L325" s="521"/>
      <c r="M325" s="521"/>
      <c r="N325" s="521"/>
      <c r="O325" s="521"/>
      <c r="P325" s="521"/>
      <c r="Q325" s="521"/>
      <c r="R325" s="521"/>
      <c r="S325" s="521"/>
      <c r="T325" s="521"/>
      <c r="U325" s="521"/>
      <c r="V325" s="521"/>
      <c r="W325" s="521"/>
      <c r="X325" s="521"/>
      <c r="Y325" s="521"/>
      <c r="Z325" s="522"/>
    </row>
    <row r="326" spans="1:26" x14ac:dyDescent="0.3">
      <c r="A326" s="521"/>
      <c r="B326" s="521"/>
      <c r="C326" s="521"/>
      <c r="D326" s="521"/>
      <c r="E326" s="521"/>
      <c r="F326" s="521"/>
      <c r="G326" s="521"/>
      <c r="H326" s="521"/>
      <c r="I326" s="521"/>
      <c r="J326" s="521"/>
      <c r="K326" s="521"/>
      <c r="L326" s="521"/>
      <c r="M326" s="521"/>
      <c r="N326" s="521"/>
      <c r="O326" s="521"/>
      <c r="P326" s="521"/>
      <c r="Q326" s="521"/>
      <c r="R326" s="521"/>
      <c r="S326" s="521"/>
      <c r="T326" s="521"/>
      <c r="U326" s="521"/>
      <c r="V326" s="521"/>
      <c r="W326" s="521"/>
      <c r="X326" s="521"/>
      <c r="Y326" s="521"/>
      <c r="Z326" s="522"/>
    </row>
    <row r="327" spans="1:26" x14ac:dyDescent="0.3">
      <c r="A327" s="521"/>
      <c r="B327" s="521"/>
      <c r="C327" s="521"/>
      <c r="D327" s="521"/>
      <c r="E327" s="521"/>
      <c r="F327" s="521"/>
      <c r="G327" s="521"/>
      <c r="H327" s="521"/>
      <c r="I327" s="521"/>
      <c r="J327" s="521"/>
      <c r="K327" s="521"/>
      <c r="L327" s="521"/>
      <c r="M327" s="521"/>
      <c r="N327" s="521"/>
      <c r="O327" s="521"/>
      <c r="P327" s="521"/>
      <c r="Q327" s="521"/>
      <c r="R327" s="521"/>
      <c r="S327" s="521"/>
      <c r="T327" s="521"/>
      <c r="U327" s="521"/>
      <c r="V327" s="521"/>
      <c r="W327" s="521"/>
      <c r="X327" s="521"/>
      <c r="Y327" s="521"/>
      <c r="Z327" s="522"/>
    </row>
    <row r="328" spans="1:26" x14ac:dyDescent="0.3">
      <c r="A328" s="521"/>
      <c r="B328" s="521"/>
      <c r="C328" s="521"/>
      <c r="D328" s="521"/>
      <c r="E328" s="521"/>
      <c r="F328" s="521"/>
      <c r="G328" s="521"/>
      <c r="H328" s="521"/>
      <c r="I328" s="521"/>
      <c r="J328" s="521"/>
      <c r="K328" s="521"/>
      <c r="L328" s="521"/>
      <c r="M328" s="521"/>
      <c r="N328" s="521"/>
      <c r="O328" s="521"/>
      <c r="P328" s="521"/>
      <c r="Q328" s="521"/>
      <c r="R328" s="521"/>
      <c r="S328" s="521"/>
      <c r="T328" s="521"/>
      <c r="U328" s="521"/>
      <c r="V328" s="521"/>
      <c r="W328" s="521"/>
      <c r="X328" s="521"/>
      <c r="Y328" s="521"/>
      <c r="Z328" s="522"/>
    </row>
    <row r="329" spans="1:26" x14ac:dyDescent="0.3">
      <c r="A329" s="521"/>
      <c r="B329" s="521"/>
      <c r="C329" s="521"/>
      <c r="D329" s="521"/>
      <c r="E329" s="521"/>
      <c r="F329" s="521"/>
      <c r="G329" s="521"/>
      <c r="H329" s="521"/>
      <c r="I329" s="521"/>
      <c r="J329" s="521"/>
      <c r="K329" s="521"/>
      <c r="L329" s="521"/>
      <c r="M329" s="521"/>
      <c r="N329" s="521"/>
      <c r="O329" s="521"/>
      <c r="P329" s="521"/>
      <c r="Q329" s="521"/>
      <c r="R329" s="521"/>
      <c r="S329" s="521"/>
      <c r="T329" s="521"/>
      <c r="U329" s="521"/>
      <c r="V329" s="521"/>
      <c r="W329" s="521"/>
      <c r="X329" s="521"/>
      <c r="Y329" s="521"/>
      <c r="Z329" s="522"/>
    </row>
    <row r="330" spans="1:26" x14ac:dyDescent="0.3">
      <c r="A330" s="521"/>
      <c r="B330" s="521"/>
      <c r="C330" s="521"/>
      <c r="D330" s="521"/>
      <c r="E330" s="521"/>
      <c r="F330" s="521"/>
      <c r="G330" s="521"/>
      <c r="H330" s="521"/>
      <c r="I330" s="521"/>
      <c r="J330" s="521"/>
      <c r="K330" s="521"/>
      <c r="L330" s="521"/>
      <c r="M330" s="521"/>
      <c r="N330" s="521"/>
      <c r="O330" s="521"/>
      <c r="P330" s="521"/>
      <c r="Q330" s="521"/>
      <c r="R330" s="521"/>
      <c r="S330" s="521"/>
      <c r="T330" s="521"/>
      <c r="U330" s="521"/>
      <c r="V330" s="521"/>
      <c r="W330" s="521"/>
      <c r="X330" s="521"/>
      <c r="Y330" s="521"/>
      <c r="Z330" s="522"/>
    </row>
    <row r="331" spans="1:26" x14ac:dyDescent="0.3">
      <c r="A331" s="521"/>
      <c r="B331" s="521"/>
      <c r="C331" s="521"/>
      <c r="D331" s="521"/>
      <c r="E331" s="521"/>
      <c r="F331" s="521"/>
      <c r="G331" s="521"/>
      <c r="H331" s="521"/>
      <c r="I331" s="521"/>
      <c r="J331" s="521"/>
      <c r="K331" s="521"/>
      <c r="L331" s="521"/>
      <c r="M331" s="521"/>
      <c r="N331" s="521"/>
      <c r="O331" s="521"/>
      <c r="P331" s="521"/>
      <c r="Q331" s="521"/>
      <c r="R331" s="521"/>
      <c r="S331" s="521"/>
      <c r="T331" s="521"/>
      <c r="U331" s="521"/>
      <c r="V331" s="521"/>
      <c r="W331" s="521"/>
      <c r="X331" s="521"/>
      <c r="Y331" s="521"/>
      <c r="Z331" s="522"/>
    </row>
    <row r="332" spans="1:26" x14ac:dyDescent="0.3">
      <c r="A332" s="521"/>
      <c r="B332" s="521"/>
      <c r="C332" s="521"/>
      <c r="D332" s="521"/>
      <c r="E332" s="521"/>
      <c r="F332" s="521"/>
      <c r="G332" s="521"/>
      <c r="H332" s="521"/>
      <c r="I332" s="521"/>
      <c r="J332" s="521"/>
      <c r="K332" s="521"/>
      <c r="L332" s="521"/>
      <c r="M332" s="521"/>
      <c r="N332" s="521"/>
      <c r="O332" s="521"/>
      <c r="P332" s="521"/>
      <c r="Q332" s="521"/>
      <c r="R332" s="521"/>
      <c r="S332" s="521"/>
      <c r="T332" s="521"/>
      <c r="U332" s="521"/>
      <c r="V332" s="521"/>
      <c r="W332" s="521"/>
      <c r="X332" s="521"/>
      <c r="Y332" s="521"/>
      <c r="Z332" s="522"/>
    </row>
    <row r="333" spans="1:26" x14ac:dyDescent="0.3">
      <c r="A333" s="521"/>
      <c r="B333" s="521"/>
      <c r="C333" s="521"/>
      <c r="D333" s="521"/>
      <c r="E333" s="521"/>
      <c r="F333" s="521"/>
      <c r="G333" s="521"/>
      <c r="H333" s="521"/>
      <c r="I333" s="521"/>
      <c r="J333" s="521"/>
      <c r="K333" s="521"/>
      <c r="L333" s="521"/>
      <c r="M333" s="521"/>
      <c r="N333" s="521"/>
      <c r="O333" s="521"/>
      <c r="P333" s="521"/>
      <c r="Q333" s="521"/>
      <c r="R333" s="521"/>
      <c r="S333" s="521"/>
      <c r="T333" s="521"/>
      <c r="U333" s="521"/>
      <c r="V333" s="521"/>
      <c r="W333" s="521"/>
      <c r="X333" s="521"/>
      <c r="Y333" s="521"/>
      <c r="Z333" s="522"/>
    </row>
    <row r="334" spans="1:26" x14ac:dyDescent="0.3">
      <c r="A334" s="521"/>
      <c r="B334" s="521"/>
      <c r="C334" s="521"/>
      <c r="D334" s="521"/>
      <c r="E334" s="521"/>
      <c r="F334" s="521"/>
      <c r="G334" s="521"/>
      <c r="H334" s="521"/>
      <c r="I334" s="521"/>
      <c r="J334" s="521"/>
      <c r="K334" s="521"/>
      <c r="L334" s="521"/>
      <c r="M334" s="521"/>
      <c r="N334" s="521"/>
      <c r="O334" s="521"/>
      <c r="P334" s="521"/>
      <c r="Q334" s="521"/>
      <c r="R334" s="521"/>
      <c r="S334" s="521"/>
      <c r="T334" s="521"/>
      <c r="U334" s="521"/>
      <c r="V334" s="521"/>
      <c r="W334" s="521"/>
      <c r="X334" s="521"/>
      <c r="Y334" s="521"/>
      <c r="Z334" s="522"/>
    </row>
    <row r="335" spans="1:26" x14ac:dyDescent="0.3">
      <c r="A335" s="521"/>
      <c r="B335" s="521"/>
      <c r="C335" s="521"/>
      <c r="D335" s="521"/>
      <c r="E335" s="521"/>
      <c r="F335" s="521"/>
      <c r="G335" s="521"/>
      <c r="H335" s="521"/>
      <c r="I335" s="521"/>
      <c r="J335" s="521"/>
      <c r="K335" s="521"/>
      <c r="L335" s="521"/>
      <c r="M335" s="521"/>
      <c r="N335" s="521"/>
      <c r="O335" s="521"/>
      <c r="P335" s="521"/>
      <c r="Q335" s="521"/>
      <c r="R335" s="521"/>
      <c r="S335" s="521"/>
      <c r="T335" s="521"/>
      <c r="U335" s="521"/>
      <c r="V335" s="521"/>
      <c r="W335" s="521"/>
      <c r="X335" s="521"/>
      <c r="Y335" s="521"/>
      <c r="Z335" s="522"/>
    </row>
    <row r="336" spans="1:26" x14ac:dyDescent="0.3">
      <c r="A336" s="521"/>
      <c r="B336" s="521"/>
      <c r="C336" s="521"/>
      <c r="D336" s="521"/>
      <c r="E336" s="521"/>
      <c r="F336" s="521"/>
      <c r="G336" s="521"/>
      <c r="H336" s="521"/>
      <c r="I336" s="521"/>
      <c r="J336" s="521"/>
      <c r="K336" s="521"/>
      <c r="L336" s="521"/>
      <c r="M336" s="521"/>
      <c r="N336" s="521"/>
      <c r="O336" s="521"/>
      <c r="P336" s="521"/>
      <c r="Q336" s="521"/>
      <c r="R336" s="521"/>
      <c r="S336" s="521"/>
      <c r="T336" s="521"/>
      <c r="U336" s="521"/>
      <c r="V336" s="521"/>
      <c r="W336" s="521"/>
      <c r="X336" s="521"/>
      <c r="Y336" s="521"/>
      <c r="Z336" s="522"/>
    </row>
    <row r="337" spans="1:26" x14ac:dyDescent="0.3">
      <c r="A337" s="521"/>
      <c r="B337" s="521"/>
      <c r="C337" s="521"/>
      <c r="D337" s="521"/>
      <c r="E337" s="521"/>
      <c r="F337" s="521"/>
      <c r="G337" s="521"/>
      <c r="H337" s="521"/>
      <c r="I337" s="521"/>
      <c r="J337" s="521"/>
      <c r="K337" s="521"/>
      <c r="L337" s="521"/>
      <c r="M337" s="521"/>
      <c r="N337" s="521"/>
      <c r="O337" s="521"/>
      <c r="P337" s="521"/>
      <c r="Q337" s="521"/>
      <c r="R337" s="521"/>
      <c r="S337" s="521"/>
      <c r="T337" s="521"/>
      <c r="U337" s="521"/>
      <c r="V337" s="521"/>
      <c r="W337" s="521"/>
      <c r="X337" s="521"/>
      <c r="Y337" s="521"/>
      <c r="Z337" s="522"/>
    </row>
    <row r="338" spans="1:26" x14ac:dyDescent="0.3">
      <c r="A338" s="521"/>
      <c r="B338" s="521"/>
      <c r="C338" s="521"/>
      <c r="D338" s="521"/>
      <c r="E338" s="521"/>
      <c r="F338" s="521"/>
      <c r="G338" s="521"/>
      <c r="H338" s="521"/>
      <c r="I338" s="521"/>
      <c r="J338" s="521"/>
      <c r="K338" s="521"/>
      <c r="L338" s="521"/>
      <c r="M338" s="521"/>
      <c r="N338" s="521"/>
      <c r="O338" s="521"/>
      <c r="P338" s="521"/>
      <c r="Q338" s="521"/>
      <c r="R338" s="521"/>
      <c r="S338" s="521"/>
      <c r="T338" s="521"/>
      <c r="U338" s="521"/>
      <c r="V338" s="521"/>
      <c r="W338" s="521"/>
      <c r="X338" s="521"/>
      <c r="Y338" s="521"/>
      <c r="Z338" s="522"/>
    </row>
    <row r="339" spans="1:26" x14ac:dyDescent="0.3">
      <c r="A339" s="521"/>
      <c r="B339" s="521"/>
      <c r="C339" s="521"/>
      <c r="D339" s="521"/>
      <c r="E339" s="521"/>
      <c r="F339" s="521"/>
      <c r="G339" s="521"/>
      <c r="H339" s="521"/>
      <c r="I339" s="521"/>
      <c r="J339" s="521"/>
      <c r="K339" s="521"/>
      <c r="L339" s="521"/>
      <c r="M339" s="521"/>
      <c r="N339" s="521"/>
      <c r="O339" s="521"/>
      <c r="P339" s="521"/>
      <c r="Q339" s="521"/>
      <c r="R339" s="521"/>
      <c r="S339" s="521"/>
      <c r="T339" s="521"/>
      <c r="U339" s="521"/>
      <c r="V339" s="521"/>
      <c r="W339" s="521"/>
      <c r="X339" s="521"/>
      <c r="Y339" s="521"/>
      <c r="Z339" s="522"/>
    </row>
    <row r="340" spans="1:26" x14ac:dyDescent="0.3">
      <c r="A340" s="521"/>
      <c r="B340" s="521"/>
      <c r="C340" s="521"/>
      <c r="D340" s="521"/>
      <c r="E340" s="521"/>
      <c r="F340" s="521"/>
      <c r="G340" s="521"/>
      <c r="H340" s="521"/>
      <c r="I340" s="521"/>
      <c r="J340" s="521"/>
      <c r="K340" s="521"/>
      <c r="L340" s="521"/>
      <c r="M340" s="521"/>
      <c r="N340" s="521"/>
      <c r="O340" s="521"/>
      <c r="P340" s="521"/>
      <c r="Q340" s="521"/>
      <c r="R340" s="521"/>
      <c r="S340" s="521"/>
      <c r="T340" s="521"/>
      <c r="U340" s="521"/>
      <c r="V340" s="521"/>
      <c r="W340" s="521"/>
      <c r="X340" s="521"/>
      <c r="Y340" s="521"/>
      <c r="Z340" s="522"/>
    </row>
    <row r="341" spans="1:26" x14ac:dyDescent="0.3">
      <c r="A341" s="521"/>
      <c r="B341" s="521"/>
      <c r="C341" s="521"/>
      <c r="D341" s="521"/>
      <c r="E341" s="521"/>
      <c r="F341" s="521"/>
      <c r="G341" s="521"/>
      <c r="H341" s="521"/>
      <c r="I341" s="521"/>
      <c r="J341" s="521"/>
      <c r="K341" s="521"/>
      <c r="L341" s="521"/>
      <c r="M341" s="521"/>
      <c r="N341" s="521"/>
      <c r="O341" s="521"/>
      <c r="P341" s="521"/>
      <c r="Q341" s="521"/>
      <c r="R341" s="521"/>
      <c r="S341" s="521"/>
      <c r="T341" s="521"/>
      <c r="U341" s="521"/>
      <c r="V341" s="521"/>
      <c r="W341" s="521"/>
      <c r="X341" s="521"/>
      <c r="Y341" s="521"/>
      <c r="Z341" s="522"/>
    </row>
    <row r="342" spans="1:26" x14ac:dyDescent="0.3">
      <c r="A342" s="521"/>
      <c r="B342" s="521"/>
      <c r="C342" s="521"/>
      <c r="D342" s="521"/>
      <c r="E342" s="521"/>
      <c r="F342" s="521"/>
      <c r="G342" s="521"/>
      <c r="H342" s="521"/>
      <c r="I342" s="521"/>
      <c r="J342" s="521"/>
      <c r="K342" s="521"/>
      <c r="L342" s="521"/>
      <c r="M342" s="521"/>
      <c r="N342" s="521"/>
      <c r="O342" s="521"/>
      <c r="P342" s="521"/>
      <c r="Q342" s="521"/>
      <c r="R342" s="521"/>
      <c r="S342" s="521"/>
      <c r="T342" s="521"/>
      <c r="U342" s="521"/>
      <c r="V342" s="521"/>
      <c r="W342" s="521"/>
      <c r="X342" s="521"/>
      <c r="Y342" s="521"/>
      <c r="Z342" s="522"/>
    </row>
    <row r="343" spans="1:26" x14ac:dyDescent="0.3">
      <c r="A343" s="521"/>
      <c r="B343" s="521"/>
      <c r="C343" s="521"/>
      <c r="D343" s="521"/>
      <c r="E343" s="521"/>
      <c r="F343" s="521"/>
      <c r="G343" s="521"/>
      <c r="H343" s="521"/>
      <c r="I343" s="521"/>
      <c r="J343" s="521"/>
      <c r="K343" s="521"/>
      <c r="L343" s="521"/>
      <c r="M343" s="521"/>
      <c r="N343" s="521"/>
      <c r="O343" s="521"/>
      <c r="P343" s="521"/>
      <c r="Q343" s="521"/>
      <c r="R343" s="521"/>
      <c r="S343" s="521"/>
      <c r="T343" s="521"/>
      <c r="U343" s="521"/>
      <c r="V343" s="521"/>
      <c r="W343" s="521"/>
      <c r="X343" s="521"/>
      <c r="Y343" s="521"/>
      <c r="Z343" s="522"/>
    </row>
    <row r="344" spans="1:26" x14ac:dyDescent="0.3">
      <c r="A344" s="521"/>
      <c r="B344" s="521"/>
      <c r="C344" s="521"/>
      <c r="D344" s="521"/>
      <c r="E344" s="521"/>
      <c r="F344" s="521"/>
      <c r="G344" s="521"/>
      <c r="H344" s="521"/>
      <c r="I344" s="521"/>
      <c r="J344" s="521"/>
      <c r="K344" s="521"/>
      <c r="L344" s="521"/>
      <c r="M344" s="521"/>
      <c r="N344" s="521"/>
      <c r="O344" s="521"/>
      <c r="P344" s="521"/>
      <c r="Q344" s="521"/>
      <c r="R344" s="521"/>
      <c r="S344" s="521"/>
      <c r="T344" s="521"/>
      <c r="U344" s="521"/>
      <c r="V344" s="521"/>
      <c r="W344" s="521"/>
      <c r="X344" s="521"/>
      <c r="Y344" s="521"/>
      <c r="Z344" s="522"/>
    </row>
    <row r="345" spans="1:26" x14ac:dyDescent="0.3">
      <c r="A345" s="521"/>
      <c r="B345" s="521"/>
      <c r="C345" s="521"/>
      <c r="D345" s="521"/>
      <c r="E345" s="521"/>
      <c r="F345" s="521"/>
      <c r="G345" s="521"/>
      <c r="H345" s="521"/>
      <c r="I345" s="521"/>
      <c r="J345" s="521"/>
      <c r="K345" s="521"/>
      <c r="L345" s="521"/>
      <c r="M345" s="521"/>
      <c r="N345" s="521"/>
      <c r="O345" s="521"/>
      <c r="P345" s="521"/>
      <c r="Q345" s="521"/>
      <c r="R345" s="521"/>
      <c r="S345" s="521"/>
      <c r="T345" s="521"/>
      <c r="U345" s="521"/>
      <c r="V345" s="521"/>
      <c r="W345" s="521"/>
      <c r="X345" s="521"/>
      <c r="Y345" s="521"/>
      <c r="Z345" s="522"/>
    </row>
    <row r="346" spans="1:26" x14ac:dyDescent="0.3">
      <c r="A346" s="521"/>
      <c r="B346" s="521"/>
      <c r="C346" s="521"/>
      <c r="D346" s="521"/>
      <c r="E346" s="521"/>
      <c r="F346" s="521"/>
      <c r="G346" s="521"/>
      <c r="H346" s="521"/>
      <c r="I346" s="521"/>
      <c r="J346" s="521"/>
      <c r="K346" s="521"/>
      <c r="L346" s="521"/>
      <c r="M346" s="521"/>
      <c r="N346" s="521"/>
      <c r="O346" s="521"/>
      <c r="P346" s="521"/>
      <c r="Q346" s="521"/>
      <c r="R346" s="521"/>
      <c r="S346" s="521"/>
      <c r="T346" s="521"/>
      <c r="U346" s="521"/>
      <c r="V346" s="521"/>
      <c r="W346" s="521"/>
      <c r="X346" s="521"/>
      <c r="Y346" s="521"/>
      <c r="Z346" s="522"/>
    </row>
    <row r="347" spans="1:26" x14ac:dyDescent="0.3">
      <c r="A347" s="521"/>
      <c r="B347" s="521"/>
      <c r="C347" s="521"/>
      <c r="D347" s="521"/>
      <c r="E347" s="521"/>
      <c r="F347" s="521"/>
      <c r="G347" s="521"/>
      <c r="H347" s="521"/>
      <c r="I347" s="521"/>
      <c r="J347" s="521"/>
      <c r="K347" s="521"/>
      <c r="L347" s="521"/>
      <c r="M347" s="521"/>
      <c r="N347" s="521"/>
      <c r="O347" s="521"/>
      <c r="P347" s="521"/>
      <c r="Q347" s="521"/>
      <c r="R347" s="521"/>
      <c r="S347" s="521"/>
      <c r="T347" s="521"/>
      <c r="U347" s="521"/>
      <c r="V347" s="521"/>
      <c r="W347" s="521"/>
      <c r="X347" s="521"/>
      <c r="Y347" s="521"/>
      <c r="Z347" s="522"/>
    </row>
    <row r="348" spans="1:26" x14ac:dyDescent="0.3">
      <c r="A348" s="521"/>
      <c r="B348" s="521"/>
      <c r="C348" s="521"/>
      <c r="D348" s="521"/>
      <c r="E348" s="521"/>
      <c r="F348" s="521"/>
      <c r="G348" s="521"/>
      <c r="H348" s="521"/>
      <c r="I348" s="521"/>
      <c r="J348" s="521"/>
      <c r="K348" s="521"/>
      <c r="L348" s="521"/>
      <c r="M348" s="521"/>
      <c r="N348" s="521"/>
      <c r="O348" s="521"/>
      <c r="P348" s="521"/>
      <c r="Q348" s="521"/>
      <c r="R348" s="521"/>
      <c r="S348" s="521"/>
      <c r="T348" s="521"/>
      <c r="U348" s="521"/>
      <c r="V348" s="521"/>
      <c r="W348" s="521"/>
      <c r="X348" s="521"/>
      <c r="Y348" s="521"/>
      <c r="Z348" s="522"/>
    </row>
    <row r="349" spans="1:26" x14ac:dyDescent="0.3">
      <c r="A349" s="521"/>
      <c r="B349" s="521"/>
      <c r="C349" s="521"/>
      <c r="D349" s="521"/>
      <c r="E349" s="521"/>
      <c r="F349" s="521"/>
      <c r="G349" s="521"/>
      <c r="H349" s="521"/>
      <c r="I349" s="521"/>
      <c r="J349" s="521"/>
      <c r="K349" s="521"/>
      <c r="L349" s="521"/>
      <c r="M349" s="521"/>
      <c r="N349" s="521"/>
      <c r="O349" s="521"/>
      <c r="P349" s="521"/>
      <c r="Q349" s="521"/>
      <c r="R349" s="521"/>
      <c r="S349" s="521"/>
      <c r="T349" s="521"/>
      <c r="U349" s="521"/>
      <c r="V349" s="521"/>
      <c r="W349" s="521"/>
      <c r="X349" s="521"/>
      <c r="Y349" s="521"/>
      <c r="Z349" s="522"/>
    </row>
    <row r="350" spans="1:26" x14ac:dyDescent="0.3">
      <c r="A350" s="521"/>
      <c r="B350" s="521"/>
      <c r="C350" s="521"/>
      <c r="D350" s="521"/>
      <c r="E350" s="521"/>
      <c r="F350" s="521"/>
      <c r="G350" s="521"/>
      <c r="H350" s="521"/>
      <c r="I350" s="521"/>
      <c r="J350" s="521"/>
      <c r="K350" s="521"/>
      <c r="L350" s="521"/>
      <c r="M350" s="521"/>
      <c r="N350" s="521"/>
      <c r="O350" s="521"/>
      <c r="P350" s="521"/>
      <c r="Q350" s="521"/>
      <c r="R350" s="521"/>
      <c r="S350" s="521"/>
      <c r="T350" s="521"/>
      <c r="U350" s="521"/>
      <c r="V350" s="521"/>
      <c r="W350" s="521"/>
      <c r="X350" s="521"/>
      <c r="Y350" s="521"/>
      <c r="Z350" s="522"/>
    </row>
    <row r="351" spans="1:26" x14ac:dyDescent="0.3">
      <c r="A351" s="521"/>
      <c r="B351" s="521"/>
      <c r="C351" s="521"/>
      <c r="D351" s="521"/>
      <c r="E351" s="521"/>
      <c r="F351" s="521"/>
      <c r="G351" s="521"/>
      <c r="H351" s="521"/>
      <c r="I351" s="521"/>
      <c r="J351" s="521"/>
      <c r="K351" s="521"/>
      <c r="L351" s="521"/>
      <c r="M351" s="521"/>
      <c r="N351" s="521"/>
      <c r="O351" s="521"/>
      <c r="P351" s="521"/>
      <c r="Q351" s="521"/>
      <c r="R351" s="521"/>
      <c r="S351" s="521"/>
      <c r="T351" s="521"/>
      <c r="U351" s="521"/>
      <c r="V351" s="521"/>
      <c r="W351" s="521"/>
      <c r="X351" s="521"/>
      <c r="Y351" s="521"/>
      <c r="Z351" s="522"/>
    </row>
    <row r="352" spans="1:26" x14ac:dyDescent="0.3">
      <c r="A352" s="521"/>
      <c r="B352" s="521"/>
      <c r="C352" s="521"/>
      <c r="D352" s="521"/>
      <c r="E352" s="521"/>
      <c r="F352" s="521"/>
      <c r="G352" s="521"/>
      <c r="H352" s="521"/>
      <c r="I352" s="521"/>
      <c r="J352" s="521"/>
      <c r="K352" s="521"/>
      <c r="L352" s="521"/>
      <c r="M352" s="521"/>
      <c r="N352" s="521"/>
      <c r="O352" s="521"/>
      <c r="P352" s="521"/>
      <c r="Q352" s="521"/>
      <c r="R352" s="521"/>
      <c r="S352" s="521"/>
      <c r="T352" s="521"/>
      <c r="U352" s="521"/>
      <c r="V352" s="521"/>
      <c r="W352" s="521"/>
      <c r="X352" s="521"/>
      <c r="Y352" s="521"/>
      <c r="Z352" s="522"/>
    </row>
    <row r="353" spans="1:26" x14ac:dyDescent="0.3">
      <c r="A353" s="521"/>
      <c r="B353" s="521"/>
      <c r="C353" s="521"/>
      <c r="D353" s="521"/>
      <c r="E353" s="521"/>
      <c r="F353" s="521"/>
      <c r="G353" s="521"/>
      <c r="H353" s="521"/>
      <c r="I353" s="521"/>
      <c r="J353" s="521"/>
      <c r="K353" s="521"/>
      <c r="L353" s="521"/>
      <c r="M353" s="521"/>
      <c r="N353" s="521"/>
      <c r="O353" s="521"/>
      <c r="P353" s="521"/>
      <c r="Q353" s="521"/>
      <c r="R353" s="521"/>
      <c r="S353" s="521"/>
      <c r="T353" s="521"/>
      <c r="U353" s="521"/>
      <c r="V353" s="521"/>
      <c r="W353" s="521"/>
      <c r="X353" s="521"/>
      <c r="Y353" s="521"/>
      <c r="Z353" s="522"/>
    </row>
    <row r="354" spans="1:26" x14ac:dyDescent="0.3">
      <c r="A354" s="521"/>
      <c r="B354" s="521"/>
      <c r="C354" s="521"/>
      <c r="D354" s="521"/>
      <c r="E354" s="521"/>
      <c r="F354" s="521"/>
      <c r="G354" s="521"/>
      <c r="H354" s="521"/>
      <c r="I354" s="521"/>
      <c r="J354" s="521"/>
      <c r="K354" s="521"/>
      <c r="L354" s="521"/>
      <c r="M354" s="521"/>
      <c r="N354" s="521"/>
      <c r="O354" s="521"/>
      <c r="P354" s="521"/>
      <c r="Q354" s="521"/>
      <c r="R354" s="521"/>
      <c r="S354" s="521"/>
      <c r="T354" s="521"/>
      <c r="U354" s="521"/>
      <c r="V354" s="521"/>
      <c r="W354" s="521"/>
      <c r="X354" s="521"/>
      <c r="Y354" s="521"/>
      <c r="Z354" s="522"/>
    </row>
    <row r="355" spans="1:26" x14ac:dyDescent="0.3">
      <c r="A355" s="521"/>
      <c r="B355" s="521"/>
      <c r="C355" s="521"/>
      <c r="D355" s="521"/>
      <c r="E355" s="521"/>
      <c r="F355" s="521"/>
      <c r="G355" s="521"/>
      <c r="H355" s="521"/>
      <c r="I355" s="521"/>
      <c r="J355" s="521"/>
      <c r="K355" s="521"/>
      <c r="L355" s="521"/>
      <c r="M355" s="521"/>
      <c r="N355" s="521"/>
      <c r="O355" s="521"/>
      <c r="P355" s="521"/>
      <c r="Q355" s="521"/>
      <c r="R355" s="521"/>
      <c r="S355" s="521"/>
      <c r="T355" s="521"/>
      <c r="U355" s="521"/>
      <c r="V355" s="521"/>
      <c r="W355" s="521"/>
      <c r="X355" s="521"/>
      <c r="Y355" s="521"/>
      <c r="Z355" s="522"/>
    </row>
    <row r="356" spans="1:26" x14ac:dyDescent="0.3">
      <c r="A356" s="521"/>
      <c r="B356" s="521"/>
      <c r="C356" s="521"/>
      <c r="D356" s="521"/>
      <c r="E356" s="521"/>
      <c r="F356" s="521"/>
      <c r="G356" s="521"/>
      <c r="H356" s="521"/>
      <c r="I356" s="521"/>
      <c r="J356" s="521"/>
      <c r="K356" s="521"/>
      <c r="L356" s="521"/>
      <c r="M356" s="521"/>
      <c r="N356" s="521"/>
      <c r="O356" s="521"/>
      <c r="P356" s="521"/>
      <c r="Q356" s="521"/>
      <c r="R356" s="521"/>
      <c r="S356" s="521"/>
      <c r="T356" s="521"/>
      <c r="U356" s="521"/>
      <c r="V356" s="521"/>
      <c r="W356" s="521"/>
      <c r="X356" s="521"/>
      <c r="Y356" s="521"/>
      <c r="Z356" s="522"/>
    </row>
    <row r="357" spans="1:26" x14ac:dyDescent="0.3">
      <c r="A357" s="521"/>
      <c r="B357" s="521"/>
      <c r="C357" s="521"/>
      <c r="D357" s="521"/>
      <c r="E357" s="521"/>
      <c r="F357" s="521"/>
      <c r="G357" s="521"/>
      <c r="H357" s="521"/>
      <c r="I357" s="521"/>
      <c r="J357" s="521"/>
      <c r="K357" s="521"/>
      <c r="L357" s="521"/>
      <c r="M357" s="521"/>
      <c r="N357" s="521"/>
      <c r="O357" s="521"/>
      <c r="P357" s="521"/>
      <c r="Q357" s="521"/>
      <c r="R357" s="521"/>
      <c r="S357" s="521"/>
      <c r="T357" s="521"/>
      <c r="U357" s="521"/>
      <c r="V357" s="521"/>
      <c r="W357" s="521"/>
      <c r="X357" s="521"/>
      <c r="Y357" s="521"/>
      <c r="Z357" s="522"/>
    </row>
    <row r="358" spans="1:26" x14ac:dyDescent="0.3">
      <c r="A358" s="521"/>
      <c r="B358" s="521"/>
      <c r="C358" s="521"/>
      <c r="D358" s="521"/>
      <c r="E358" s="521"/>
      <c r="F358" s="521"/>
      <c r="G358" s="521"/>
      <c r="H358" s="521"/>
      <c r="I358" s="521"/>
      <c r="J358" s="521"/>
      <c r="K358" s="521"/>
      <c r="L358" s="521"/>
      <c r="M358" s="521"/>
      <c r="N358" s="521"/>
      <c r="O358" s="521"/>
      <c r="P358" s="521"/>
      <c r="Q358" s="521"/>
      <c r="R358" s="521"/>
      <c r="S358" s="521"/>
      <c r="T358" s="521"/>
      <c r="U358" s="521"/>
      <c r="V358" s="521"/>
      <c r="W358" s="521"/>
      <c r="X358" s="521"/>
      <c r="Y358" s="521"/>
      <c r="Z358" s="522"/>
    </row>
    <row r="359" spans="1:26" x14ac:dyDescent="0.3">
      <c r="A359" s="521"/>
      <c r="B359" s="521"/>
      <c r="C359" s="521"/>
      <c r="D359" s="521"/>
      <c r="E359" s="521"/>
      <c r="F359" s="521"/>
      <c r="G359" s="521"/>
      <c r="H359" s="521"/>
      <c r="I359" s="521"/>
      <c r="J359" s="521"/>
      <c r="K359" s="521"/>
      <c r="L359" s="521"/>
      <c r="M359" s="521"/>
      <c r="N359" s="521"/>
      <c r="O359" s="521"/>
      <c r="P359" s="521"/>
      <c r="Q359" s="521"/>
      <c r="R359" s="521"/>
      <c r="S359" s="521"/>
      <c r="T359" s="521"/>
      <c r="U359" s="521"/>
      <c r="V359" s="521"/>
      <c r="W359" s="521"/>
      <c r="X359" s="521"/>
      <c r="Y359" s="521"/>
      <c r="Z359" s="522"/>
    </row>
    <row r="360" spans="1:26" x14ac:dyDescent="0.3">
      <c r="A360" s="521"/>
      <c r="B360" s="521"/>
      <c r="C360" s="521"/>
      <c r="D360" s="521"/>
      <c r="E360" s="521"/>
      <c r="F360" s="521"/>
      <c r="G360" s="521"/>
      <c r="H360" s="521"/>
      <c r="I360" s="521"/>
      <c r="J360" s="521"/>
      <c r="K360" s="521"/>
      <c r="L360" s="521"/>
      <c r="M360" s="521"/>
      <c r="N360" s="521"/>
      <c r="O360" s="521"/>
      <c r="P360" s="521"/>
      <c r="Q360" s="521"/>
      <c r="R360" s="521"/>
      <c r="S360" s="521"/>
      <c r="T360" s="521"/>
      <c r="U360" s="521"/>
      <c r="V360" s="521"/>
      <c r="W360" s="521"/>
      <c r="X360" s="521"/>
      <c r="Y360" s="521"/>
      <c r="Z360" s="522"/>
    </row>
    <row r="361" spans="1:26" x14ac:dyDescent="0.3">
      <c r="A361" s="521"/>
      <c r="B361" s="521"/>
      <c r="C361" s="521"/>
      <c r="D361" s="521"/>
      <c r="E361" s="521"/>
      <c r="F361" s="521"/>
      <c r="G361" s="521"/>
      <c r="H361" s="521"/>
      <c r="I361" s="521"/>
      <c r="J361" s="521"/>
      <c r="K361" s="521"/>
      <c r="L361" s="521"/>
      <c r="M361" s="521"/>
      <c r="N361" s="521"/>
      <c r="O361" s="521"/>
      <c r="P361" s="521"/>
      <c r="Q361" s="521"/>
      <c r="R361" s="521"/>
      <c r="S361" s="521"/>
      <c r="T361" s="521"/>
      <c r="U361" s="521"/>
      <c r="V361" s="521"/>
      <c r="W361" s="521"/>
      <c r="X361" s="521"/>
      <c r="Y361" s="521"/>
      <c r="Z361" s="522"/>
    </row>
    <row r="362" spans="1:26" x14ac:dyDescent="0.3">
      <c r="A362" s="521"/>
      <c r="B362" s="521"/>
      <c r="C362" s="521"/>
      <c r="D362" s="521"/>
      <c r="E362" s="521"/>
      <c r="F362" s="521"/>
      <c r="G362" s="521"/>
      <c r="H362" s="521"/>
      <c r="I362" s="521"/>
      <c r="J362" s="521"/>
      <c r="K362" s="521"/>
      <c r="L362" s="521"/>
      <c r="M362" s="521"/>
      <c r="N362" s="521"/>
      <c r="O362" s="521"/>
      <c r="P362" s="521"/>
      <c r="Q362" s="521"/>
      <c r="R362" s="521"/>
      <c r="S362" s="521"/>
      <c r="T362" s="521"/>
      <c r="U362" s="521"/>
      <c r="V362" s="521"/>
      <c r="W362" s="521"/>
      <c r="X362" s="521"/>
      <c r="Y362" s="521"/>
      <c r="Z362" s="522"/>
    </row>
    <row r="363" spans="1:26" x14ac:dyDescent="0.3">
      <c r="A363" s="521"/>
      <c r="B363" s="521"/>
      <c r="C363" s="521"/>
      <c r="D363" s="521"/>
      <c r="E363" s="521"/>
      <c r="F363" s="521"/>
      <c r="G363" s="521"/>
      <c r="H363" s="521"/>
      <c r="I363" s="521"/>
      <c r="J363" s="521"/>
      <c r="K363" s="521"/>
      <c r="L363" s="521"/>
      <c r="M363" s="521"/>
      <c r="N363" s="521"/>
      <c r="O363" s="521"/>
      <c r="P363" s="521"/>
      <c r="Q363" s="521"/>
      <c r="R363" s="521"/>
      <c r="S363" s="521"/>
      <c r="T363" s="521"/>
      <c r="U363" s="521"/>
      <c r="V363" s="521"/>
      <c r="W363" s="521"/>
      <c r="X363" s="521"/>
      <c r="Y363" s="521"/>
      <c r="Z363" s="522"/>
    </row>
    <row r="364" spans="1:26" x14ac:dyDescent="0.3">
      <c r="A364" s="521"/>
      <c r="B364" s="521"/>
      <c r="C364" s="521"/>
      <c r="D364" s="521"/>
      <c r="E364" s="521"/>
      <c r="F364" s="521"/>
      <c r="G364" s="521"/>
      <c r="H364" s="521"/>
      <c r="I364" s="521"/>
      <c r="J364" s="521"/>
      <c r="K364" s="521"/>
      <c r="L364" s="521"/>
      <c r="M364" s="521"/>
      <c r="N364" s="521"/>
      <c r="O364" s="521"/>
      <c r="P364" s="521"/>
      <c r="Q364" s="521"/>
      <c r="R364" s="521"/>
      <c r="S364" s="521"/>
      <c r="T364" s="521"/>
      <c r="U364" s="521"/>
      <c r="V364" s="521"/>
      <c r="W364" s="521"/>
      <c r="X364" s="521"/>
      <c r="Y364" s="521"/>
      <c r="Z364" s="522"/>
    </row>
    <row r="365" spans="1:26" x14ac:dyDescent="0.3">
      <c r="A365" s="521"/>
      <c r="B365" s="521"/>
      <c r="C365" s="521"/>
      <c r="D365" s="521"/>
      <c r="E365" s="521"/>
      <c r="F365" s="521"/>
      <c r="G365" s="521"/>
      <c r="H365" s="521"/>
      <c r="I365" s="521"/>
      <c r="J365" s="521"/>
      <c r="K365" s="521"/>
      <c r="L365" s="521"/>
      <c r="M365" s="521"/>
      <c r="N365" s="521"/>
      <c r="O365" s="521"/>
      <c r="P365" s="521"/>
      <c r="Q365" s="521"/>
      <c r="R365" s="521"/>
      <c r="S365" s="521"/>
      <c r="T365" s="521"/>
      <c r="U365" s="521"/>
      <c r="V365" s="521"/>
      <c r="W365" s="521"/>
      <c r="X365" s="521"/>
      <c r="Y365" s="521"/>
      <c r="Z365" s="522"/>
    </row>
    <row r="366" spans="1:26" x14ac:dyDescent="0.3">
      <c r="A366" s="521"/>
      <c r="B366" s="521"/>
      <c r="C366" s="521"/>
      <c r="D366" s="521"/>
      <c r="E366" s="521"/>
      <c r="F366" s="521"/>
      <c r="G366" s="521"/>
      <c r="H366" s="521"/>
      <c r="I366" s="521"/>
      <c r="J366" s="521"/>
      <c r="K366" s="521"/>
      <c r="L366" s="521"/>
      <c r="M366" s="521"/>
      <c r="N366" s="521"/>
      <c r="O366" s="521"/>
      <c r="P366" s="521"/>
      <c r="Q366" s="521"/>
      <c r="R366" s="521"/>
      <c r="S366" s="521"/>
      <c r="T366" s="521"/>
      <c r="U366" s="521"/>
      <c r="V366" s="521"/>
      <c r="W366" s="521"/>
      <c r="X366" s="521"/>
      <c r="Y366" s="521"/>
      <c r="Z366" s="522"/>
    </row>
    <row r="367" spans="1:26" x14ac:dyDescent="0.3">
      <c r="A367" s="521"/>
      <c r="B367" s="521"/>
      <c r="C367" s="521"/>
      <c r="D367" s="521"/>
      <c r="E367" s="521"/>
      <c r="F367" s="521"/>
      <c r="G367" s="521"/>
      <c r="H367" s="521"/>
      <c r="I367" s="521"/>
      <c r="J367" s="521"/>
      <c r="K367" s="521"/>
      <c r="L367" s="521"/>
      <c r="M367" s="521"/>
      <c r="N367" s="521"/>
      <c r="O367" s="521"/>
      <c r="P367" s="521"/>
      <c r="Q367" s="521"/>
      <c r="R367" s="521"/>
      <c r="S367" s="521"/>
      <c r="T367" s="521"/>
      <c r="U367" s="521"/>
      <c r="V367" s="521"/>
      <c r="W367" s="521"/>
      <c r="X367" s="521"/>
      <c r="Y367" s="521"/>
      <c r="Z367" s="522"/>
    </row>
    <row r="368" spans="1:26" x14ac:dyDescent="0.3">
      <c r="A368" s="521"/>
      <c r="B368" s="521"/>
      <c r="C368" s="521"/>
      <c r="D368" s="521"/>
      <c r="E368" s="521"/>
      <c r="F368" s="521"/>
      <c r="G368" s="521"/>
      <c r="H368" s="521"/>
      <c r="I368" s="521"/>
      <c r="J368" s="521"/>
      <c r="K368" s="521"/>
      <c r="L368" s="521"/>
      <c r="M368" s="521"/>
      <c r="N368" s="521"/>
      <c r="O368" s="521"/>
      <c r="P368" s="521"/>
      <c r="Q368" s="521"/>
      <c r="R368" s="521"/>
      <c r="S368" s="521"/>
      <c r="T368" s="521"/>
      <c r="U368" s="521"/>
      <c r="V368" s="521"/>
      <c r="W368" s="521"/>
      <c r="X368" s="521"/>
      <c r="Y368" s="521"/>
      <c r="Z368" s="522"/>
    </row>
    <row r="369" spans="1:26" x14ac:dyDescent="0.3">
      <c r="A369" s="521"/>
      <c r="B369" s="521"/>
      <c r="C369" s="521"/>
      <c r="D369" s="521"/>
      <c r="E369" s="521"/>
      <c r="F369" s="521"/>
      <c r="G369" s="521"/>
      <c r="H369" s="521"/>
      <c r="I369" s="521"/>
      <c r="J369" s="521"/>
      <c r="K369" s="521"/>
      <c r="L369" s="521"/>
      <c r="M369" s="521"/>
      <c r="N369" s="521"/>
      <c r="O369" s="521"/>
      <c r="P369" s="521"/>
      <c r="Q369" s="521"/>
      <c r="R369" s="521"/>
      <c r="S369" s="521"/>
      <c r="T369" s="521"/>
      <c r="U369" s="521"/>
      <c r="V369" s="521"/>
      <c r="W369" s="521"/>
      <c r="X369" s="521"/>
      <c r="Y369" s="521"/>
      <c r="Z369" s="522"/>
    </row>
    <row r="370" spans="1:26" x14ac:dyDescent="0.3">
      <c r="A370" s="521"/>
      <c r="B370" s="521"/>
      <c r="C370" s="521"/>
      <c r="D370" s="521"/>
      <c r="E370" s="521"/>
      <c r="F370" s="521"/>
      <c r="G370" s="521"/>
      <c r="H370" s="521"/>
      <c r="I370" s="521"/>
      <c r="J370" s="521"/>
      <c r="K370" s="521"/>
      <c r="L370" s="521"/>
      <c r="M370" s="521"/>
      <c r="N370" s="521"/>
      <c r="O370" s="521"/>
      <c r="P370" s="521"/>
      <c r="Q370" s="521"/>
      <c r="R370" s="521"/>
      <c r="S370" s="521"/>
      <c r="T370" s="521"/>
      <c r="U370" s="521"/>
      <c r="V370" s="521"/>
      <c r="W370" s="521"/>
      <c r="X370" s="521"/>
      <c r="Y370" s="521"/>
      <c r="Z370" s="522"/>
    </row>
    <row r="371" spans="1:26" x14ac:dyDescent="0.3">
      <c r="A371" s="521"/>
      <c r="B371" s="521"/>
      <c r="C371" s="521"/>
      <c r="D371" s="521"/>
      <c r="E371" s="521"/>
      <c r="F371" s="521"/>
      <c r="G371" s="521"/>
      <c r="H371" s="521"/>
      <c r="I371" s="521"/>
      <c r="J371" s="521"/>
      <c r="K371" s="521"/>
      <c r="L371" s="521"/>
      <c r="M371" s="521"/>
      <c r="N371" s="521"/>
      <c r="O371" s="521"/>
      <c r="P371" s="521"/>
      <c r="Q371" s="521"/>
      <c r="R371" s="521"/>
      <c r="S371" s="521"/>
      <c r="T371" s="521"/>
      <c r="U371" s="521"/>
      <c r="V371" s="521"/>
      <c r="W371" s="521"/>
      <c r="X371" s="521"/>
      <c r="Y371" s="521"/>
      <c r="Z371" s="522"/>
    </row>
    <row r="372" spans="1:26" x14ac:dyDescent="0.3">
      <c r="A372" s="521"/>
      <c r="B372" s="521"/>
      <c r="C372" s="521"/>
      <c r="D372" s="521"/>
      <c r="E372" s="521"/>
      <c r="F372" s="521"/>
      <c r="G372" s="521"/>
      <c r="H372" s="521"/>
      <c r="I372" s="521"/>
      <c r="J372" s="521"/>
      <c r="K372" s="521"/>
      <c r="L372" s="521"/>
      <c r="M372" s="521"/>
      <c r="N372" s="521"/>
      <c r="O372" s="521"/>
      <c r="P372" s="521"/>
      <c r="Q372" s="521"/>
      <c r="R372" s="521"/>
      <c r="S372" s="521"/>
      <c r="T372" s="521"/>
      <c r="U372" s="521"/>
      <c r="V372" s="521"/>
      <c r="W372" s="521"/>
      <c r="X372" s="521"/>
      <c r="Y372" s="521"/>
      <c r="Z372" s="522"/>
    </row>
    <row r="373" spans="1:26" x14ac:dyDescent="0.3">
      <c r="A373" s="521"/>
      <c r="B373" s="521"/>
      <c r="C373" s="521"/>
      <c r="D373" s="521"/>
      <c r="E373" s="521"/>
      <c r="F373" s="521"/>
      <c r="G373" s="521"/>
      <c r="H373" s="521"/>
      <c r="I373" s="521"/>
      <c r="J373" s="521"/>
      <c r="K373" s="521"/>
      <c r="L373" s="521"/>
      <c r="M373" s="521"/>
      <c r="N373" s="521"/>
      <c r="O373" s="521"/>
      <c r="P373" s="521"/>
      <c r="Q373" s="521"/>
      <c r="R373" s="521"/>
      <c r="S373" s="521"/>
      <c r="T373" s="521"/>
      <c r="U373" s="521"/>
      <c r="V373" s="521"/>
      <c r="W373" s="521"/>
      <c r="X373" s="521"/>
      <c r="Y373" s="521"/>
      <c r="Z373" s="522"/>
    </row>
    <row r="374" spans="1:26" x14ac:dyDescent="0.3">
      <c r="A374" s="521"/>
      <c r="B374" s="521"/>
      <c r="C374" s="521"/>
      <c r="D374" s="521"/>
      <c r="E374" s="521"/>
      <c r="F374" s="521"/>
      <c r="G374" s="521"/>
      <c r="H374" s="521"/>
      <c r="I374" s="521"/>
      <c r="J374" s="521"/>
      <c r="K374" s="521"/>
      <c r="L374" s="521"/>
      <c r="M374" s="521"/>
      <c r="N374" s="521"/>
      <c r="O374" s="521"/>
      <c r="P374" s="521"/>
      <c r="Q374" s="521"/>
      <c r="R374" s="521"/>
      <c r="S374" s="521"/>
      <c r="T374" s="521"/>
      <c r="U374" s="521"/>
      <c r="V374" s="521"/>
      <c r="W374" s="521"/>
      <c r="X374" s="521"/>
      <c r="Y374" s="521"/>
      <c r="Z374" s="522"/>
    </row>
    <row r="375" spans="1:26" x14ac:dyDescent="0.3">
      <c r="A375" s="521"/>
      <c r="B375" s="521"/>
      <c r="C375" s="521"/>
      <c r="D375" s="521"/>
      <c r="E375" s="521"/>
      <c r="F375" s="521"/>
      <c r="G375" s="521"/>
      <c r="H375" s="521"/>
      <c r="I375" s="521"/>
      <c r="J375" s="521"/>
      <c r="K375" s="521"/>
      <c r="L375" s="521"/>
      <c r="M375" s="521"/>
      <c r="N375" s="521"/>
      <c r="O375" s="521"/>
      <c r="P375" s="521"/>
      <c r="Q375" s="521"/>
      <c r="R375" s="521"/>
      <c r="S375" s="521"/>
      <c r="T375" s="521"/>
      <c r="U375" s="521"/>
      <c r="V375" s="521"/>
      <c r="W375" s="521"/>
      <c r="X375" s="521"/>
      <c r="Y375" s="521"/>
      <c r="Z375" s="522"/>
    </row>
    <row r="376" spans="1:26" x14ac:dyDescent="0.3">
      <c r="A376" s="521"/>
      <c r="B376" s="521"/>
      <c r="C376" s="521"/>
      <c r="D376" s="521"/>
      <c r="E376" s="521"/>
      <c r="F376" s="521"/>
      <c r="G376" s="521"/>
      <c r="H376" s="521"/>
      <c r="I376" s="521"/>
      <c r="J376" s="521"/>
      <c r="K376" s="521"/>
      <c r="L376" s="521"/>
      <c r="M376" s="521"/>
      <c r="N376" s="521"/>
      <c r="O376" s="521"/>
      <c r="P376" s="521"/>
      <c r="Q376" s="521"/>
      <c r="R376" s="521"/>
      <c r="S376" s="521"/>
      <c r="T376" s="521"/>
      <c r="U376" s="521"/>
      <c r="V376" s="521"/>
      <c r="W376" s="521"/>
      <c r="X376" s="521"/>
      <c r="Y376" s="521"/>
      <c r="Z376" s="522"/>
    </row>
    <row r="377" spans="1:26" x14ac:dyDescent="0.3">
      <c r="A377" s="521"/>
      <c r="B377" s="521"/>
      <c r="C377" s="521"/>
      <c r="D377" s="521"/>
      <c r="E377" s="521"/>
      <c r="F377" s="521"/>
      <c r="G377" s="521"/>
      <c r="H377" s="521"/>
      <c r="I377" s="521"/>
      <c r="J377" s="521"/>
      <c r="K377" s="521"/>
      <c r="L377" s="521"/>
      <c r="M377" s="521"/>
      <c r="N377" s="521"/>
      <c r="O377" s="521"/>
      <c r="P377" s="521"/>
      <c r="Q377" s="521"/>
      <c r="R377" s="521"/>
      <c r="S377" s="521"/>
      <c r="T377" s="521"/>
      <c r="U377" s="521"/>
      <c r="V377" s="521"/>
      <c r="W377" s="521"/>
      <c r="X377" s="521"/>
      <c r="Y377" s="521"/>
      <c r="Z377" s="522"/>
    </row>
    <row r="378" spans="1:26" x14ac:dyDescent="0.3">
      <c r="A378" s="521"/>
      <c r="B378" s="521"/>
      <c r="C378" s="521"/>
      <c r="D378" s="521"/>
      <c r="E378" s="521"/>
      <c r="F378" s="521"/>
      <c r="G378" s="521"/>
      <c r="H378" s="521"/>
      <c r="I378" s="521"/>
      <c r="J378" s="521"/>
      <c r="K378" s="521"/>
      <c r="L378" s="521"/>
      <c r="M378" s="521"/>
      <c r="N378" s="521"/>
      <c r="O378" s="521"/>
      <c r="P378" s="521"/>
      <c r="Q378" s="521"/>
      <c r="R378" s="521"/>
      <c r="S378" s="521"/>
      <c r="T378" s="521"/>
      <c r="U378" s="521"/>
      <c r="V378" s="521"/>
      <c r="W378" s="521"/>
      <c r="X378" s="521"/>
      <c r="Y378" s="521"/>
      <c r="Z378" s="522"/>
    </row>
    <row r="379" spans="1:26" x14ac:dyDescent="0.3">
      <c r="A379" s="521"/>
      <c r="B379" s="521"/>
      <c r="C379" s="521"/>
      <c r="D379" s="521"/>
      <c r="E379" s="521"/>
      <c r="F379" s="521"/>
      <c r="G379" s="521"/>
      <c r="H379" s="521"/>
      <c r="I379" s="521"/>
      <c r="J379" s="521"/>
      <c r="K379" s="521"/>
      <c r="L379" s="521"/>
      <c r="M379" s="521"/>
      <c r="N379" s="521"/>
      <c r="O379" s="521"/>
      <c r="P379" s="521"/>
      <c r="Q379" s="521"/>
      <c r="R379" s="521"/>
      <c r="S379" s="521"/>
      <c r="T379" s="521"/>
      <c r="U379" s="521"/>
      <c r="V379" s="521"/>
      <c r="W379" s="521"/>
      <c r="X379" s="521"/>
      <c r="Y379" s="521"/>
      <c r="Z379" s="522"/>
    </row>
    <row r="380" spans="1:26" x14ac:dyDescent="0.3">
      <c r="A380" s="521"/>
      <c r="B380" s="521"/>
      <c r="C380" s="521"/>
      <c r="D380" s="521"/>
      <c r="E380" s="521"/>
      <c r="F380" s="521"/>
      <c r="G380" s="521"/>
      <c r="H380" s="521"/>
      <c r="I380" s="521"/>
      <c r="J380" s="521"/>
      <c r="K380" s="521"/>
      <c r="L380" s="521"/>
      <c r="M380" s="521"/>
      <c r="N380" s="521"/>
      <c r="O380" s="521"/>
      <c r="P380" s="521"/>
      <c r="Q380" s="521"/>
      <c r="R380" s="521"/>
      <c r="S380" s="521"/>
      <c r="T380" s="521"/>
      <c r="U380" s="521"/>
      <c r="V380" s="521"/>
      <c r="W380" s="521"/>
      <c r="X380" s="521"/>
      <c r="Y380" s="521"/>
      <c r="Z380" s="522"/>
    </row>
    <row r="381" spans="1:26" x14ac:dyDescent="0.3">
      <c r="A381" s="521"/>
      <c r="B381" s="521"/>
      <c r="C381" s="521"/>
      <c r="D381" s="521"/>
      <c r="E381" s="521"/>
      <c r="F381" s="521"/>
      <c r="G381" s="521"/>
      <c r="H381" s="521"/>
      <c r="I381" s="521"/>
      <c r="J381" s="521"/>
      <c r="K381" s="521"/>
      <c r="L381" s="521"/>
      <c r="M381" s="521"/>
      <c r="N381" s="521"/>
      <c r="O381" s="521"/>
      <c r="P381" s="521"/>
      <c r="Q381" s="521"/>
      <c r="R381" s="521"/>
      <c r="S381" s="521"/>
      <c r="T381" s="521"/>
      <c r="U381" s="521"/>
      <c r="V381" s="521"/>
      <c r="W381" s="521"/>
      <c r="X381" s="521"/>
      <c r="Y381" s="521"/>
      <c r="Z381" s="522"/>
    </row>
    <row r="382" spans="1:26" x14ac:dyDescent="0.3">
      <c r="A382" s="521"/>
      <c r="B382" s="521"/>
      <c r="C382" s="521"/>
      <c r="D382" s="521"/>
      <c r="E382" s="521"/>
      <c r="F382" s="521"/>
      <c r="G382" s="521"/>
      <c r="H382" s="521"/>
      <c r="I382" s="521"/>
      <c r="J382" s="521"/>
      <c r="K382" s="521"/>
      <c r="L382" s="521"/>
      <c r="M382" s="521"/>
      <c r="N382" s="521"/>
      <c r="O382" s="521"/>
      <c r="P382" s="521"/>
      <c r="Q382" s="521"/>
      <c r="R382" s="521"/>
      <c r="S382" s="521"/>
      <c r="T382" s="521"/>
      <c r="U382" s="521"/>
      <c r="V382" s="521"/>
      <c r="W382" s="521"/>
      <c r="X382" s="521"/>
      <c r="Y382" s="521"/>
      <c r="Z382" s="522"/>
    </row>
    <row r="383" spans="1:26" x14ac:dyDescent="0.3">
      <c r="A383" s="521"/>
      <c r="B383" s="521"/>
      <c r="C383" s="521"/>
      <c r="D383" s="521"/>
      <c r="E383" s="521"/>
      <c r="F383" s="521"/>
      <c r="G383" s="521"/>
      <c r="H383" s="521"/>
      <c r="I383" s="521"/>
      <c r="J383" s="521"/>
      <c r="K383" s="521"/>
      <c r="L383" s="521"/>
      <c r="M383" s="521"/>
      <c r="N383" s="521"/>
      <c r="O383" s="521"/>
      <c r="P383" s="521"/>
      <c r="Q383" s="521"/>
      <c r="R383" s="521"/>
      <c r="S383" s="521"/>
      <c r="T383" s="521"/>
      <c r="U383" s="521"/>
      <c r="V383" s="521"/>
      <c r="W383" s="521"/>
      <c r="X383" s="521"/>
      <c r="Y383" s="521"/>
      <c r="Z383" s="522"/>
    </row>
    <row r="384" spans="1:26" x14ac:dyDescent="0.3">
      <c r="A384" s="521"/>
      <c r="B384" s="521"/>
      <c r="C384" s="521"/>
      <c r="D384" s="521"/>
      <c r="E384" s="521"/>
      <c r="F384" s="521"/>
      <c r="G384" s="521"/>
      <c r="H384" s="521"/>
      <c r="I384" s="521"/>
      <c r="J384" s="521"/>
      <c r="K384" s="521"/>
      <c r="L384" s="521"/>
      <c r="M384" s="521"/>
      <c r="N384" s="521"/>
      <c r="O384" s="521"/>
      <c r="P384" s="521"/>
      <c r="Q384" s="521"/>
      <c r="R384" s="521"/>
      <c r="S384" s="521"/>
      <c r="T384" s="521"/>
      <c r="U384" s="521"/>
      <c r="V384" s="521"/>
      <c r="W384" s="521"/>
      <c r="X384" s="521"/>
      <c r="Y384" s="521"/>
      <c r="Z384" s="522"/>
    </row>
    <row r="385" spans="1:26" x14ac:dyDescent="0.3">
      <c r="A385" s="521"/>
      <c r="B385" s="521"/>
      <c r="C385" s="521"/>
      <c r="D385" s="521"/>
      <c r="E385" s="521"/>
      <c r="F385" s="521"/>
      <c r="G385" s="521"/>
      <c r="H385" s="521"/>
      <c r="I385" s="521"/>
      <c r="J385" s="521"/>
      <c r="K385" s="521"/>
      <c r="L385" s="521"/>
      <c r="M385" s="521"/>
      <c r="N385" s="521"/>
      <c r="O385" s="521"/>
      <c r="P385" s="521"/>
      <c r="Q385" s="521"/>
      <c r="R385" s="521"/>
      <c r="S385" s="521"/>
      <c r="T385" s="521"/>
      <c r="U385" s="521"/>
      <c r="V385" s="521"/>
      <c r="W385" s="521"/>
      <c r="X385" s="521"/>
      <c r="Y385" s="521"/>
      <c r="Z385" s="522"/>
    </row>
    <row r="386" spans="1:26" x14ac:dyDescent="0.3">
      <c r="A386" s="521"/>
      <c r="B386" s="521"/>
      <c r="C386" s="521"/>
      <c r="D386" s="521"/>
      <c r="E386" s="521"/>
      <c r="F386" s="521"/>
      <c r="G386" s="521"/>
      <c r="H386" s="521"/>
      <c r="I386" s="521"/>
      <c r="J386" s="521"/>
      <c r="K386" s="521"/>
      <c r="L386" s="521"/>
      <c r="M386" s="521"/>
      <c r="N386" s="521"/>
      <c r="O386" s="521"/>
      <c r="P386" s="521"/>
      <c r="Q386" s="521"/>
      <c r="R386" s="521"/>
      <c r="S386" s="521"/>
      <c r="T386" s="521"/>
      <c r="U386" s="521"/>
      <c r="V386" s="521"/>
      <c r="W386" s="521"/>
      <c r="X386" s="521"/>
      <c r="Y386" s="521"/>
      <c r="Z386" s="522"/>
    </row>
    <row r="387" spans="1:26" x14ac:dyDescent="0.3">
      <c r="A387" s="521"/>
      <c r="B387" s="521"/>
      <c r="C387" s="521"/>
      <c r="D387" s="521"/>
      <c r="E387" s="521"/>
      <c r="F387" s="521"/>
      <c r="G387" s="521"/>
      <c r="H387" s="521"/>
      <c r="I387" s="521"/>
      <c r="J387" s="521"/>
      <c r="K387" s="521"/>
      <c r="L387" s="521"/>
      <c r="M387" s="521"/>
      <c r="N387" s="521"/>
      <c r="O387" s="521"/>
      <c r="P387" s="521"/>
      <c r="Q387" s="521"/>
      <c r="R387" s="521"/>
      <c r="S387" s="521"/>
      <c r="T387" s="521"/>
      <c r="U387" s="521"/>
      <c r="V387" s="521"/>
      <c r="W387" s="521"/>
      <c r="X387" s="521"/>
      <c r="Y387" s="521"/>
      <c r="Z387" s="522"/>
    </row>
    <row r="388" spans="1:26" x14ac:dyDescent="0.3">
      <c r="A388" s="521"/>
      <c r="B388" s="521"/>
      <c r="C388" s="521"/>
      <c r="D388" s="521"/>
      <c r="E388" s="521"/>
      <c r="F388" s="521"/>
      <c r="G388" s="521"/>
      <c r="H388" s="521"/>
      <c r="I388" s="521"/>
      <c r="J388" s="521"/>
      <c r="K388" s="521"/>
      <c r="L388" s="521"/>
      <c r="M388" s="521"/>
      <c r="N388" s="521"/>
      <c r="O388" s="521"/>
      <c r="P388" s="521"/>
      <c r="Q388" s="521"/>
      <c r="R388" s="521"/>
      <c r="S388" s="521"/>
      <c r="T388" s="521"/>
      <c r="U388" s="521"/>
      <c r="V388" s="521"/>
      <c r="W388" s="521"/>
      <c r="X388" s="521"/>
      <c r="Y388" s="521"/>
      <c r="Z388" s="522"/>
    </row>
    <row r="389" spans="1:26" x14ac:dyDescent="0.3">
      <c r="A389" s="521"/>
      <c r="B389" s="521"/>
      <c r="C389" s="521"/>
      <c r="D389" s="521"/>
      <c r="E389" s="521"/>
      <c r="F389" s="521"/>
      <c r="G389" s="521"/>
      <c r="H389" s="521"/>
      <c r="I389" s="521"/>
      <c r="J389" s="521"/>
      <c r="K389" s="521"/>
      <c r="L389" s="521"/>
      <c r="M389" s="521"/>
      <c r="N389" s="521"/>
      <c r="O389" s="521"/>
      <c r="P389" s="521"/>
      <c r="Q389" s="521"/>
      <c r="R389" s="521"/>
      <c r="S389" s="521"/>
      <c r="T389" s="521"/>
      <c r="U389" s="521"/>
      <c r="V389" s="521"/>
      <c r="W389" s="521"/>
      <c r="X389" s="521"/>
      <c r="Y389" s="521"/>
      <c r="Z389" s="522"/>
    </row>
    <row r="390" spans="1:26" x14ac:dyDescent="0.3">
      <c r="A390" s="521"/>
      <c r="B390" s="521"/>
      <c r="C390" s="521"/>
      <c r="D390" s="521"/>
      <c r="E390" s="521"/>
      <c r="F390" s="521"/>
      <c r="G390" s="521"/>
      <c r="H390" s="521"/>
      <c r="I390" s="521"/>
      <c r="J390" s="521"/>
      <c r="K390" s="521"/>
      <c r="L390" s="521"/>
      <c r="M390" s="521"/>
      <c r="N390" s="521"/>
      <c r="O390" s="521"/>
      <c r="P390" s="521"/>
      <c r="Q390" s="521"/>
      <c r="R390" s="521"/>
      <c r="S390" s="521"/>
      <c r="T390" s="521"/>
      <c r="U390" s="521"/>
      <c r="V390" s="521"/>
      <c r="W390" s="521"/>
      <c r="X390" s="521"/>
      <c r="Y390" s="521"/>
      <c r="Z390" s="522"/>
    </row>
    <row r="391" spans="1:26" x14ac:dyDescent="0.3">
      <c r="A391" s="521"/>
      <c r="B391" s="521"/>
      <c r="C391" s="521"/>
      <c r="D391" s="521"/>
      <c r="E391" s="521"/>
      <c r="F391" s="521"/>
      <c r="G391" s="521"/>
      <c r="H391" s="521"/>
      <c r="I391" s="521"/>
      <c r="J391" s="521"/>
      <c r="K391" s="521"/>
      <c r="L391" s="521"/>
      <c r="M391" s="521"/>
      <c r="N391" s="521"/>
      <c r="O391" s="521"/>
      <c r="P391" s="521"/>
      <c r="Q391" s="521"/>
      <c r="R391" s="521"/>
      <c r="S391" s="521"/>
      <c r="T391" s="521"/>
      <c r="U391" s="521"/>
      <c r="V391" s="521"/>
      <c r="W391" s="521"/>
      <c r="X391" s="521"/>
      <c r="Y391" s="521"/>
      <c r="Z391" s="522"/>
    </row>
    <row r="392" spans="1:26" x14ac:dyDescent="0.3">
      <c r="A392" s="521"/>
      <c r="B392" s="521"/>
      <c r="C392" s="521"/>
      <c r="D392" s="521"/>
      <c r="E392" s="521"/>
      <c r="F392" s="521"/>
      <c r="G392" s="521"/>
      <c r="H392" s="521"/>
      <c r="I392" s="521"/>
      <c r="J392" s="521"/>
      <c r="K392" s="521"/>
      <c r="L392" s="521"/>
      <c r="M392" s="521"/>
      <c r="N392" s="521"/>
      <c r="O392" s="521"/>
      <c r="P392" s="521"/>
      <c r="Q392" s="521"/>
      <c r="R392" s="521"/>
      <c r="S392" s="521"/>
      <c r="T392" s="521"/>
      <c r="U392" s="521"/>
      <c r="V392" s="521"/>
      <c r="W392" s="521"/>
      <c r="X392" s="521"/>
      <c r="Y392" s="521"/>
      <c r="Z392" s="522"/>
    </row>
    <row r="393" spans="1:26" x14ac:dyDescent="0.3">
      <c r="A393" s="521"/>
      <c r="B393" s="521"/>
      <c r="C393" s="521"/>
      <c r="D393" s="521"/>
      <c r="E393" s="521"/>
      <c r="F393" s="521"/>
      <c r="G393" s="521"/>
      <c r="H393" s="521"/>
      <c r="I393" s="521"/>
      <c r="J393" s="521"/>
      <c r="K393" s="521"/>
      <c r="L393" s="521"/>
      <c r="M393" s="521"/>
      <c r="N393" s="521"/>
      <c r="O393" s="521"/>
      <c r="P393" s="521"/>
      <c r="Q393" s="521"/>
      <c r="R393" s="521"/>
      <c r="S393" s="521"/>
      <c r="T393" s="521"/>
      <c r="U393" s="521"/>
      <c r="V393" s="521"/>
      <c r="W393" s="521"/>
      <c r="X393" s="521"/>
      <c r="Y393" s="521"/>
      <c r="Z393" s="522"/>
    </row>
    <row r="394" spans="1:26" x14ac:dyDescent="0.3">
      <c r="A394" s="521"/>
      <c r="B394" s="521"/>
      <c r="C394" s="521"/>
      <c r="D394" s="521"/>
      <c r="E394" s="521"/>
      <c r="F394" s="521"/>
      <c r="G394" s="521"/>
      <c r="H394" s="521"/>
      <c r="I394" s="521"/>
      <c r="J394" s="521"/>
      <c r="K394" s="521"/>
      <c r="L394" s="521"/>
      <c r="M394" s="521"/>
      <c r="N394" s="521"/>
      <c r="O394" s="521"/>
      <c r="P394" s="521"/>
      <c r="Q394" s="521"/>
      <c r="R394" s="521"/>
      <c r="S394" s="521"/>
      <c r="T394" s="521"/>
      <c r="U394" s="521"/>
      <c r="V394" s="521"/>
      <c r="W394" s="521"/>
      <c r="X394" s="521"/>
      <c r="Y394" s="521"/>
      <c r="Z394" s="522"/>
    </row>
    <row r="395" spans="1:26" x14ac:dyDescent="0.3">
      <c r="A395" s="521"/>
      <c r="B395" s="521"/>
      <c r="C395" s="521"/>
      <c r="D395" s="521"/>
      <c r="E395" s="521"/>
      <c r="F395" s="521"/>
      <c r="G395" s="521"/>
      <c r="H395" s="521"/>
      <c r="I395" s="521"/>
      <c r="J395" s="521"/>
      <c r="K395" s="521"/>
      <c r="L395" s="521"/>
      <c r="M395" s="521"/>
      <c r="N395" s="521"/>
      <c r="O395" s="521"/>
      <c r="P395" s="521"/>
      <c r="Q395" s="521"/>
      <c r="R395" s="521"/>
      <c r="S395" s="521"/>
      <c r="T395" s="521"/>
      <c r="U395" s="521"/>
      <c r="V395" s="521"/>
      <c r="W395" s="521"/>
      <c r="X395" s="521"/>
      <c r="Y395" s="521"/>
      <c r="Z395" s="522"/>
    </row>
    <row r="396" spans="1:26" x14ac:dyDescent="0.3">
      <c r="A396" s="521"/>
      <c r="B396" s="521"/>
      <c r="C396" s="521"/>
      <c r="D396" s="521"/>
      <c r="E396" s="521"/>
      <c r="F396" s="521"/>
      <c r="G396" s="521"/>
      <c r="H396" s="521"/>
      <c r="I396" s="521"/>
      <c r="J396" s="521"/>
      <c r="K396" s="521"/>
      <c r="L396" s="521"/>
      <c r="M396" s="521"/>
      <c r="N396" s="521"/>
      <c r="O396" s="521"/>
      <c r="P396" s="521"/>
      <c r="Q396" s="521"/>
      <c r="R396" s="521"/>
      <c r="S396" s="521"/>
      <c r="T396" s="521"/>
      <c r="U396" s="521"/>
      <c r="V396" s="521"/>
      <c r="W396" s="521"/>
      <c r="X396" s="521"/>
      <c r="Y396" s="521"/>
      <c r="Z396" s="522"/>
    </row>
    <row r="397" spans="1:26" x14ac:dyDescent="0.3">
      <c r="A397" s="521"/>
      <c r="B397" s="521"/>
      <c r="C397" s="521"/>
      <c r="D397" s="521"/>
      <c r="E397" s="521"/>
      <c r="F397" s="521"/>
      <c r="G397" s="521"/>
      <c r="H397" s="521"/>
      <c r="I397" s="521"/>
      <c r="J397" s="521"/>
      <c r="K397" s="521"/>
      <c r="L397" s="521"/>
      <c r="M397" s="521"/>
      <c r="N397" s="521"/>
      <c r="O397" s="521"/>
      <c r="P397" s="521"/>
      <c r="Q397" s="521"/>
      <c r="R397" s="521"/>
      <c r="S397" s="521"/>
      <c r="T397" s="521"/>
      <c r="U397" s="521"/>
      <c r="V397" s="521"/>
      <c r="W397" s="521"/>
      <c r="X397" s="521"/>
      <c r="Y397" s="521"/>
      <c r="Z397" s="522"/>
    </row>
    <row r="398" spans="1:26" x14ac:dyDescent="0.3">
      <c r="A398" s="521"/>
      <c r="B398" s="521"/>
      <c r="C398" s="521"/>
      <c r="D398" s="521"/>
      <c r="E398" s="521"/>
      <c r="F398" s="521"/>
      <c r="G398" s="521"/>
      <c r="H398" s="521"/>
      <c r="I398" s="521"/>
      <c r="J398" s="521"/>
      <c r="K398" s="521"/>
      <c r="L398" s="521"/>
      <c r="M398" s="521"/>
      <c r="N398" s="521"/>
      <c r="O398" s="521"/>
      <c r="P398" s="521"/>
      <c r="Q398" s="521"/>
      <c r="R398" s="521"/>
      <c r="S398" s="521"/>
      <c r="T398" s="521"/>
      <c r="U398" s="521"/>
      <c r="V398" s="521"/>
      <c r="W398" s="521"/>
      <c r="X398" s="521"/>
      <c r="Y398" s="521"/>
      <c r="Z398" s="522"/>
    </row>
    <row r="399" spans="1:26" x14ac:dyDescent="0.3">
      <c r="A399" s="521"/>
      <c r="B399" s="521"/>
      <c r="C399" s="521"/>
      <c r="D399" s="521"/>
      <c r="E399" s="521"/>
      <c r="F399" s="521"/>
      <c r="G399" s="521"/>
      <c r="H399" s="521"/>
      <c r="I399" s="521"/>
      <c r="J399" s="521"/>
      <c r="K399" s="521"/>
      <c r="L399" s="521"/>
      <c r="M399" s="521"/>
      <c r="N399" s="521"/>
      <c r="O399" s="521"/>
      <c r="P399" s="521"/>
      <c r="Q399" s="521"/>
      <c r="R399" s="521"/>
      <c r="S399" s="521"/>
      <c r="T399" s="521"/>
      <c r="U399" s="521"/>
      <c r="V399" s="521"/>
      <c r="W399" s="521"/>
      <c r="X399" s="521"/>
      <c r="Y399" s="521"/>
      <c r="Z399" s="522"/>
    </row>
    <row r="400" spans="1:26" x14ac:dyDescent="0.3">
      <c r="A400" s="521"/>
      <c r="B400" s="521"/>
      <c r="C400" s="521"/>
      <c r="D400" s="521"/>
      <c r="E400" s="521"/>
      <c r="F400" s="521"/>
      <c r="G400" s="521"/>
      <c r="H400" s="521"/>
      <c r="I400" s="521"/>
      <c r="J400" s="521"/>
      <c r="K400" s="521"/>
      <c r="L400" s="521"/>
      <c r="M400" s="521"/>
      <c r="N400" s="521"/>
      <c r="O400" s="521"/>
      <c r="P400" s="521"/>
      <c r="Q400" s="521"/>
      <c r="R400" s="521"/>
      <c r="S400" s="521"/>
      <c r="T400" s="521"/>
      <c r="U400" s="521"/>
      <c r="V400" s="521"/>
      <c r="W400" s="521"/>
      <c r="X400" s="521"/>
      <c r="Y400" s="521"/>
      <c r="Z400" s="522"/>
    </row>
    <row r="401" spans="1:26" x14ac:dyDescent="0.3">
      <c r="A401" s="521"/>
      <c r="B401" s="521"/>
      <c r="C401" s="521"/>
      <c r="D401" s="521"/>
      <c r="E401" s="521"/>
      <c r="F401" s="521"/>
      <c r="G401" s="521"/>
      <c r="H401" s="521"/>
      <c r="I401" s="521"/>
      <c r="J401" s="521"/>
      <c r="K401" s="521"/>
      <c r="L401" s="521"/>
      <c r="M401" s="521"/>
      <c r="N401" s="521"/>
      <c r="O401" s="521"/>
      <c r="P401" s="521"/>
      <c r="Q401" s="521"/>
      <c r="R401" s="521"/>
      <c r="S401" s="521"/>
      <c r="T401" s="521"/>
      <c r="U401" s="521"/>
      <c r="V401" s="521"/>
      <c r="W401" s="521"/>
      <c r="X401" s="521"/>
      <c r="Y401" s="521"/>
      <c r="Z401" s="522"/>
    </row>
    <row r="402" spans="1:26" x14ac:dyDescent="0.3">
      <c r="A402" s="521"/>
      <c r="B402" s="521"/>
      <c r="C402" s="521"/>
      <c r="D402" s="521"/>
      <c r="E402" s="521"/>
      <c r="F402" s="521"/>
      <c r="G402" s="521"/>
      <c r="H402" s="521"/>
      <c r="I402" s="521"/>
      <c r="J402" s="521"/>
      <c r="K402" s="521"/>
      <c r="L402" s="521"/>
      <c r="M402" s="521"/>
      <c r="N402" s="521"/>
      <c r="O402" s="521"/>
      <c r="P402" s="521"/>
      <c r="Q402" s="521"/>
      <c r="R402" s="521"/>
      <c r="S402" s="521"/>
      <c r="T402" s="521"/>
      <c r="U402" s="521"/>
      <c r="V402" s="521"/>
      <c r="W402" s="521"/>
      <c r="X402" s="521"/>
      <c r="Y402" s="521"/>
      <c r="Z402" s="522"/>
    </row>
    <row r="403" spans="1:26" x14ac:dyDescent="0.3">
      <c r="A403" s="521"/>
      <c r="B403" s="521"/>
      <c r="C403" s="521"/>
      <c r="D403" s="521"/>
      <c r="E403" s="521"/>
      <c r="F403" s="521"/>
      <c r="G403" s="521"/>
      <c r="H403" s="521"/>
      <c r="I403" s="521"/>
      <c r="J403" s="521"/>
      <c r="K403" s="521"/>
      <c r="L403" s="521"/>
      <c r="M403" s="521"/>
      <c r="N403" s="521"/>
      <c r="O403" s="521"/>
      <c r="P403" s="521"/>
      <c r="Q403" s="521"/>
      <c r="R403" s="521"/>
      <c r="S403" s="521"/>
      <c r="T403" s="521"/>
      <c r="U403" s="521"/>
      <c r="V403" s="521"/>
      <c r="W403" s="521"/>
      <c r="X403" s="521"/>
      <c r="Y403" s="521"/>
      <c r="Z403" s="522"/>
    </row>
    <row r="404" spans="1:26" x14ac:dyDescent="0.3">
      <c r="A404" s="521"/>
      <c r="B404" s="521"/>
      <c r="C404" s="521"/>
      <c r="D404" s="521"/>
      <c r="E404" s="521"/>
      <c r="F404" s="521"/>
      <c r="G404" s="521"/>
      <c r="H404" s="521"/>
      <c r="I404" s="521"/>
      <c r="J404" s="521"/>
      <c r="K404" s="521"/>
      <c r="L404" s="521"/>
      <c r="M404" s="521"/>
      <c r="N404" s="521"/>
      <c r="O404" s="521"/>
      <c r="P404" s="521"/>
      <c r="Q404" s="521"/>
      <c r="R404" s="521"/>
      <c r="S404" s="521"/>
      <c r="T404" s="521"/>
      <c r="U404" s="521"/>
      <c r="V404" s="521"/>
      <c r="W404" s="521"/>
      <c r="X404" s="521"/>
      <c r="Y404" s="521"/>
      <c r="Z404" s="522"/>
    </row>
    <row r="405" spans="1:26" x14ac:dyDescent="0.3">
      <c r="A405" s="521"/>
      <c r="B405" s="521"/>
      <c r="C405" s="521"/>
      <c r="D405" s="521"/>
      <c r="E405" s="521"/>
      <c r="F405" s="521"/>
      <c r="G405" s="521"/>
      <c r="H405" s="521"/>
      <c r="I405" s="521"/>
      <c r="J405" s="521"/>
      <c r="K405" s="521"/>
      <c r="L405" s="521"/>
      <c r="M405" s="521"/>
      <c r="N405" s="521"/>
      <c r="O405" s="521"/>
      <c r="P405" s="521"/>
      <c r="Q405" s="521"/>
      <c r="R405" s="521"/>
      <c r="S405" s="521"/>
      <c r="T405" s="521"/>
      <c r="U405" s="521"/>
      <c r="V405" s="521"/>
      <c r="W405" s="521"/>
      <c r="X405" s="521"/>
      <c r="Y405" s="521"/>
      <c r="Z405" s="522"/>
    </row>
    <row r="406" spans="1:26" x14ac:dyDescent="0.3">
      <c r="A406" s="521"/>
      <c r="B406" s="521"/>
      <c r="C406" s="521"/>
      <c r="D406" s="521"/>
      <c r="E406" s="521"/>
      <c r="F406" s="521"/>
      <c r="G406" s="521"/>
      <c r="H406" s="521"/>
      <c r="I406" s="521"/>
      <c r="J406" s="521"/>
      <c r="K406" s="521"/>
      <c r="L406" s="521"/>
      <c r="M406" s="521"/>
      <c r="N406" s="521"/>
      <c r="O406" s="521"/>
      <c r="P406" s="521"/>
      <c r="Q406" s="521"/>
      <c r="R406" s="521"/>
      <c r="S406" s="521"/>
      <c r="T406" s="521"/>
      <c r="U406" s="521"/>
      <c r="V406" s="521"/>
      <c r="W406" s="521"/>
      <c r="X406" s="521"/>
      <c r="Y406" s="521"/>
      <c r="Z406" s="522"/>
    </row>
    <row r="407" spans="1:26" x14ac:dyDescent="0.3">
      <c r="A407" s="521"/>
      <c r="B407" s="521"/>
      <c r="C407" s="521"/>
      <c r="D407" s="521"/>
      <c r="E407" s="521"/>
      <c r="F407" s="521"/>
      <c r="G407" s="521"/>
      <c r="H407" s="521"/>
      <c r="I407" s="521"/>
      <c r="J407" s="521"/>
      <c r="K407" s="521"/>
      <c r="L407" s="521"/>
      <c r="M407" s="521"/>
      <c r="N407" s="521"/>
      <c r="O407" s="521"/>
      <c r="P407" s="521"/>
      <c r="Q407" s="521"/>
      <c r="R407" s="521"/>
      <c r="S407" s="521"/>
      <c r="T407" s="521"/>
      <c r="U407" s="521"/>
      <c r="V407" s="521"/>
      <c r="W407" s="521"/>
      <c r="X407" s="521"/>
      <c r="Y407" s="521"/>
      <c r="Z407" s="522"/>
    </row>
    <row r="408" spans="1:26" x14ac:dyDescent="0.3">
      <c r="A408" s="521"/>
      <c r="B408" s="521"/>
      <c r="C408" s="521"/>
      <c r="D408" s="521"/>
      <c r="E408" s="521"/>
      <c r="F408" s="521"/>
      <c r="G408" s="521"/>
      <c r="H408" s="521"/>
      <c r="I408" s="521"/>
      <c r="J408" s="521"/>
      <c r="K408" s="521"/>
      <c r="L408" s="521"/>
      <c r="M408" s="521"/>
      <c r="N408" s="521"/>
      <c r="O408" s="521"/>
      <c r="P408" s="521"/>
      <c r="Q408" s="521"/>
      <c r="R408" s="521"/>
      <c r="S408" s="521"/>
      <c r="T408" s="521"/>
      <c r="U408" s="521"/>
      <c r="V408" s="521"/>
      <c r="W408" s="521"/>
      <c r="X408" s="521"/>
      <c r="Y408" s="521"/>
      <c r="Z408" s="522"/>
    </row>
    <row r="409" spans="1:26" x14ac:dyDescent="0.3">
      <c r="A409" s="521"/>
      <c r="B409" s="521"/>
      <c r="C409" s="521"/>
      <c r="D409" s="521"/>
      <c r="E409" s="521"/>
      <c r="F409" s="521"/>
      <c r="G409" s="521"/>
      <c r="H409" s="521"/>
      <c r="I409" s="521"/>
      <c r="J409" s="521"/>
      <c r="K409" s="521"/>
      <c r="L409" s="521"/>
      <c r="M409" s="521"/>
      <c r="N409" s="521"/>
      <c r="O409" s="521"/>
      <c r="P409" s="521"/>
      <c r="Q409" s="521"/>
      <c r="R409" s="521"/>
      <c r="S409" s="521"/>
      <c r="T409" s="521"/>
      <c r="U409" s="521"/>
      <c r="V409" s="521"/>
      <c r="W409" s="521"/>
      <c r="X409" s="521"/>
      <c r="Y409" s="521"/>
      <c r="Z409" s="522"/>
    </row>
    <row r="410" spans="1:26" x14ac:dyDescent="0.3">
      <c r="A410" s="521"/>
      <c r="B410" s="521"/>
      <c r="C410" s="521"/>
      <c r="D410" s="521"/>
      <c r="E410" s="521"/>
      <c r="F410" s="521"/>
      <c r="G410" s="521"/>
      <c r="H410" s="521"/>
      <c r="I410" s="521"/>
      <c r="J410" s="521"/>
      <c r="K410" s="521"/>
      <c r="L410" s="521"/>
      <c r="M410" s="521"/>
      <c r="N410" s="521"/>
      <c r="O410" s="521"/>
      <c r="P410" s="521"/>
      <c r="Q410" s="521"/>
      <c r="R410" s="521"/>
      <c r="S410" s="521"/>
      <c r="T410" s="521"/>
      <c r="U410" s="521"/>
      <c r="V410" s="521"/>
      <c r="W410" s="521"/>
      <c r="X410" s="521"/>
      <c r="Y410" s="521"/>
      <c r="Z410" s="522"/>
    </row>
    <row r="411" spans="1:26" x14ac:dyDescent="0.3">
      <c r="A411" s="521"/>
      <c r="B411" s="521"/>
      <c r="C411" s="521"/>
      <c r="D411" s="521"/>
      <c r="E411" s="521"/>
      <c r="F411" s="521"/>
      <c r="G411" s="521"/>
      <c r="H411" s="521"/>
      <c r="I411" s="521"/>
      <c r="J411" s="521"/>
      <c r="K411" s="521"/>
      <c r="L411" s="521"/>
      <c r="M411" s="521"/>
      <c r="N411" s="521"/>
      <c r="O411" s="521"/>
      <c r="P411" s="521"/>
      <c r="Q411" s="521"/>
      <c r="R411" s="521"/>
      <c r="S411" s="521"/>
      <c r="T411" s="521"/>
      <c r="U411" s="521"/>
      <c r="V411" s="521"/>
      <c r="W411" s="521"/>
      <c r="X411" s="521"/>
      <c r="Y411" s="521"/>
      <c r="Z411" s="522"/>
    </row>
    <row r="412" spans="1:26" x14ac:dyDescent="0.3">
      <c r="A412" s="521"/>
      <c r="B412" s="521"/>
      <c r="C412" s="521"/>
      <c r="D412" s="521"/>
      <c r="E412" s="521"/>
      <c r="F412" s="521"/>
      <c r="G412" s="521"/>
      <c r="H412" s="521"/>
      <c r="I412" s="521"/>
      <c r="J412" s="521"/>
      <c r="K412" s="521"/>
      <c r="L412" s="521"/>
      <c r="M412" s="521"/>
      <c r="N412" s="521"/>
      <c r="O412" s="521"/>
      <c r="P412" s="521"/>
      <c r="Q412" s="521"/>
      <c r="R412" s="521"/>
      <c r="S412" s="521"/>
      <c r="T412" s="521"/>
      <c r="U412" s="521"/>
      <c r="V412" s="521"/>
      <c r="W412" s="521"/>
      <c r="X412" s="521"/>
      <c r="Y412" s="521"/>
      <c r="Z412" s="522"/>
    </row>
    <row r="413" spans="1:26" x14ac:dyDescent="0.3">
      <c r="A413" s="521"/>
      <c r="B413" s="521"/>
      <c r="C413" s="521"/>
      <c r="D413" s="521"/>
      <c r="E413" s="521"/>
      <c r="F413" s="521"/>
      <c r="G413" s="521"/>
      <c r="H413" s="521"/>
      <c r="I413" s="521"/>
      <c r="J413" s="521"/>
      <c r="K413" s="521"/>
      <c r="L413" s="521"/>
      <c r="M413" s="521"/>
      <c r="N413" s="521"/>
      <c r="O413" s="521"/>
      <c r="P413" s="521"/>
      <c r="Q413" s="521"/>
      <c r="R413" s="521"/>
      <c r="S413" s="521"/>
      <c r="T413" s="521"/>
      <c r="U413" s="521"/>
      <c r="V413" s="521"/>
      <c r="W413" s="521"/>
      <c r="X413" s="521"/>
      <c r="Y413" s="521"/>
      <c r="Z413" s="522"/>
    </row>
    <row r="414" spans="1:26" x14ac:dyDescent="0.3">
      <c r="A414" s="521"/>
      <c r="B414" s="521"/>
      <c r="C414" s="521"/>
      <c r="D414" s="521"/>
      <c r="E414" s="521"/>
      <c r="F414" s="521"/>
      <c r="G414" s="521"/>
      <c r="H414" s="521"/>
      <c r="I414" s="521"/>
      <c r="J414" s="521"/>
      <c r="K414" s="521"/>
      <c r="L414" s="521"/>
      <c r="M414" s="521"/>
      <c r="N414" s="521"/>
      <c r="O414" s="521"/>
      <c r="P414" s="521"/>
      <c r="Q414" s="521"/>
      <c r="R414" s="521"/>
      <c r="S414" s="521"/>
      <c r="T414" s="521"/>
      <c r="U414" s="521"/>
      <c r="V414" s="521"/>
      <c r="W414" s="521"/>
      <c r="X414" s="521"/>
      <c r="Y414" s="521"/>
      <c r="Z414" s="522"/>
    </row>
    <row r="415" spans="1:26" x14ac:dyDescent="0.3">
      <c r="A415" s="521"/>
      <c r="B415" s="521"/>
      <c r="C415" s="521"/>
      <c r="D415" s="521"/>
      <c r="E415" s="521"/>
      <c r="F415" s="521"/>
      <c r="G415" s="521"/>
      <c r="H415" s="521"/>
      <c r="I415" s="521"/>
      <c r="J415" s="521"/>
      <c r="K415" s="521"/>
      <c r="L415" s="521"/>
      <c r="M415" s="521"/>
      <c r="N415" s="521"/>
      <c r="O415" s="521"/>
      <c r="P415" s="521"/>
      <c r="Q415" s="521"/>
      <c r="R415" s="521"/>
      <c r="S415" s="521"/>
      <c r="T415" s="521"/>
      <c r="U415" s="521"/>
      <c r="V415" s="521"/>
      <c r="W415" s="521"/>
      <c r="X415" s="521"/>
      <c r="Y415" s="521"/>
      <c r="Z415" s="522"/>
    </row>
    <row r="416" spans="1:26" x14ac:dyDescent="0.3">
      <c r="A416" s="521"/>
      <c r="B416" s="521"/>
      <c r="C416" s="521"/>
      <c r="D416" s="521"/>
      <c r="E416" s="521"/>
      <c r="F416" s="521"/>
      <c r="G416" s="521"/>
      <c r="H416" s="521"/>
      <c r="I416" s="521"/>
      <c r="J416" s="521"/>
      <c r="K416" s="521"/>
      <c r="L416" s="521"/>
      <c r="M416" s="521"/>
      <c r="N416" s="521"/>
      <c r="O416" s="521"/>
      <c r="P416" s="521"/>
      <c r="Q416" s="521"/>
      <c r="R416" s="521"/>
      <c r="S416" s="521"/>
      <c r="T416" s="521"/>
      <c r="U416" s="521"/>
      <c r="V416" s="521"/>
      <c r="W416" s="521"/>
      <c r="X416" s="521"/>
      <c r="Y416" s="521"/>
      <c r="Z416" s="522"/>
    </row>
    <row r="417" spans="1:26" x14ac:dyDescent="0.3">
      <c r="A417" s="521"/>
      <c r="B417" s="521"/>
      <c r="C417" s="521"/>
      <c r="D417" s="521"/>
      <c r="E417" s="521"/>
      <c r="F417" s="521"/>
      <c r="G417" s="521"/>
      <c r="H417" s="521"/>
      <c r="I417" s="521"/>
      <c r="J417" s="521"/>
      <c r="K417" s="521"/>
      <c r="L417" s="521"/>
      <c r="M417" s="521"/>
      <c r="N417" s="521"/>
      <c r="O417" s="521"/>
      <c r="P417" s="521"/>
      <c r="Q417" s="521"/>
      <c r="R417" s="521"/>
      <c r="S417" s="521"/>
      <c r="T417" s="521"/>
      <c r="U417" s="521"/>
      <c r="V417" s="521"/>
      <c r="W417" s="521"/>
      <c r="X417" s="521"/>
      <c r="Y417" s="521"/>
      <c r="Z417" s="522"/>
    </row>
    <row r="418" spans="1:26" x14ac:dyDescent="0.3">
      <c r="A418" s="521"/>
      <c r="B418" s="521"/>
      <c r="C418" s="521"/>
      <c r="D418" s="521"/>
      <c r="E418" s="521"/>
      <c r="F418" s="521"/>
      <c r="G418" s="521"/>
      <c r="H418" s="521"/>
      <c r="I418" s="521"/>
      <c r="J418" s="521"/>
      <c r="K418" s="521"/>
      <c r="L418" s="521"/>
      <c r="M418" s="521"/>
      <c r="N418" s="521"/>
      <c r="O418" s="521"/>
      <c r="P418" s="521"/>
      <c r="Q418" s="521"/>
      <c r="R418" s="521"/>
      <c r="S418" s="521"/>
      <c r="T418" s="521"/>
      <c r="U418" s="521"/>
      <c r="V418" s="521"/>
      <c r="W418" s="521"/>
      <c r="X418" s="521"/>
      <c r="Y418" s="521"/>
      <c r="Z418" s="522"/>
    </row>
    <row r="419" spans="1:26" x14ac:dyDescent="0.3">
      <c r="A419" s="521"/>
      <c r="B419" s="521"/>
      <c r="C419" s="521"/>
      <c r="D419" s="521"/>
      <c r="E419" s="521"/>
      <c r="F419" s="521"/>
      <c r="G419" s="521"/>
      <c r="H419" s="521"/>
      <c r="I419" s="521"/>
      <c r="J419" s="521"/>
      <c r="K419" s="521"/>
      <c r="L419" s="521"/>
      <c r="M419" s="521"/>
      <c r="N419" s="521"/>
      <c r="O419" s="521"/>
      <c r="P419" s="521"/>
      <c r="Q419" s="521"/>
      <c r="R419" s="521"/>
      <c r="S419" s="521"/>
      <c r="T419" s="521"/>
      <c r="U419" s="521"/>
      <c r="V419" s="521"/>
      <c r="W419" s="521"/>
      <c r="X419" s="521"/>
      <c r="Y419" s="521"/>
      <c r="Z419" s="522"/>
    </row>
    <row r="420" spans="1:26" x14ac:dyDescent="0.3">
      <c r="A420" s="521"/>
      <c r="B420" s="521"/>
      <c r="C420" s="521"/>
      <c r="D420" s="521"/>
      <c r="E420" s="521"/>
      <c r="F420" s="521"/>
      <c r="G420" s="521"/>
      <c r="H420" s="521"/>
      <c r="I420" s="521"/>
      <c r="J420" s="521"/>
      <c r="K420" s="521"/>
      <c r="L420" s="521"/>
      <c r="M420" s="521"/>
      <c r="N420" s="521"/>
      <c r="O420" s="521"/>
      <c r="P420" s="521"/>
      <c r="Q420" s="521"/>
      <c r="R420" s="521"/>
      <c r="S420" s="521"/>
      <c r="T420" s="521"/>
      <c r="U420" s="521"/>
      <c r="V420" s="521"/>
      <c r="W420" s="521"/>
      <c r="X420" s="521"/>
      <c r="Y420" s="521"/>
      <c r="Z420" s="522"/>
    </row>
    <row r="421" spans="1:26" x14ac:dyDescent="0.3">
      <c r="A421" s="521"/>
      <c r="B421" s="521"/>
      <c r="C421" s="521"/>
      <c r="D421" s="521"/>
      <c r="E421" s="521"/>
      <c r="F421" s="521"/>
      <c r="G421" s="521"/>
      <c r="H421" s="521"/>
      <c r="I421" s="521"/>
      <c r="J421" s="521"/>
      <c r="K421" s="521"/>
      <c r="L421" s="521"/>
      <c r="M421" s="521"/>
      <c r="N421" s="521"/>
      <c r="O421" s="521"/>
      <c r="P421" s="521"/>
      <c r="Q421" s="521"/>
      <c r="R421" s="521"/>
      <c r="S421" s="521"/>
      <c r="T421" s="521"/>
      <c r="U421" s="521"/>
      <c r="V421" s="521"/>
      <c r="W421" s="521"/>
      <c r="X421" s="521"/>
      <c r="Y421" s="521"/>
      <c r="Z421" s="522"/>
    </row>
    <row r="422" spans="1:26" x14ac:dyDescent="0.3">
      <c r="A422" s="521"/>
      <c r="B422" s="521"/>
      <c r="C422" s="521"/>
      <c r="D422" s="521"/>
      <c r="E422" s="521"/>
      <c r="F422" s="521"/>
      <c r="G422" s="521"/>
      <c r="H422" s="521"/>
      <c r="I422" s="521"/>
      <c r="J422" s="521"/>
      <c r="K422" s="521"/>
      <c r="L422" s="521"/>
      <c r="M422" s="521"/>
      <c r="N422" s="521"/>
      <c r="O422" s="521"/>
      <c r="P422" s="521"/>
      <c r="Q422" s="521"/>
      <c r="R422" s="521"/>
      <c r="S422" s="521"/>
      <c r="T422" s="521"/>
      <c r="U422" s="521"/>
      <c r="V422" s="521"/>
      <c r="W422" s="521"/>
      <c r="X422" s="521"/>
      <c r="Y422" s="521"/>
      <c r="Z422" s="522"/>
    </row>
    <row r="423" spans="1:26" x14ac:dyDescent="0.3">
      <c r="A423" s="521"/>
      <c r="B423" s="521"/>
      <c r="C423" s="521"/>
      <c r="D423" s="521"/>
      <c r="E423" s="521"/>
      <c r="F423" s="521"/>
      <c r="G423" s="521"/>
      <c r="H423" s="521"/>
      <c r="I423" s="521"/>
      <c r="J423" s="521"/>
      <c r="K423" s="521"/>
      <c r="L423" s="521"/>
      <c r="M423" s="521"/>
      <c r="N423" s="521"/>
      <c r="O423" s="521"/>
      <c r="P423" s="521"/>
      <c r="Q423" s="521"/>
      <c r="R423" s="521"/>
      <c r="S423" s="521"/>
      <c r="T423" s="521"/>
      <c r="U423" s="521"/>
      <c r="V423" s="521"/>
      <c r="W423" s="521"/>
      <c r="X423" s="521"/>
      <c r="Y423" s="521"/>
      <c r="Z423" s="522"/>
    </row>
    <row r="424" spans="1:26" x14ac:dyDescent="0.3">
      <c r="A424" s="521"/>
      <c r="B424" s="521"/>
      <c r="C424" s="521"/>
      <c r="D424" s="521"/>
      <c r="E424" s="521"/>
      <c r="F424" s="521"/>
      <c r="G424" s="521"/>
      <c r="H424" s="521"/>
      <c r="I424" s="521"/>
      <c r="J424" s="521"/>
      <c r="K424" s="521"/>
      <c r="L424" s="521"/>
      <c r="M424" s="521"/>
      <c r="N424" s="521"/>
      <c r="O424" s="521"/>
      <c r="P424" s="521"/>
      <c r="Q424" s="521"/>
      <c r="R424" s="521"/>
      <c r="S424" s="521"/>
      <c r="T424" s="521"/>
      <c r="U424" s="521"/>
      <c r="V424" s="521"/>
      <c r="W424" s="521"/>
      <c r="X424" s="521"/>
      <c r="Y424" s="521"/>
      <c r="Z424" s="522"/>
    </row>
    <row r="425" spans="1:26" x14ac:dyDescent="0.3">
      <c r="A425" s="521"/>
      <c r="B425" s="521"/>
      <c r="C425" s="521"/>
      <c r="D425" s="521"/>
      <c r="E425" s="521"/>
      <c r="F425" s="521"/>
      <c r="G425" s="521"/>
      <c r="H425" s="521"/>
      <c r="I425" s="521"/>
      <c r="J425" s="521"/>
      <c r="K425" s="521"/>
      <c r="L425" s="521"/>
      <c r="M425" s="521"/>
      <c r="N425" s="521"/>
      <c r="O425" s="521"/>
      <c r="P425" s="521"/>
      <c r="Q425" s="521"/>
      <c r="R425" s="521"/>
      <c r="S425" s="521"/>
      <c r="T425" s="521"/>
      <c r="U425" s="521"/>
      <c r="V425" s="521"/>
      <c r="W425" s="521"/>
      <c r="X425" s="521"/>
      <c r="Y425" s="521"/>
      <c r="Z425" s="522"/>
    </row>
    <row r="426" spans="1:26" x14ac:dyDescent="0.3">
      <c r="A426" s="521"/>
      <c r="B426" s="521"/>
      <c r="C426" s="521"/>
      <c r="D426" s="521"/>
      <c r="E426" s="521"/>
      <c r="F426" s="521"/>
      <c r="G426" s="521"/>
      <c r="H426" s="521"/>
      <c r="I426" s="521"/>
      <c r="J426" s="521"/>
      <c r="K426" s="521"/>
      <c r="L426" s="521"/>
      <c r="M426" s="521"/>
      <c r="N426" s="521"/>
      <c r="O426" s="521"/>
      <c r="P426" s="521"/>
      <c r="Q426" s="521"/>
      <c r="R426" s="521"/>
      <c r="S426" s="521"/>
      <c r="T426" s="521"/>
      <c r="U426" s="521"/>
      <c r="V426" s="521"/>
      <c r="W426" s="521"/>
      <c r="X426" s="521"/>
      <c r="Y426" s="521"/>
      <c r="Z426" s="522"/>
    </row>
    <row r="427" spans="1:26" x14ac:dyDescent="0.3">
      <c r="A427" s="521"/>
      <c r="B427" s="521"/>
      <c r="C427" s="521"/>
      <c r="D427" s="521"/>
      <c r="E427" s="521"/>
      <c r="F427" s="521"/>
      <c r="G427" s="521"/>
      <c r="H427" s="521"/>
      <c r="I427" s="521"/>
      <c r="J427" s="521"/>
      <c r="K427" s="521"/>
      <c r="L427" s="521"/>
      <c r="M427" s="521"/>
      <c r="N427" s="521"/>
      <c r="O427" s="521"/>
      <c r="P427" s="521"/>
      <c r="Q427" s="521"/>
      <c r="R427" s="521"/>
      <c r="S427" s="521"/>
      <c r="T427" s="521"/>
      <c r="U427" s="521"/>
      <c r="V427" s="521"/>
      <c r="W427" s="521"/>
      <c r="X427" s="521"/>
      <c r="Y427" s="521"/>
      <c r="Z427" s="522"/>
    </row>
    <row r="428" spans="1:26" x14ac:dyDescent="0.3">
      <c r="A428" s="521"/>
      <c r="B428" s="521"/>
      <c r="C428" s="521"/>
      <c r="D428" s="521"/>
      <c r="E428" s="521"/>
      <c r="F428" s="521"/>
      <c r="G428" s="521"/>
      <c r="H428" s="521"/>
      <c r="I428" s="521"/>
      <c r="J428" s="521"/>
      <c r="K428" s="521"/>
      <c r="L428" s="521"/>
      <c r="M428" s="521"/>
      <c r="N428" s="521"/>
      <c r="O428" s="521"/>
      <c r="P428" s="521"/>
      <c r="Q428" s="521"/>
      <c r="R428" s="521"/>
      <c r="S428" s="521"/>
      <c r="T428" s="521"/>
      <c r="U428" s="521"/>
      <c r="V428" s="521"/>
      <c r="W428" s="521"/>
      <c r="X428" s="521"/>
      <c r="Y428" s="521"/>
      <c r="Z428" s="522"/>
    </row>
    <row r="429" spans="1:26" x14ac:dyDescent="0.3">
      <c r="A429" s="521"/>
      <c r="B429" s="521"/>
      <c r="C429" s="521"/>
      <c r="D429" s="521"/>
      <c r="E429" s="521"/>
      <c r="F429" s="521"/>
      <c r="G429" s="521"/>
      <c r="H429" s="521"/>
      <c r="I429" s="521"/>
      <c r="J429" s="521"/>
      <c r="K429" s="521"/>
      <c r="L429" s="521"/>
      <c r="M429" s="521"/>
      <c r="N429" s="521"/>
      <c r="O429" s="521"/>
      <c r="P429" s="521"/>
      <c r="Q429" s="521"/>
      <c r="R429" s="521"/>
      <c r="S429" s="521"/>
      <c r="T429" s="521"/>
      <c r="U429" s="521"/>
      <c r="V429" s="521"/>
      <c r="W429" s="521"/>
      <c r="X429" s="521"/>
      <c r="Y429" s="521"/>
      <c r="Z429" s="522"/>
    </row>
    <row r="430" spans="1:26" x14ac:dyDescent="0.3">
      <c r="A430" s="521"/>
      <c r="B430" s="521"/>
      <c r="C430" s="521"/>
      <c r="D430" s="521"/>
      <c r="E430" s="521"/>
      <c r="F430" s="521"/>
      <c r="G430" s="521"/>
      <c r="H430" s="521"/>
      <c r="I430" s="521"/>
      <c r="J430" s="521"/>
      <c r="K430" s="521"/>
      <c r="L430" s="521"/>
      <c r="M430" s="521"/>
      <c r="N430" s="521"/>
      <c r="O430" s="521"/>
      <c r="P430" s="521"/>
      <c r="Q430" s="521"/>
      <c r="R430" s="521"/>
      <c r="S430" s="521"/>
      <c r="T430" s="521"/>
      <c r="U430" s="521"/>
      <c r="V430" s="521"/>
      <c r="W430" s="521"/>
      <c r="X430" s="521"/>
      <c r="Y430" s="521"/>
      <c r="Z430" s="522"/>
    </row>
    <row r="431" spans="1:26" x14ac:dyDescent="0.3">
      <c r="A431" s="521"/>
      <c r="B431" s="521"/>
      <c r="C431" s="521"/>
      <c r="D431" s="521"/>
      <c r="E431" s="521"/>
      <c r="F431" s="521"/>
      <c r="G431" s="521"/>
      <c r="H431" s="521"/>
      <c r="I431" s="521"/>
      <c r="J431" s="521"/>
      <c r="K431" s="521"/>
      <c r="L431" s="521"/>
      <c r="M431" s="521"/>
      <c r="N431" s="521"/>
      <c r="O431" s="521"/>
      <c r="P431" s="521"/>
      <c r="Q431" s="521"/>
      <c r="R431" s="521"/>
      <c r="S431" s="521"/>
      <c r="T431" s="521"/>
      <c r="U431" s="521"/>
      <c r="V431" s="521"/>
      <c r="W431" s="521"/>
      <c r="X431" s="521"/>
      <c r="Y431" s="521"/>
      <c r="Z431" s="522"/>
    </row>
    <row r="432" spans="1:26" x14ac:dyDescent="0.3">
      <c r="A432" s="521"/>
      <c r="B432" s="521"/>
      <c r="C432" s="521"/>
      <c r="D432" s="521"/>
      <c r="E432" s="521"/>
      <c r="F432" s="521"/>
      <c r="G432" s="521"/>
      <c r="H432" s="521"/>
      <c r="I432" s="521"/>
      <c r="J432" s="521"/>
      <c r="K432" s="521"/>
      <c r="L432" s="521"/>
      <c r="M432" s="521"/>
      <c r="N432" s="521"/>
      <c r="O432" s="521"/>
      <c r="P432" s="521"/>
      <c r="Q432" s="521"/>
      <c r="R432" s="521"/>
      <c r="S432" s="521"/>
      <c r="T432" s="521"/>
      <c r="U432" s="521"/>
      <c r="V432" s="521"/>
      <c r="W432" s="521"/>
      <c r="X432" s="521"/>
      <c r="Y432" s="521"/>
      <c r="Z432" s="522"/>
    </row>
    <row r="433" spans="1:26" x14ac:dyDescent="0.3">
      <c r="A433" s="521"/>
      <c r="B433" s="521"/>
      <c r="C433" s="521"/>
      <c r="D433" s="521"/>
      <c r="E433" s="521"/>
      <c r="F433" s="521"/>
      <c r="G433" s="521"/>
      <c r="H433" s="521"/>
      <c r="I433" s="521"/>
      <c r="J433" s="521"/>
      <c r="K433" s="521"/>
      <c r="L433" s="521"/>
      <c r="M433" s="521"/>
      <c r="N433" s="521"/>
      <c r="O433" s="521"/>
      <c r="P433" s="521"/>
      <c r="Q433" s="521"/>
      <c r="R433" s="521"/>
      <c r="S433" s="521"/>
      <c r="T433" s="521"/>
      <c r="U433" s="521"/>
      <c r="V433" s="521"/>
      <c r="W433" s="521"/>
      <c r="X433" s="521"/>
      <c r="Y433" s="521"/>
      <c r="Z433" s="522"/>
    </row>
    <row r="434" spans="1:26" x14ac:dyDescent="0.3">
      <c r="A434" s="521"/>
      <c r="B434" s="521"/>
      <c r="C434" s="521"/>
      <c r="D434" s="521"/>
      <c r="E434" s="521"/>
      <c r="F434" s="521"/>
      <c r="G434" s="521"/>
      <c r="H434" s="521"/>
      <c r="I434" s="521"/>
      <c r="J434" s="521"/>
      <c r="K434" s="521"/>
      <c r="L434" s="521"/>
      <c r="M434" s="521"/>
      <c r="N434" s="521"/>
      <c r="O434" s="521"/>
      <c r="P434" s="521"/>
      <c r="Q434" s="521"/>
      <c r="R434" s="521"/>
      <c r="S434" s="521"/>
      <c r="T434" s="521"/>
      <c r="U434" s="521"/>
      <c r="V434" s="521"/>
      <c r="W434" s="521"/>
      <c r="X434" s="521"/>
      <c r="Y434" s="521"/>
      <c r="Z434" s="522"/>
    </row>
    <row r="435" spans="1:26" x14ac:dyDescent="0.3">
      <c r="A435" s="521"/>
      <c r="B435" s="521"/>
      <c r="C435" s="521"/>
      <c r="D435" s="521"/>
      <c r="E435" s="521"/>
      <c r="F435" s="521"/>
      <c r="G435" s="521"/>
      <c r="H435" s="521"/>
      <c r="I435" s="521"/>
      <c r="J435" s="521"/>
      <c r="K435" s="521"/>
      <c r="L435" s="521"/>
      <c r="M435" s="521"/>
      <c r="N435" s="521"/>
      <c r="O435" s="521"/>
      <c r="P435" s="521"/>
      <c r="Q435" s="521"/>
      <c r="R435" s="521"/>
      <c r="S435" s="521"/>
      <c r="T435" s="521"/>
      <c r="U435" s="521"/>
      <c r="V435" s="521"/>
      <c r="W435" s="521"/>
      <c r="X435" s="521"/>
      <c r="Y435" s="521"/>
      <c r="Z435" s="522"/>
    </row>
    <row r="436" spans="1:26" x14ac:dyDescent="0.3">
      <c r="A436" s="521"/>
      <c r="B436" s="521"/>
      <c r="C436" s="521"/>
      <c r="D436" s="521"/>
      <c r="E436" s="521"/>
      <c r="F436" s="521"/>
      <c r="G436" s="521"/>
      <c r="H436" s="521"/>
      <c r="I436" s="521"/>
      <c r="J436" s="521"/>
      <c r="K436" s="521"/>
      <c r="L436" s="521"/>
      <c r="M436" s="521"/>
      <c r="N436" s="521"/>
      <c r="O436" s="521"/>
      <c r="P436" s="521"/>
      <c r="Q436" s="521"/>
      <c r="R436" s="521"/>
      <c r="S436" s="521"/>
      <c r="T436" s="521"/>
      <c r="U436" s="521"/>
      <c r="V436" s="521"/>
      <c r="W436" s="521"/>
      <c r="X436" s="521"/>
      <c r="Y436" s="521"/>
      <c r="Z436" s="522"/>
    </row>
    <row r="437" spans="1:26" x14ac:dyDescent="0.3">
      <c r="A437" s="521"/>
      <c r="B437" s="521"/>
      <c r="C437" s="521"/>
      <c r="D437" s="521"/>
      <c r="E437" s="521"/>
      <c r="F437" s="521"/>
      <c r="G437" s="521"/>
      <c r="H437" s="521"/>
      <c r="I437" s="521"/>
      <c r="J437" s="521"/>
      <c r="K437" s="521"/>
      <c r="L437" s="521"/>
      <c r="M437" s="521"/>
      <c r="N437" s="521"/>
      <c r="O437" s="521"/>
      <c r="P437" s="521"/>
      <c r="Q437" s="521"/>
      <c r="R437" s="521"/>
      <c r="S437" s="521"/>
      <c r="T437" s="521"/>
      <c r="U437" s="521"/>
      <c r="V437" s="521"/>
      <c r="W437" s="521"/>
      <c r="X437" s="521"/>
      <c r="Y437" s="521"/>
      <c r="Z437" s="522"/>
    </row>
    <row r="438" spans="1:26" x14ac:dyDescent="0.3">
      <c r="A438" s="521"/>
      <c r="B438" s="521"/>
      <c r="C438" s="521"/>
      <c r="D438" s="521"/>
      <c r="E438" s="521"/>
      <c r="F438" s="521"/>
      <c r="G438" s="521"/>
      <c r="H438" s="521"/>
      <c r="I438" s="521"/>
      <c r="J438" s="521"/>
      <c r="K438" s="521"/>
      <c r="L438" s="521"/>
      <c r="M438" s="521"/>
      <c r="N438" s="521"/>
      <c r="O438" s="521"/>
      <c r="P438" s="521"/>
      <c r="Q438" s="521"/>
      <c r="R438" s="521"/>
      <c r="S438" s="521"/>
      <c r="T438" s="521"/>
      <c r="U438" s="521"/>
      <c r="V438" s="521"/>
      <c r="W438" s="521"/>
      <c r="X438" s="521"/>
      <c r="Y438" s="521"/>
      <c r="Z438" s="522"/>
    </row>
    <row r="439" spans="1:26" x14ac:dyDescent="0.3">
      <c r="A439" s="521"/>
      <c r="B439" s="521"/>
      <c r="C439" s="521"/>
      <c r="D439" s="521"/>
      <c r="E439" s="521"/>
      <c r="F439" s="521"/>
      <c r="G439" s="521"/>
      <c r="H439" s="521"/>
      <c r="I439" s="521"/>
      <c r="J439" s="521"/>
      <c r="K439" s="521"/>
      <c r="L439" s="521"/>
      <c r="M439" s="521"/>
      <c r="N439" s="521"/>
      <c r="O439" s="521"/>
      <c r="P439" s="521"/>
      <c r="Q439" s="521"/>
      <c r="R439" s="521"/>
      <c r="S439" s="521"/>
      <c r="T439" s="521"/>
      <c r="U439" s="521"/>
      <c r="V439" s="521"/>
      <c r="W439" s="521"/>
      <c r="X439" s="521"/>
      <c r="Y439" s="521"/>
      <c r="Z439" s="522"/>
    </row>
    <row r="440" spans="1:26" x14ac:dyDescent="0.3">
      <c r="A440" s="521"/>
      <c r="B440" s="521"/>
      <c r="C440" s="521"/>
      <c r="D440" s="521"/>
      <c r="E440" s="521"/>
      <c r="F440" s="521"/>
      <c r="G440" s="521"/>
      <c r="H440" s="521"/>
      <c r="I440" s="521"/>
      <c r="J440" s="521"/>
      <c r="K440" s="521"/>
      <c r="L440" s="521"/>
      <c r="M440" s="521"/>
      <c r="N440" s="521"/>
      <c r="O440" s="521"/>
      <c r="P440" s="521"/>
      <c r="Q440" s="521"/>
      <c r="R440" s="521"/>
      <c r="S440" s="521"/>
      <c r="T440" s="521"/>
      <c r="U440" s="521"/>
      <c r="V440" s="521"/>
      <c r="W440" s="521"/>
      <c r="X440" s="521"/>
      <c r="Y440" s="521"/>
      <c r="Z440" s="522"/>
    </row>
    <row r="441" spans="1:26" x14ac:dyDescent="0.3">
      <c r="A441" s="521"/>
      <c r="B441" s="521"/>
      <c r="C441" s="521"/>
      <c r="D441" s="521"/>
      <c r="E441" s="521"/>
      <c r="F441" s="521"/>
      <c r="G441" s="521"/>
      <c r="H441" s="521"/>
      <c r="I441" s="521"/>
      <c r="J441" s="521"/>
      <c r="K441" s="521"/>
      <c r="L441" s="521"/>
      <c r="M441" s="521"/>
      <c r="N441" s="521"/>
      <c r="O441" s="521"/>
      <c r="P441" s="521"/>
      <c r="Q441" s="521"/>
      <c r="R441" s="521"/>
      <c r="S441" s="521"/>
      <c r="T441" s="521"/>
      <c r="U441" s="521"/>
      <c r="V441" s="521"/>
      <c r="W441" s="521"/>
      <c r="X441" s="521"/>
      <c r="Y441" s="521"/>
      <c r="Z441" s="522"/>
    </row>
    <row r="442" spans="1:26" x14ac:dyDescent="0.3">
      <c r="A442" s="521"/>
      <c r="B442" s="521"/>
      <c r="C442" s="521"/>
      <c r="D442" s="521"/>
      <c r="E442" s="521"/>
      <c r="F442" s="521"/>
      <c r="G442" s="521"/>
      <c r="H442" s="521"/>
      <c r="I442" s="521"/>
      <c r="J442" s="521"/>
      <c r="K442" s="521"/>
      <c r="L442" s="521"/>
      <c r="M442" s="521"/>
      <c r="N442" s="521"/>
      <c r="O442" s="521"/>
      <c r="P442" s="521"/>
      <c r="Q442" s="521"/>
      <c r="R442" s="521"/>
      <c r="S442" s="521"/>
      <c r="T442" s="521"/>
      <c r="U442" s="521"/>
      <c r="V442" s="521"/>
      <c r="W442" s="521"/>
      <c r="X442" s="521"/>
      <c r="Y442" s="521"/>
      <c r="Z442" s="522"/>
    </row>
    <row r="443" spans="1:26" x14ac:dyDescent="0.3">
      <c r="A443" s="521"/>
      <c r="B443" s="521"/>
      <c r="C443" s="521"/>
      <c r="D443" s="521"/>
      <c r="E443" s="521"/>
      <c r="F443" s="521"/>
      <c r="G443" s="521"/>
      <c r="H443" s="521"/>
      <c r="I443" s="521"/>
      <c r="J443" s="521"/>
      <c r="K443" s="521"/>
      <c r="L443" s="521"/>
      <c r="M443" s="521"/>
      <c r="N443" s="521"/>
      <c r="O443" s="521"/>
      <c r="P443" s="521"/>
      <c r="Q443" s="521"/>
      <c r="R443" s="521"/>
      <c r="S443" s="521"/>
      <c r="T443" s="521"/>
      <c r="U443" s="521"/>
      <c r="V443" s="521"/>
      <c r="W443" s="521"/>
      <c r="X443" s="521"/>
      <c r="Y443" s="521"/>
      <c r="Z443" s="522"/>
    </row>
    <row r="444" spans="1:26" x14ac:dyDescent="0.3">
      <c r="A444" s="521"/>
      <c r="B444" s="521"/>
      <c r="C444" s="521"/>
      <c r="D444" s="521"/>
      <c r="E444" s="521"/>
      <c r="F444" s="521"/>
      <c r="G444" s="521"/>
      <c r="H444" s="521"/>
      <c r="I444" s="521"/>
      <c r="J444" s="521"/>
      <c r="K444" s="521"/>
      <c r="L444" s="521"/>
      <c r="M444" s="521"/>
      <c r="N444" s="521"/>
      <c r="O444" s="521"/>
      <c r="P444" s="521"/>
      <c r="Q444" s="521"/>
      <c r="R444" s="521"/>
      <c r="S444" s="521"/>
      <c r="T444" s="521"/>
      <c r="U444" s="521"/>
      <c r="V444" s="521"/>
      <c r="W444" s="521"/>
      <c r="X444" s="521"/>
      <c r="Y444" s="521"/>
      <c r="Z444" s="522"/>
    </row>
    <row r="445" spans="1:26" x14ac:dyDescent="0.3">
      <c r="A445" s="521"/>
      <c r="B445" s="521"/>
      <c r="C445" s="521"/>
      <c r="D445" s="521"/>
      <c r="E445" s="521"/>
      <c r="F445" s="521"/>
      <c r="G445" s="521"/>
      <c r="H445" s="521"/>
      <c r="I445" s="521"/>
      <c r="J445" s="521"/>
      <c r="K445" s="521"/>
      <c r="L445" s="521"/>
      <c r="M445" s="521"/>
      <c r="N445" s="521"/>
      <c r="O445" s="521"/>
      <c r="P445" s="521"/>
      <c r="Q445" s="521"/>
      <c r="R445" s="521"/>
      <c r="S445" s="521"/>
      <c r="T445" s="521"/>
      <c r="U445" s="521"/>
      <c r="V445" s="521"/>
      <c r="W445" s="521"/>
      <c r="X445" s="521"/>
      <c r="Y445" s="521"/>
      <c r="Z445" s="522"/>
    </row>
    <row r="446" spans="1:26" x14ac:dyDescent="0.3">
      <c r="A446" s="521"/>
      <c r="B446" s="521"/>
      <c r="C446" s="521"/>
      <c r="D446" s="521"/>
      <c r="E446" s="521"/>
      <c r="F446" s="521"/>
      <c r="G446" s="521"/>
      <c r="H446" s="521"/>
      <c r="I446" s="521"/>
      <c r="J446" s="521"/>
      <c r="K446" s="521"/>
      <c r="L446" s="521"/>
      <c r="M446" s="521"/>
      <c r="N446" s="521"/>
      <c r="O446" s="521"/>
      <c r="P446" s="521"/>
      <c r="Q446" s="521"/>
      <c r="R446" s="521"/>
      <c r="S446" s="521"/>
      <c r="T446" s="521"/>
      <c r="U446" s="521"/>
      <c r="V446" s="521"/>
      <c r="W446" s="521"/>
      <c r="X446" s="521"/>
      <c r="Y446" s="521"/>
      <c r="Z446" s="522"/>
    </row>
    <row r="447" spans="1:26" x14ac:dyDescent="0.3">
      <c r="A447" s="521"/>
      <c r="B447" s="521"/>
      <c r="C447" s="521"/>
      <c r="D447" s="521"/>
      <c r="E447" s="521"/>
      <c r="F447" s="521"/>
      <c r="G447" s="521"/>
      <c r="H447" s="521"/>
      <c r="I447" s="521"/>
      <c r="J447" s="521"/>
      <c r="K447" s="521"/>
      <c r="L447" s="521"/>
      <c r="M447" s="521"/>
      <c r="N447" s="521"/>
      <c r="O447" s="521"/>
      <c r="P447" s="521"/>
      <c r="Q447" s="521"/>
      <c r="R447" s="521"/>
      <c r="S447" s="521"/>
      <c r="T447" s="521"/>
      <c r="U447" s="521"/>
      <c r="V447" s="521"/>
      <c r="W447" s="521"/>
      <c r="X447" s="521"/>
      <c r="Y447" s="521"/>
      <c r="Z447" s="522"/>
    </row>
    <row r="448" spans="1:26" x14ac:dyDescent="0.3">
      <c r="A448" s="521"/>
      <c r="B448" s="521"/>
      <c r="C448" s="521"/>
      <c r="D448" s="521"/>
      <c r="E448" s="521"/>
      <c r="F448" s="521"/>
      <c r="G448" s="521"/>
      <c r="H448" s="521"/>
      <c r="I448" s="521"/>
      <c r="J448" s="521"/>
      <c r="K448" s="521"/>
      <c r="L448" s="521"/>
      <c r="M448" s="521"/>
      <c r="N448" s="521"/>
      <c r="O448" s="521"/>
      <c r="P448" s="521"/>
      <c r="Q448" s="521"/>
      <c r="R448" s="521"/>
      <c r="S448" s="521"/>
      <c r="T448" s="521"/>
      <c r="U448" s="521"/>
      <c r="V448" s="521"/>
      <c r="W448" s="521"/>
      <c r="X448" s="521"/>
      <c r="Y448" s="521"/>
      <c r="Z448" s="522"/>
    </row>
    <row r="449" spans="1:26" x14ac:dyDescent="0.3">
      <c r="A449" s="521"/>
      <c r="B449" s="521"/>
      <c r="C449" s="521"/>
      <c r="D449" s="521"/>
      <c r="E449" s="521"/>
      <c r="F449" s="521"/>
      <c r="G449" s="521"/>
      <c r="H449" s="521"/>
      <c r="I449" s="521"/>
      <c r="J449" s="521"/>
      <c r="K449" s="521"/>
      <c r="L449" s="521"/>
      <c r="M449" s="521"/>
      <c r="N449" s="521"/>
      <c r="O449" s="521"/>
      <c r="P449" s="521"/>
      <c r="Q449" s="521"/>
      <c r="R449" s="521"/>
      <c r="S449" s="521"/>
      <c r="T449" s="521"/>
      <c r="U449" s="521"/>
      <c r="V449" s="521"/>
      <c r="W449" s="521"/>
      <c r="X449" s="521"/>
      <c r="Y449" s="521"/>
      <c r="Z449" s="522"/>
    </row>
    <row r="450" spans="1:26" x14ac:dyDescent="0.3">
      <c r="A450" s="521"/>
      <c r="B450" s="521"/>
      <c r="C450" s="521"/>
      <c r="D450" s="521"/>
      <c r="E450" s="521"/>
      <c r="F450" s="521"/>
      <c r="G450" s="521"/>
      <c r="H450" s="521"/>
      <c r="I450" s="521"/>
      <c r="J450" s="521"/>
      <c r="K450" s="521"/>
      <c r="L450" s="521"/>
      <c r="M450" s="521"/>
      <c r="N450" s="521"/>
      <c r="O450" s="521"/>
      <c r="P450" s="521"/>
      <c r="Q450" s="521"/>
      <c r="R450" s="521"/>
      <c r="S450" s="521"/>
      <c r="T450" s="521"/>
      <c r="U450" s="521"/>
      <c r="V450" s="521"/>
      <c r="W450" s="521"/>
      <c r="X450" s="521"/>
      <c r="Y450" s="521"/>
      <c r="Z450" s="522"/>
    </row>
    <row r="451" spans="1:26" x14ac:dyDescent="0.3">
      <c r="A451" s="521"/>
      <c r="B451" s="521"/>
      <c r="C451" s="521"/>
      <c r="D451" s="521"/>
      <c r="E451" s="521"/>
      <c r="F451" s="521"/>
      <c r="G451" s="521"/>
      <c r="H451" s="521"/>
      <c r="I451" s="521"/>
      <c r="J451" s="521"/>
      <c r="K451" s="521"/>
      <c r="L451" s="521"/>
      <c r="M451" s="521"/>
      <c r="N451" s="521"/>
      <c r="O451" s="521"/>
      <c r="P451" s="521"/>
      <c r="Q451" s="521"/>
      <c r="R451" s="521"/>
      <c r="S451" s="521"/>
      <c r="T451" s="521"/>
      <c r="U451" s="521"/>
      <c r="V451" s="521"/>
      <c r="W451" s="521"/>
      <c r="X451" s="521"/>
      <c r="Y451" s="521"/>
      <c r="Z451" s="522"/>
    </row>
    <row r="452" spans="1:26" x14ac:dyDescent="0.3">
      <c r="A452" s="521"/>
      <c r="B452" s="521"/>
      <c r="C452" s="521"/>
      <c r="D452" s="521"/>
      <c r="E452" s="521"/>
      <c r="F452" s="521"/>
      <c r="G452" s="521"/>
      <c r="H452" s="521"/>
      <c r="I452" s="521"/>
      <c r="J452" s="521"/>
      <c r="K452" s="521"/>
      <c r="L452" s="521"/>
      <c r="M452" s="521"/>
      <c r="N452" s="521"/>
      <c r="O452" s="521"/>
      <c r="P452" s="521"/>
      <c r="Q452" s="521"/>
      <c r="R452" s="521"/>
      <c r="S452" s="521"/>
      <c r="T452" s="521"/>
      <c r="U452" s="521"/>
      <c r="V452" s="521"/>
      <c r="W452" s="521"/>
      <c r="X452" s="521"/>
      <c r="Y452" s="521"/>
      <c r="Z452" s="522"/>
    </row>
    <row r="453" spans="1:26" x14ac:dyDescent="0.3">
      <c r="A453" s="521"/>
      <c r="B453" s="521"/>
      <c r="C453" s="521"/>
      <c r="D453" s="521"/>
      <c r="E453" s="521"/>
      <c r="F453" s="521"/>
      <c r="G453" s="521"/>
      <c r="H453" s="521"/>
      <c r="I453" s="521"/>
      <c r="J453" s="521"/>
      <c r="K453" s="521"/>
      <c r="L453" s="521"/>
      <c r="M453" s="521"/>
      <c r="N453" s="521"/>
      <c r="O453" s="521"/>
      <c r="P453" s="521"/>
      <c r="Q453" s="521"/>
      <c r="R453" s="521"/>
      <c r="S453" s="521"/>
      <c r="T453" s="521"/>
      <c r="U453" s="521"/>
      <c r="V453" s="521"/>
      <c r="W453" s="521"/>
      <c r="X453" s="521"/>
      <c r="Y453" s="521"/>
      <c r="Z453" s="522"/>
    </row>
    <row r="454" spans="1:26" x14ac:dyDescent="0.3">
      <c r="A454" s="521"/>
      <c r="B454" s="521"/>
      <c r="C454" s="521"/>
      <c r="D454" s="521"/>
      <c r="E454" s="521"/>
      <c r="F454" s="521"/>
      <c r="G454" s="521"/>
      <c r="H454" s="521"/>
      <c r="I454" s="521"/>
      <c r="J454" s="521"/>
      <c r="K454" s="521"/>
      <c r="L454" s="521"/>
      <c r="M454" s="521"/>
      <c r="N454" s="521"/>
      <c r="O454" s="521"/>
      <c r="P454" s="521"/>
      <c r="Q454" s="521"/>
      <c r="R454" s="521"/>
      <c r="S454" s="521"/>
      <c r="T454" s="521"/>
      <c r="U454" s="521"/>
      <c r="V454" s="521"/>
      <c r="W454" s="521"/>
      <c r="X454" s="521"/>
      <c r="Y454" s="521"/>
      <c r="Z454" s="522"/>
    </row>
    <row r="455" spans="1:26" x14ac:dyDescent="0.3">
      <c r="A455" s="521"/>
      <c r="B455" s="521"/>
      <c r="C455" s="521"/>
      <c r="D455" s="521"/>
      <c r="E455" s="521"/>
      <c r="F455" s="521"/>
      <c r="G455" s="521"/>
      <c r="H455" s="521"/>
      <c r="I455" s="521"/>
      <c r="J455" s="521"/>
      <c r="K455" s="521"/>
      <c r="L455" s="521"/>
      <c r="M455" s="521"/>
      <c r="N455" s="521"/>
      <c r="O455" s="521"/>
      <c r="P455" s="521"/>
      <c r="Q455" s="521"/>
      <c r="R455" s="521"/>
      <c r="S455" s="521"/>
      <c r="T455" s="521"/>
      <c r="U455" s="521"/>
      <c r="V455" s="521"/>
      <c r="W455" s="521"/>
      <c r="X455" s="521"/>
      <c r="Y455" s="521"/>
      <c r="Z455" s="522"/>
    </row>
    <row r="456" spans="1:26" x14ac:dyDescent="0.3">
      <c r="A456" s="521"/>
      <c r="B456" s="521"/>
      <c r="C456" s="521"/>
      <c r="D456" s="521"/>
      <c r="E456" s="521"/>
      <c r="F456" s="521"/>
      <c r="G456" s="521"/>
      <c r="H456" s="521"/>
      <c r="I456" s="521"/>
      <c r="J456" s="521"/>
      <c r="K456" s="521"/>
      <c r="L456" s="521"/>
      <c r="M456" s="521"/>
      <c r="N456" s="521"/>
      <c r="O456" s="521"/>
      <c r="P456" s="521"/>
      <c r="Q456" s="521"/>
      <c r="R456" s="521"/>
      <c r="S456" s="521"/>
      <c r="T456" s="521"/>
      <c r="U456" s="521"/>
      <c r="V456" s="521"/>
      <c r="W456" s="521"/>
      <c r="X456" s="521"/>
      <c r="Y456" s="521"/>
      <c r="Z456" s="522"/>
    </row>
    <row r="457" spans="1:26" x14ac:dyDescent="0.3">
      <c r="A457" s="521"/>
      <c r="B457" s="521"/>
      <c r="C457" s="521"/>
      <c r="D457" s="521"/>
      <c r="E457" s="521"/>
      <c r="F457" s="521"/>
      <c r="G457" s="521"/>
      <c r="H457" s="521"/>
      <c r="I457" s="521"/>
      <c r="J457" s="521"/>
      <c r="K457" s="521"/>
      <c r="L457" s="521"/>
      <c r="M457" s="521"/>
      <c r="N457" s="521"/>
      <c r="O457" s="521"/>
      <c r="P457" s="521"/>
      <c r="Q457" s="521"/>
      <c r="R457" s="521"/>
      <c r="S457" s="521"/>
      <c r="T457" s="521"/>
      <c r="U457" s="521"/>
      <c r="V457" s="521"/>
      <c r="W457" s="521"/>
      <c r="X457" s="521"/>
      <c r="Y457" s="521"/>
      <c r="Z457" s="522"/>
    </row>
    <row r="458" spans="1:26" x14ac:dyDescent="0.3">
      <c r="A458" s="521"/>
      <c r="B458" s="521"/>
      <c r="C458" s="521"/>
      <c r="D458" s="521"/>
      <c r="E458" s="521"/>
      <c r="F458" s="521"/>
      <c r="G458" s="521"/>
      <c r="H458" s="521"/>
      <c r="I458" s="521"/>
      <c r="J458" s="521"/>
      <c r="K458" s="521"/>
      <c r="L458" s="521"/>
      <c r="M458" s="521"/>
      <c r="N458" s="521"/>
      <c r="O458" s="521"/>
      <c r="P458" s="521"/>
      <c r="Q458" s="521"/>
      <c r="R458" s="521"/>
      <c r="S458" s="521"/>
      <c r="T458" s="521"/>
      <c r="U458" s="521"/>
      <c r="V458" s="521"/>
      <c r="W458" s="521"/>
      <c r="X458" s="521"/>
      <c r="Y458" s="521"/>
      <c r="Z458" s="522"/>
    </row>
    <row r="459" spans="1:26" x14ac:dyDescent="0.3">
      <c r="A459" s="521"/>
      <c r="B459" s="521"/>
      <c r="C459" s="521"/>
      <c r="D459" s="521"/>
      <c r="E459" s="521"/>
      <c r="F459" s="521"/>
      <c r="G459" s="521"/>
      <c r="H459" s="521"/>
      <c r="I459" s="521"/>
      <c r="J459" s="521"/>
      <c r="K459" s="521"/>
      <c r="L459" s="521"/>
      <c r="M459" s="521"/>
      <c r="N459" s="521"/>
      <c r="O459" s="521"/>
      <c r="P459" s="521"/>
      <c r="Q459" s="521"/>
      <c r="R459" s="521"/>
      <c r="S459" s="521"/>
      <c r="T459" s="521"/>
      <c r="U459" s="521"/>
      <c r="V459" s="521"/>
      <c r="W459" s="521"/>
      <c r="X459" s="521"/>
      <c r="Y459" s="521"/>
      <c r="Z459" s="522"/>
    </row>
    <row r="460" spans="1:26" x14ac:dyDescent="0.3">
      <c r="A460" s="521"/>
      <c r="B460" s="521"/>
      <c r="C460" s="521"/>
      <c r="D460" s="521"/>
      <c r="E460" s="521"/>
      <c r="F460" s="521"/>
      <c r="G460" s="521"/>
      <c r="H460" s="521"/>
      <c r="I460" s="521"/>
      <c r="J460" s="521"/>
      <c r="K460" s="521"/>
      <c r="L460" s="521"/>
      <c r="M460" s="521"/>
      <c r="N460" s="521"/>
      <c r="O460" s="521"/>
      <c r="P460" s="521"/>
      <c r="Q460" s="521"/>
      <c r="R460" s="521"/>
      <c r="S460" s="521"/>
      <c r="T460" s="521"/>
      <c r="U460" s="521"/>
      <c r="V460" s="521"/>
      <c r="W460" s="521"/>
      <c r="X460" s="521"/>
      <c r="Y460" s="521"/>
      <c r="Z460" s="522"/>
    </row>
    <row r="461" spans="1:26" x14ac:dyDescent="0.3">
      <c r="A461" s="521"/>
      <c r="B461" s="521"/>
      <c r="C461" s="521"/>
      <c r="D461" s="521"/>
      <c r="E461" s="521"/>
      <c r="F461" s="521"/>
      <c r="G461" s="521"/>
      <c r="H461" s="521"/>
      <c r="I461" s="521"/>
      <c r="J461" s="521"/>
      <c r="K461" s="521"/>
      <c r="L461" s="521"/>
      <c r="M461" s="521"/>
      <c r="N461" s="521"/>
      <c r="O461" s="521"/>
      <c r="P461" s="521"/>
      <c r="Q461" s="521"/>
      <c r="R461" s="521"/>
      <c r="S461" s="521"/>
      <c r="T461" s="521"/>
      <c r="U461" s="521"/>
      <c r="V461" s="521"/>
      <c r="W461" s="521"/>
      <c r="X461" s="521"/>
      <c r="Y461" s="521"/>
      <c r="Z461" s="522"/>
    </row>
    <row r="462" spans="1:26" x14ac:dyDescent="0.3">
      <c r="A462" s="521"/>
      <c r="B462" s="521"/>
      <c r="C462" s="521"/>
      <c r="D462" s="521"/>
      <c r="E462" s="521"/>
      <c r="F462" s="521"/>
      <c r="G462" s="521"/>
      <c r="H462" s="521"/>
      <c r="I462" s="521"/>
      <c r="J462" s="521"/>
      <c r="K462" s="521"/>
      <c r="L462" s="521"/>
      <c r="M462" s="521"/>
      <c r="N462" s="521"/>
      <c r="O462" s="521"/>
      <c r="P462" s="521"/>
      <c r="Q462" s="521"/>
      <c r="R462" s="521"/>
      <c r="S462" s="521"/>
      <c r="T462" s="521"/>
      <c r="U462" s="521"/>
      <c r="V462" s="521"/>
      <c r="W462" s="521"/>
      <c r="X462" s="521"/>
      <c r="Y462" s="521"/>
      <c r="Z462" s="522"/>
    </row>
    <row r="463" spans="1:26" x14ac:dyDescent="0.3">
      <c r="A463" s="521"/>
      <c r="B463" s="521"/>
      <c r="C463" s="521"/>
      <c r="D463" s="521"/>
      <c r="E463" s="521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521"/>
      <c r="Q463" s="521"/>
      <c r="R463" s="521"/>
      <c r="S463" s="521"/>
      <c r="T463" s="521"/>
      <c r="U463" s="521"/>
      <c r="V463" s="521"/>
      <c r="W463" s="521"/>
      <c r="X463" s="521"/>
      <c r="Y463" s="521"/>
      <c r="Z463" s="522"/>
    </row>
    <row r="464" spans="1:26" x14ac:dyDescent="0.3">
      <c r="A464" s="521"/>
      <c r="B464" s="521"/>
      <c r="C464" s="521"/>
      <c r="D464" s="521"/>
      <c r="E464" s="521"/>
      <c r="F464" s="521"/>
      <c r="G464" s="521"/>
      <c r="H464" s="521"/>
      <c r="I464" s="521"/>
      <c r="J464" s="521"/>
      <c r="K464" s="521"/>
      <c r="L464" s="521"/>
      <c r="M464" s="521"/>
      <c r="N464" s="521"/>
      <c r="O464" s="521"/>
      <c r="P464" s="521"/>
      <c r="Q464" s="521"/>
      <c r="R464" s="521"/>
      <c r="S464" s="521"/>
      <c r="T464" s="521"/>
      <c r="U464" s="521"/>
      <c r="V464" s="521"/>
      <c r="W464" s="521"/>
      <c r="X464" s="521"/>
      <c r="Y464" s="521"/>
      <c r="Z464" s="522"/>
    </row>
    <row r="465" spans="1:26" x14ac:dyDescent="0.3">
      <c r="A465" s="521"/>
      <c r="B465" s="521"/>
      <c r="C465" s="521"/>
      <c r="D465" s="521"/>
      <c r="E465" s="521"/>
      <c r="F465" s="521"/>
      <c r="G465" s="521"/>
      <c r="H465" s="521"/>
      <c r="I465" s="521"/>
      <c r="J465" s="521"/>
      <c r="K465" s="521"/>
      <c r="L465" s="521"/>
      <c r="M465" s="521"/>
      <c r="N465" s="521"/>
      <c r="O465" s="521"/>
      <c r="P465" s="521"/>
      <c r="Q465" s="521"/>
      <c r="R465" s="521"/>
      <c r="S465" s="521"/>
      <c r="T465" s="521"/>
      <c r="U465" s="521"/>
      <c r="V465" s="521"/>
      <c r="W465" s="521"/>
      <c r="X465" s="521"/>
      <c r="Y465" s="521"/>
      <c r="Z465" s="522"/>
    </row>
    <row r="466" spans="1:26" x14ac:dyDescent="0.3">
      <c r="A466" s="521"/>
      <c r="B466" s="521"/>
      <c r="C466" s="521"/>
      <c r="D466" s="521"/>
      <c r="E466" s="521"/>
      <c r="F466" s="521"/>
      <c r="G466" s="521"/>
      <c r="H466" s="521"/>
      <c r="I466" s="521"/>
      <c r="J466" s="521"/>
      <c r="K466" s="521"/>
      <c r="L466" s="521"/>
      <c r="M466" s="521"/>
      <c r="N466" s="521"/>
      <c r="O466" s="521"/>
      <c r="P466" s="521"/>
      <c r="Q466" s="521"/>
      <c r="R466" s="521"/>
      <c r="S466" s="521"/>
      <c r="T466" s="521"/>
      <c r="U466" s="521"/>
      <c r="V466" s="521"/>
      <c r="W466" s="521"/>
      <c r="X466" s="521"/>
      <c r="Y466" s="521"/>
      <c r="Z466" s="522"/>
    </row>
    <row r="467" spans="1:26" x14ac:dyDescent="0.3">
      <c r="A467" s="521"/>
      <c r="B467" s="521"/>
      <c r="C467" s="521"/>
      <c r="D467" s="521"/>
      <c r="E467" s="521"/>
      <c r="F467" s="521"/>
      <c r="G467" s="521"/>
      <c r="H467" s="521"/>
      <c r="I467" s="521"/>
      <c r="J467" s="521"/>
      <c r="K467" s="521"/>
      <c r="L467" s="521"/>
      <c r="M467" s="521"/>
      <c r="N467" s="521"/>
      <c r="O467" s="521"/>
      <c r="P467" s="521"/>
      <c r="Q467" s="521"/>
      <c r="R467" s="521"/>
      <c r="S467" s="521"/>
      <c r="T467" s="521"/>
      <c r="U467" s="521"/>
      <c r="V467" s="521"/>
      <c r="W467" s="521"/>
      <c r="X467" s="521"/>
      <c r="Y467" s="521"/>
      <c r="Z467" s="522"/>
    </row>
    <row r="468" spans="1:26" x14ac:dyDescent="0.3">
      <c r="A468" s="521"/>
      <c r="B468" s="521"/>
      <c r="C468" s="521"/>
      <c r="D468" s="521"/>
      <c r="E468" s="521"/>
      <c r="F468" s="521"/>
      <c r="G468" s="521"/>
      <c r="H468" s="521"/>
      <c r="I468" s="521"/>
      <c r="J468" s="521"/>
      <c r="K468" s="521"/>
      <c r="L468" s="521"/>
      <c r="M468" s="521"/>
      <c r="N468" s="521"/>
      <c r="O468" s="521"/>
      <c r="P468" s="521"/>
      <c r="Q468" s="521"/>
      <c r="R468" s="521"/>
      <c r="S468" s="521"/>
      <c r="T468" s="521"/>
      <c r="U468" s="521"/>
      <c r="V468" s="521"/>
      <c r="W468" s="521"/>
      <c r="X468" s="521"/>
      <c r="Y468" s="521"/>
      <c r="Z468" s="522"/>
    </row>
    <row r="469" spans="1:26" x14ac:dyDescent="0.3">
      <c r="A469" s="521"/>
      <c r="B469" s="521"/>
      <c r="C469" s="521"/>
      <c r="D469" s="521"/>
      <c r="E469" s="521"/>
      <c r="F469" s="521"/>
      <c r="G469" s="521"/>
      <c r="H469" s="521"/>
      <c r="I469" s="521"/>
      <c r="J469" s="521"/>
      <c r="K469" s="521"/>
      <c r="L469" s="521"/>
      <c r="M469" s="521"/>
      <c r="N469" s="521"/>
      <c r="O469" s="521"/>
      <c r="P469" s="521"/>
      <c r="Q469" s="521"/>
      <c r="R469" s="521"/>
      <c r="S469" s="521"/>
      <c r="T469" s="521"/>
      <c r="U469" s="521"/>
      <c r="V469" s="521"/>
      <c r="W469" s="521"/>
      <c r="X469" s="521"/>
      <c r="Y469" s="521"/>
      <c r="Z469" s="522"/>
    </row>
    <row r="470" spans="1:26" x14ac:dyDescent="0.3">
      <c r="A470" s="521"/>
      <c r="B470" s="521"/>
      <c r="C470" s="521"/>
      <c r="D470" s="521"/>
      <c r="E470" s="521"/>
      <c r="F470" s="521"/>
      <c r="G470" s="521"/>
      <c r="H470" s="521"/>
      <c r="I470" s="521"/>
      <c r="J470" s="521"/>
      <c r="K470" s="521"/>
      <c r="L470" s="521"/>
      <c r="M470" s="521"/>
      <c r="N470" s="521"/>
      <c r="O470" s="521"/>
      <c r="P470" s="521"/>
      <c r="Q470" s="521"/>
      <c r="R470" s="521"/>
      <c r="S470" s="521"/>
      <c r="T470" s="521"/>
      <c r="U470" s="521"/>
      <c r="V470" s="521"/>
      <c r="W470" s="521"/>
      <c r="X470" s="521"/>
      <c r="Y470" s="521"/>
      <c r="Z470" s="522"/>
    </row>
    <row r="471" spans="1:26" x14ac:dyDescent="0.3">
      <c r="A471" s="521"/>
      <c r="B471" s="521"/>
      <c r="C471" s="521"/>
      <c r="D471" s="521"/>
      <c r="E471" s="521"/>
      <c r="F471" s="521"/>
      <c r="G471" s="521"/>
      <c r="H471" s="521"/>
      <c r="I471" s="521"/>
      <c r="J471" s="521"/>
      <c r="K471" s="521"/>
      <c r="L471" s="521"/>
      <c r="M471" s="521"/>
      <c r="N471" s="521"/>
      <c r="O471" s="521"/>
      <c r="P471" s="521"/>
      <c r="Q471" s="521"/>
      <c r="R471" s="521"/>
      <c r="S471" s="521"/>
      <c r="T471" s="521"/>
      <c r="U471" s="521"/>
      <c r="V471" s="521"/>
      <c r="W471" s="521"/>
      <c r="X471" s="521"/>
      <c r="Y471" s="521"/>
      <c r="Z471" s="522"/>
    </row>
    <row r="472" spans="1:26" x14ac:dyDescent="0.3">
      <c r="A472" s="521"/>
      <c r="B472" s="521"/>
      <c r="C472" s="521"/>
      <c r="D472" s="521"/>
      <c r="E472" s="521"/>
      <c r="F472" s="521"/>
      <c r="G472" s="521"/>
      <c r="H472" s="521"/>
      <c r="I472" s="521"/>
      <c r="J472" s="521"/>
      <c r="K472" s="521"/>
      <c r="L472" s="521"/>
      <c r="M472" s="521"/>
      <c r="N472" s="521"/>
      <c r="O472" s="521"/>
      <c r="P472" s="521"/>
      <c r="Q472" s="521"/>
      <c r="R472" s="521"/>
      <c r="S472" s="521"/>
      <c r="T472" s="521"/>
      <c r="U472" s="521"/>
      <c r="V472" s="521"/>
      <c r="W472" s="521"/>
      <c r="X472" s="521"/>
      <c r="Y472" s="521"/>
      <c r="Z472" s="522"/>
    </row>
    <row r="473" spans="1:26" x14ac:dyDescent="0.3">
      <c r="A473" s="521"/>
      <c r="B473" s="521"/>
      <c r="C473" s="521"/>
      <c r="D473" s="521"/>
      <c r="E473" s="521"/>
      <c r="F473" s="521"/>
      <c r="G473" s="521"/>
      <c r="H473" s="521"/>
      <c r="I473" s="521"/>
      <c r="J473" s="521"/>
      <c r="K473" s="521"/>
      <c r="L473" s="521"/>
      <c r="M473" s="521"/>
      <c r="N473" s="521"/>
      <c r="O473" s="521"/>
      <c r="P473" s="521"/>
      <c r="Q473" s="521"/>
      <c r="R473" s="521"/>
      <c r="S473" s="521"/>
      <c r="T473" s="521"/>
      <c r="U473" s="521"/>
      <c r="V473" s="521"/>
      <c r="W473" s="521"/>
      <c r="X473" s="521"/>
      <c r="Y473" s="521"/>
      <c r="Z473" s="522"/>
    </row>
    <row r="474" spans="1:26" x14ac:dyDescent="0.3">
      <c r="A474" s="521"/>
      <c r="B474" s="521"/>
      <c r="C474" s="521"/>
      <c r="D474" s="521"/>
      <c r="E474" s="521"/>
      <c r="F474" s="521"/>
      <c r="G474" s="521"/>
      <c r="H474" s="521"/>
      <c r="I474" s="521"/>
      <c r="J474" s="521"/>
      <c r="K474" s="521"/>
      <c r="L474" s="521"/>
      <c r="M474" s="521"/>
      <c r="N474" s="521"/>
      <c r="O474" s="521"/>
      <c r="P474" s="521"/>
      <c r="Q474" s="521"/>
      <c r="R474" s="521"/>
      <c r="S474" s="521"/>
      <c r="T474" s="521"/>
      <c r="U474" s="521"/>
      <c r="V474" s="521"/>
      <c r="W474" s="521"/>
      <c r="X474" s="521"/>
      <c r="Y474" s="521"/>
      <c r="Z474" s="522"/>
    </row>
    <row r="475" spans="1:26" x14ac:dyDescent="0.3">
      <c r="A475" s="521"/>
      <c r="B475" s="521"/>
      <c r="C475" s="521"/>
      <c r="D475" s="521"/>
      <c r="E475" s="521"/>
      <c r="F475" s="521"/>
      <c r="G475" s="521"/>
      <c r="H475" s="521"/>
      <c r="I475" s="521"/>
      <c r="J475" s="521"/>
      <c r="K475" s="521"/>
      <c r="L475" s="521"/>
      <c r="M475" s="521"/>
      <c r="N475" s="521"/>
      <c r="O475" s="521"/>
      <c r="P475" s="521"/>
      <c r="Q475" s="521"/>
      <c r="R475" s="521"/>
      <c r="S475" s="521"/>
      <c r="T475" s="521"/>
      <c r="U475" s="521"/>
      <c r="V475" s="521"/>
      <c r="W475" s="521"/>
      <c r="X475" s="521"/>
      <c r="Y475" s="521"/>
      <c r="Z475" s="522"/>
    </row>
    <row r="476" spans="1:26" x14ac:dyDescent="0.3">
      <c r="A476" s="521"/>
      <c r="B476" s="521"/>
      <c r="C476" s="521"/>
      <c r="D476" s="521"/>
      <c r="E476" s="521"/>
      <c r="F476" s="521"/>
      <c r="G476" s="521"/>
      <c r="H476" s="521"/>
      <c r="I476" s="521"/>
      <c r="J476" s="521"/>
      <c r="K476" s="521"/>
      <c r="L476" s="521"/>
      <c r="M476" s="521"/>
      <c r="N476" s="521"/>
      <c r="O476" s="521"/>
      <c r="P476" s="521"/>
      <c r="Q476" s="521"/>
      <c r="R476" s="521"/>
      <c r="S476" s="521"/>
      <c r="T476" s="521"/>
      <c r="U476" s="521"/>
      <c r="V476" s="521"/>
      <c r="W476" s="521"/>
      <c r="X476" s="521"/>
      <c r="Y476" s="521"/>
      <c r="Z476" s="522"/>
    </row>
    <row r="477" spans="1:26" x14ac:dyDescent="0.3">
      <c r="A477" s="521"/>
      <c r="B477" s="521"/>
      <c r="C477" s="521"/>
      <c r="D477" s="521"/>
      <c r="E477" s="521"/>
      <c r="F477" s="521"/>
      <c r="G477" s="521"/>
      <c r="H477" s="521"/>
      <c r="I477" s="521"/>
      <c r="J477" s="521"/>
      <c r="K477" s="521"/>
      <c r="L477" s="521"/>
      <c r="M477" s="521"/>
      <c r="N477" s="521"/>
      <c r="O477" s="521"/>
      <c r="P477" s="521"/>
      <c r="Q477" s="521"/>
      <c r="R477" s="521"/>
      <c r="S477" s="521"/>
      <c r="T477" s="521"/>
      <c r="U477" s="521"/>
      <c r="V477" s="521"/>
      <c r="W477" s="521"/>
      <c r="X477" s="521"/>
      <c r="Y477" s="521"/>
      <c r="Z477" s="522"/>
    </row>
    <row r="478" spans="1:26" x14ac:dyDescent="0.3">
      <c r="A478" s="521"/>
      <c r="B478" s="521"/>
      <c r="C478" s="521"/>
      <c r="D478" s="521"/>
      <c r="E478" s="521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P478" s="521"/>
      <c r="Q478" s="521"/>
      <c r="R478" s="521"/>
      <c r="S478" s="521"/>
      <c r="T478" s="521"/>
      <c r="U478" s="521"/>
      <c r="V478" s="521"/>
      <c r="W478" s="521"/>
      <c r="X478" s="521"/>
      <c r="Y478" s="521"/>
      <c r="Z478" s="522"/>
    </row>
    <row r="479" spans="1:26" x14ac:dyDescent="0.3">
      <c r="A479" s="521"/>
      <c r="B479" s="521"/>
      <c r="C479" s="521"/>
      <c r="D479" s="521"/>
      <c r="E479" s="521"/>
      <c r="F479" s="521"/>
      <c r="G479" s="521"/>
      <c r="H479" s="521"/>
      <c r="I479" s="521"/>
      <c r="J479" s="521"/>
      <c r="K479" s="521"/>
      <c r="L479" s="521"/>
      <c r="M479" s="521"/>
      <c r="N479" s="521"/>
      <c r="O479" s="521"/>
      <c r="P479" s="521"/>
      <c r="Q479" s="521"/>
      <c r="R479" s="521"/>
      <c r="S479" s="521"/>
      <c r="T479" s="521"/>
      <c r="U479" s="521"/>
      <c r="V479" s="521"/>
      <c r="W479" s="521"/>
      <c r="X479" s="521"/>
      <c r="Y479" s="521"/>
      <c r="Z479" s="522"/>
    </row>
    <row r="480" spans="1:26" x14ac:dyDescent="0.3">
      <c r="A480" s="521"/>
      <c r="B480" s="521"/>
      <c r="C480" s="521"/>
      <c r="D480" s="521"/>
      <c r="E480" s="521"/>
      <c r="F480" s="521"/>
      <c r="G480" s="521"/>
      <c r="H480" s="521"/>
      <c r="I480" s="521"/>
      <c r="J480" s="521"/>
      <c r="K480" s="521"/>
      <c r="L480" s="521"/>
      <c r="M480" s="521"/>
      <c r="N480" s="521"/>
      <c r="O480" s="521"/>
      <c r="P480" s="521"/>
      <c r="Q480" s="521"/>
      <c r="R480" s="521"/>
      <c r="S480" s="521"/>
      <c r="T480" s="521"/>
      <c r="U480" s="521"/>
      <c r="V480" s="521"/>
      <c r="W480" s="521"/>
      <c r="X480" s="521"/>
      <c r="Y480" s="521"/>
      <c r="Z480" s="522"/>
    </row>
    <row r="481" spans="1:26" x14ac:dyDescent="0.3">
      <c r="A481" s="521"/>
      <c r="B481" s="521"/>
      <c r="C481" s="521"/>
      <c r="D481" s="521"/>
      <c r="E481" s="521"/>
      <c r="F481" s="521"/>
      <c r="G481" s="521"/>
      <c r="H481" s="521"/>
      <c r="I481" s="521"/>
      <c r="J481" s="521"/>
      <c r="K481" s="521"/>
      <c r="L481" s="521"/>
      <c r="M481" s="521"/>
      <c r="N481" s="521"/>
      <c r="O481" s="521"/>
      <c r="P481" s="521"/>
      <c r="Q481" s="521"/>
      <c r="R481" s="521"/>
      <c r="S481" s="521"/>
      <c r="T481" s="521"/>
      <c r="U481" s="521"/>
      <c r="V481" s="521"/>
      <c r="W481" s="521"/>
      <c r="X481" s="521"/>
      <c r="Y481" s="521"/>
      <c r="Z481" s="522"/>
    </row>
    <row r="482" spans="1:26" x14ac:dyDescent="0.3">
      <c r="A482" s="521"/>
      <c r="B482" s="521"/>
      <c r="C482" s="521"/>
      <c r="D482" s="521"/>
      <c r="E482" s="521"/>
      <c r="F482" s="521"/>
      <c r="G482" s="521"/>
      <c r="H482" s="521"/>
      <c r="I482" s="521"/>
      <c r="J482" s="521"/>
      <c r="K482" s="521"/>
      <c r="L482" s="521"/>
      <c r="M482" s="521"/>
      <c r="N482" s="521"/>
      <c r="O482" s="521"/>
      <c r="P482" s="521"/>
      <c r="Q482" s="521"/>
      <c r="R482" s="521"/>
      <c r="S482" s="521"/>
      <c r="T482" s="521"/>
      <c r="U482" s="521"/>
      <c r="V482" s="521"/>
      <c r="W482" s="521"/>
      <c r="X482" s="521"/>
      <c r="Y482" s="521"/>
      <c r="Z482" s="522"/>
    </row>
    <row r="483" spans="1:26" x14ac:dyDescent="0.3">
      <c r="A483" s="521"/>
      <c r="B483" s="521"/>
      <c r="C483" s="521"/>
      <c r="D483" s="521"/>
      <c r="E483" s="521"/>
      <c r="F483" s="521"/>
      <c r="G483" s="521"/>
      <c r="H483" s="521"/>
      <c r="I483" s="521"/>
      <c r="J483" s="521"/>
      <c r="K483" s="521"/>
      <c r="L483" s="521"/>
      <c r="M483" s="521"/>
      <c r="N483" s="521"/>
      <c r="O483" s="521"/>
      <c r="P483" s="521"/>
      <c r="Q483" s="521"/>
      <c r="R483" s="521"/>
      <c r="S483" s="521"/>
      <c r="T483" s="521"/>
      <c r="U483" s="521"/>
      <c r="V483" s="521"/>
      <c r="W483" s="521"/>
      <c r="X483" s="521"/>
      <c r="Y483" s="521"/>
      <c r="Z483" s="522"/>
    </row>
    <row r="484" spans="1:26" x14ac:dyDescent="0.3">
      <c r="A484" s="521"/>
      <c r="B484" s="521"/>
      <c r="C484" s="521"/>
      <c r="D484" s="521"/>
      <c r="E484" s="521"/>
      <c r="F484" s="521"/>
      <c r="G484" s="521"/>
      <c r="H484" s="521"/>
      <c r="I484" s="521"/>
      <c r="J484" s="521"/>
      <c r="K484" s="521"/>
      <c r="L484" s="521"/>
      <c r="M484" s="521"/>
      <c r="N484" s="521"/>
      <c r="O484" s="521"/>
      <c r="P484" s="521"/>
      <c r="Q484" s="521"/>
      <c r="R484" s="521"/>
      <c r="S484" s="521"/>
      <c r="T484" s="521"/>
      <c r="U484" s="521"/>
      <c r="V484" s="521"/>
      <c r="W484" s="521"/>
      <c r="X484" s="521"/>
      <c r="Y484" s="521"/>
      <c r="Z484" s="522"/>
    </row>
    <row r="485" spans="1:26" x14ac:dyDescent="0.3">
      <c r="A485" s="521"/>
      <c r="B485" s="521"/>
      <c r="C485" s="521"/>
      <c r="D485" s="521"/>
      <c r="E485" s="521"/>
      <c r="F485" s="521"/>
      <c r="G485" s="521"/>
      <c r="H485" s="521"/>
      <c r="I485" s="521"/>
      <c r="J485" s="521"/>
      <c r="K485" s="521"/>
      <c r="L485" s="521"/>
      <c r="M485" s="521"/>
      <c r="N485" s="521"/>
      <c r="O485" s="521"/>
      <c r="P485" s="521"/>
      <c r="Q485" s="521"/>
      <c r="R485" s="521"/>
      <c r="S485" s="521"/>
      <c r="T485" s="521"/>
      <c r="U485" s="521"/>
      <c r="V485" s="521"/>
      <c r="W485" s="521"/>
      <c r="X485" s="521"/>
      <c r="Y485" s="521"/>
      <c r="Z485" s="522"/>
    </row>
    <row r="486" spans="1:26" x14ac:dyDescent="0.3">
      <c r="A486" s="521"/>
      <c r="B486" s="521"/>
      <c r="C486" s="521"/>
      <c r="D486" s="521"/>
      <c r="E486" s="521"/>
      <c r="F486" s="521"/>
      <c r="G486" s="521"/>
      <c r="H486" s="521"/>
      <c r="I486" s="521"/>
      <c r="J486" s="521"/>
      <c r="K486" s="521"/>
      <c r="L486" s="521"/>
      <c r="M486" s="521"/>
      <c r="N486" s="521"/>
      <c r="O486" s="521"/>
      <c r="P486" s="521"/>
      <c r="Q486" s="521"/>
      <c r="R486" s="521"/>
      <c r="S486" s="521"/>
      <c r="T486" s="521"/>
      <c r="U486" s="521"/>
      <c r="V486" s="521"/>
      <c r="W486" s="521"/>
      <c r="X486" s="521"/>
      <c r="Y486" s="521"/>
      <c r="Z486" s="522"/>
    </row>
    <row r="487" spans="1:26" x14ac:dyDescent="0.3">
      <c r="A487" s="521"/>
      <c r="B487" s="521"/>
      <c r="C487" s="521"/>
      <c r="D487" s="521"/>
      <c r="E487" s="521"/>
      <c r="F487" s="521"/>
      <c r="G487" s="521"/>
      <c r="H487" s="521"/>
      <c r="I487" s="521"/>
      <c r="J487" s="521"/>
      <c r="K487" s="521"/>
      <c r="L487" s="521"/>
      <c r="M487" s="521"/>
      <c r="N487" s="521"/>
      <c r="O487" s="521"/>
      <c r="P487" s="521"/>
      <c r="Q487" s="521"/>
      <c r="R487" s="521"/>
      <c r="S487" s="521"/>
      <c r="T487" s="521"/>
      <c r="U487" s="521"/>
      <c r="V487" s="521"/>
      <c r="W487" s="521"/>
      <c r="X487" s="521"/>
      <c r="Y487" s="521"/>
      <c r="Z487" s="522"/>
    </row>
    <row r="488" spans="1:26" x14ac:dyDescent="0.3">
      <c r="A488" s="521"/>
      <c r="B488" s="521"/>
      <c r="C488" s="521"/>
      <c r="D488" s="521"/>
      <c r="E488" s="521"/>
      <c r="F488" s="521"/>
      <c r="G488" s="521"/>
      <c r="H488" s="521"/>
      <c r="I488" s="521"/>
      <c r="J488" s="521"/>
      <c r="K488" s="521"/>
      <c r="L488" s="521"/>
      <c r="M488" s="521"/>
      <c r="N488" s="521"/>
      <c r="O488" s="521"/>
      <c r="P488" s="521"/>
      <c r="Q488" s="521"/>
      <c r="R488" s="521"/>
      <c r="S488" s="521"/>
      <c r="T488" s="521"/>
      <c r="U488" s="521"/>
      <c r="V488" s="521"/>
      <c r="W488" s="521"/>
      <c r="X488" s="521"/>
      <c r="Y488" s="521"/>
      <c r="Z488" s="522"/>
    </row>
    <row r="489" spans="1:26" x14ac:dyDescent="0.3">
      <c r="A489" s="521"/>
      <c r="B489" s="521"/>
      <c r="C489" s="521"/>
      <c r="D489" s="521"/>
      <c r="E489" s="521"/>
      <c r="F489" s="521"/>
      <c r="G489" s="521"/>
      <c r="H489" s="521"/>
      <c r="I489" s="521"/>
      <c r="J489" s="521"/>
      <c r="K489" s="521"/>
      <c r="L489" s="521"/>
      <c r="M489" s="521"/>
      <c r="N489" s="521"/>
      <c r="O489" s="521"/>
      <c r="P489" s="521"/>
      <c r="Q489" s="521"/>
      <c r="R489" s="521"/>
      <c r="S489" s="521"/>
      <c r="T489" s="521"/>
      <c r="U489" s="521"/>
      <c r="V489" s="521"/>
      <c r="W489" s="521"/>
      <c r="X489" s="521"/>
      <c r="Y489" s="521"/>
      <c r="Z489" s="522"/>
    </row>
    <row r="490" spans="1:26" x14ac:dyDescent="0.3">
      <c r="A490" s="521"/>
      <c r="B490" s="521"/>
      <c r="C490" s="521"/>
      <c r="D490" s="521"/>
      <c r="E490" s="521"/>
      <c r="F490" s="521"/>
      <c r="G490" s="521"/>
      <c r="H490" s="521"/>
      <c r="I490" s="521"/>
      <c r="J490" s="521"/>
      <c r="K490" s="521"/>
      <c r="L490" s="521"/>
      <c r="M490" s="521"/>
      <c r="N490" s="521"/>
      <c r="O490" s="521"/>
      <c r="P490" s="521"/>
      <c r="Q490" s="521"/>
      <c r="R490" s="521"/>
      <c r="S490" s="521"/>
      <c r="T490" s="521"/>
      <c r="U490" s="521"/>
      <c r="V490" s="521"/>
      <c r="W490" s="521"/>
      <c r="X490" s="521"/>
      <c r="Y490" s="521"/>
      <c r="Z490" s="522"/>
    </row>
    <row r="491" spans="1:26" x14ac:dyDescent="0.3">
      <c r="A491" s="521"/>
      <c r="B491" s="521"/>
      <c r="C491" s="521"/>
      <c r="D491" s="521"/>
      <c r="E491" s="521"/>
      <c r="F491" s="521"/>
      <c r="G491" s="521"/>
      <c r="H491" s="521"/>
      <c r="I491" s="521"/>
      <c r="J491" s="521"/>
      <c r="K491" s="521"/>
      <c r="L491" s="521"/>
      <c r="M491" s="521"/>
      <c r="N491" s="521"/>
      <c r="O491" s="521"/>
      <c r="P491" s="521"/>
      <c r="Q491" s="521"/>
      <c r="R491" s="521"/>
      <c r="S491" s="521"/>
      <c r="T491" s="521"/>
      <c r="U491" s="521"/>
      <c r="V491" s="521"/>
      <c r="W491" s="521"/>
      <c r="X491" s="521"/>
      <c r="Y491" s="521"/>
      <c r="Z491" s="522"/>
    </row>
    <row r="492" spans="1:26" x14ac:dyDescent="0.3">
      <c r="A492" s="521"/>
      <c r="B492" s="521"/>
      <c r="C492" s="521"/>
      <c r="D492" s="521"/>
      <c r="E492" s="521"/>
      <c r="F492" s="521"/>
      <c r="G492" s="521"/>
      <c r="H492" s="521"/>
      <c r="I492" s="521"/>
      <c r="J492" s="521"/>
      <c r="K492" s="521"/>
      <c r="L492" s="521"/>
      <c r="M492" s="521"/>
      <c r="N492" s="521"/>
      <c r="O492" s="521"/>
      <c r="P492" s="521"/>
      <c r="Q492" s="521"/>
      <c r="R492" s="521"/>
      <c r="S492" s="521"/>
      <c r="T492" s="521"/>
      <c r="U492" s="521"/>
      <c r="V492" s="521"/>
      <c r="W492" s="521"/>
      <c r="X492" s="521"/>
      <c r="Y492" s="521"/>
      <c r="Z492" s="522"/>
    </row>
    <row r="493" spans="1:26" x14ac:dyDescent="0.3">
      <c r="A493" s="521"/>
      <c r="B493" s="521"/>
      <c r="C493" s="521"/>
      <c r="D493" s="521"/>
      <c r="E493" s="521"/>
      <c r="F493" s="521"/>
      <c r="G493" s="521"/>
      <c r="H493" s="521"/>
      <c r="I493" s="521"/>
      <c r="J493" s="521"/>
      <c r="K493" s="521"/>
      <c r="L493" s="521"/>
      <c r="M493" s="521"/>
      <c r="N493" s="521"/>
      <c r="O493" s="521"/>
      <c r="P493" s="521"/>
      <c r="Q493" s="521"/>
      <c r="R493" s="521"/>
      <c r="S493" s="521"/>
      <c r="T493" s="521"/>
      <c r="U493" s="521"/>
      <c r="V493" s="521"/>
      <c r="W493" s="521"/>
      <c r="X493" s="521"/>
      <c r="Y493" s="521"/>
      <c r="Z493" s="522"/>
    </row>
    <row r="494" spans="1:26" x14ac:dyDescent="0.3">
      <c r="A494" s="521"/>
      <c r="B494" s="521"/>
      <c r="C494" s="521"/>
      <c r="D494" s="521"/>
      <c r="E494" s="521"/>
      <c r="F494" s="521"/>
      <c r="G494" s="521"/>
      <c r="H494" s="521"/>
      <c r="I494" s="521"/>
      <c r="J494" s="521"/>
      <c r="K494" s="521"/>
      <c r="L494" s="521"/>
      <c r="M494" s="521"/>
      <c r="N494" s="521"/>
      <c r="O494" s="521"/>
      <c r="P494" s="521"/>
      <c r="Q494" s="521"/>
      <c r="R494" s="521"/>
      <c r="S494" s="521"/>
      <c r="T494" s="521"/>
      <c r="U494" s="521"/>
      <c r="V494" s="521"/>
      <c r="W494" s="521"/>
      <c r="X494" s="521"/>
      <c r="Y494" s="521"/>
      <c r="Z494" s="522"/>
    </row>
    <row r="495" spans="1:26" x14ac:dyDescent="0.3">
      <c r="A495" s="521"/>
      <c r="B495" s="521"/>
      <c r="C495" s="521"/>
      <c r="D495" s="521"/>
      <c r="E495" s="521"/>
      <c r="F495" s="521"/>
      <c r="G495" s="521"/>
      <c r="H495" s="521"/>
      <c r="I495" s="521"/>
      <c r="J495" s="521"/>
      <c r="K495" s="521"/>
      <c r="L495" s="521"/>
      <c r="M495" s="521"/>
      <c r="N495" s="521"/>
      <c r="O495" s="521"/>
      <c r="P495" s="521"/>
      <c r="Q495" s="521"/>
      <c r="R495" s="521"/>
      <c r="S495" s="521"/>
      <c r="T495" s="521"/>
      <c r="U495" s="521"/>
      <c r="V495" s="521"/>
      <c r="W495" s="521"/>
      <c r="X495" s="521"/>
      <c r="Y495" s="521"/>
      <c r="Z495" s="522"/>
    </row>
    <row r="496" spans="1:26" x14ac:dyDescent="0.3">
      <c r="A496" s="521"/>
      <c r="B496" s="521"/>
      <c r="C496" s="521"/>
      <c r="D496" s="521"/>
      <c r="E496" s="521"/>
      <c r="F496" s="521"/>
      <c r="G496" s="521"/>
      <c r="H496" s="521"/>
      <c r="I496" s="521"/>
      <c r="J496" s="521"/>
      <c r="K496" s="521"/>
      <c r="L496" s="521"/>
      <c r="M496" s="521"/>
      <c r="N496" s="521"/>
      <c r="O496" s="521"/>
      <c r="P496" s="521"/>
      <c r="Q496" s="521"/>
      <c r="R496" s="521"/>
      <c r="S496" s="521"/>
      <c r="T496" s="521"/>
      <c r="U496" s="521"/>
      <c r="V496" s="521"/>
      <c r="W496" s="521"/>
      <c r="X496" s="521"/>
      <c r="Y496" s="521"/>
      <c r="Z496" s="522"/>
    </row>
    <row r="497" spans="1:26" x14ac:dyDescent="0.3">
      <c r="A497" s="521"/>
      <c r="B497" s="521"/>
      <c r="C497" s="521"/>
      <c r="D497" s="521"/>
      <c r="E497" s="521"/>
      <c r="F497" s="521"/>
      <c r="G497" s="521"/>
      <c r="H497" s="521"/>
      <c r="I497" s="521"/>
      <c r="J497" s="521"/>
      <c r="K497" s="521"/>
      <c r="L497" s="521"/>
      <c r="M497" s="521"/>
      <c r="N497" s="521"/>
      <c r="O497" s="521"/>
      <c r="P497" s="521"/>
      <c r="Q497" s="521"/>
      <c r="R497" s="521"/>
      <c r="S497" s="521"/>
      <c r="T497" s="521"/>
      <c r="U497" s="521"/>
      <c r="V497" s="521"/>
      <c r="W497" s="521"/>
      <c r="X497" s="521"/>
      <c r="Y497" s="521"/>
      <c r="Z497" s="522"/>
    </row>
    <row r="498" spans="1:26" x14ac:dyDescent="0.3">
      <c r="A498" s="521"/>
      <c r="B498" s="521"/>
      <c r="C498" s="521"/>
      <c r="D498" s="521"/>
      <c r="E498" s="521"/>
      <c r="F498" s="521"/>
      <c r="G498" s="521"/>
      <c r="H498" s="521"/>
      <c r="I498" s="521"/>
      <c r="J498" s="521"/>
      <c r="K498" s="521"/>
      <c r="L498" s="521"/>
      <c r="M498" s="521"/>
      <c r="N498" s="521"/>
      <c r="O498" s="521"/>
      <c r="P498" s="521"/>
      <c r="Q498" s="521"/>
      <c r="R498" s="521"/>
      <c r="S498" s="521"/>
      <c r="T498" s="521"/>
      <c r="U498" s="521"/>
      <c r="V498" s="521"/>
      <c r="W498" s="521"/>
      <c r="X498" s="521"/>
      <c r="Y498" s="521"/>
      <c r="Z498" s="522"/>
    </row>
    <row r="499" spans="1:26" x14ac:dyDescent="0.3">
      <c r="A499" s="521"/>
      <c r="B499" s="521"/>
      <c r="C499" s="521"/>
      <c r="D499" s="521"/>
      <c r="E499" s="521"/>
      <c r="F499" s="521"/>
      <c r="G499" s="521"/>
      <c r="H499" s="521"/>
      <c r="I499" s="521"/>
      <c r="J499" s="521"/>
      <c r="K499" s="521"/>
      <c r="L499" s="521"/>
      <c r="M499" s="521"/>
      <c r="N499" s="521"/>
      <c r="O499" s="521"/>
      <c r="P499" s="521"/>
      <c r="Q499" s="521"/>
      <c r="R499" s="521"/>
      <c r="S499" s="521"/>
      <c r="T499" s="521"/>
      <c r="U499" s="521"/>
      <c r="V499" s="521"/>
      <c r="W499" s="521"/>
      <c r="X499" s="521"/>
      <c r="Y499" s="521"/>
      <c r="Z499" s="522"/>
    </row>
    <row r="500" spans="1:26" x14ac:dyDescent="0.3">
      <c r="A500" s="521"/>
      <c r="B500" s="521"/>
      <c r="C500" s="521"/>
      <c r="D500" s="521"/>
      <c r="E500" s="521"/>
      <c r="F500" s="521"/>
      <c r="G500" s="521"/>
      <c r="H500" s="521"/>
      <c r="I500" s="521"/>
      <c r="J500" s="521"/>
      <c r="K500" s="521"/>
      <c r="L500" s="521"/>
      <c r="M500" s="521"/>
      <c r="N500" s="521"/>
      <c r="O500" s="521"/>
      <c r="P500" s="521"/>
      <c r="Q500" s="521"/>
      <c r="R500" s="521"/>
      <c r="S500" s="521"/>
      <c r="T500" s="521"/>
      <c r="U500" s="521"/>
      <c r="V500" s="521"/>
      <c r="W500" s="521"/>
      <c r="X500" s="521"/>
      <c r="Y500" s="521"/>
      <c r="Z500" s="522"/>
    </row>
    <row r="501" spans="1:26" x14ac:dyDescent="0.3">
      <c r="A501" s="521"/>
      <c r="B501" s="521"/>
      <c r="C501" s="521"/>
      <c r="D501" s="521"/>
      <c r="E501" s="521"/>
      <c r="F501" s="521"/>
      <c r="G501" s="521"/>
      <c r="H501" s="521"/>
      <c r="I501" s="521"/>
      <c r="J501" s="521"/>
      <c r="K501" s="521"/>
      <c r="L501" s="521"/>
      <c r="M501" s="521"/>
      <c r="N501" s="521"/>
      <c r="O501" s="521"/>
      <c r="P501" s="521"/>
      <c r="Q501" s="521"/>
      <c r="R501" s="521"/>
      <c r="S501" s="521"/>
      <c r="T501" s="521"/>
      <c r="U501" s="521"/>
      <c r="V501" s="521"/>
      <c r="W501" s="521"/>
      <c r="X501" s="521"/>
      <c r="Y501" s="521"/>
      <c r="Z501" s="522"/>
    </row>
    <row r="502" spans="1:26" x14ac:dyDescent="0.3">
      <c r="A502" s="521"/>
      <c r="B502" s="521"/>
      <c r="C502" s="521"/>
      <c r="D502" s="521"/>
      <c r="E502" s="521"/>
      <c r="F502" s="521"/>
      <c r="G502" s="521"/>
      <c r="H502" s="521"/>
      <c r="I502" s="521"/>
      <c r="J502" s="521"/>
      <c r="K502" s="521"/>
      <c r="L502" s="521"/>
      <c r="M502" s="521"/>
      <c r="N502" s="521"/>
      <c r="O502" s="521"/>
      <c r="P502" s="521"/>
      <c r="Q502" s="521"/>
      <c r="R502" s="521"/>
      <c r="S502" s="521"/>
      <c r="T502" s="521"/>
      <c r="U502" s="521"/>
      <c r="V502" s="521"/>
      <c r="W502" s="521"/>
      <c r="X502" s="521"/>
      <c r="Y502" s="521"/>
      <c r="Z502" s="522"/>
    </row>
    <row r="503" spans="1:26" x14ac:dyDescent="0.3">
      <c r="A503" s="521"/>
      <c r="B503" s="521"/>
      <c r="C503" s="521"/>
      <c r="D503" s="521"/>
      <c r="E503" s="521"/>
      <c r="F503" s="521"/>
      <c r="G503" s="521"/>
      <c r="H503" s="521"/>
      <c r="I503" s="521"/>
      <c r="J503" s="521"/>
      <c r="K503" s="521"/>
      <c r="L503" s="521"/>
      <c r="M503" s="521"/>
      <c r="N503" s="521"/>
      <c r="O503" s="521"/>
      <c r="P503" s="521"/>
      <c r="Q503" s="521"/>
      <c r="R503" s="521"/>
      <c r="S503" s="521"/>
      <c r="T503" s="521"/>
      <c r="U503" s="521"/>
      <c r="V503" s="521"/>
      <c r="W503" s="521"/>
      <c r="X503" s="521"/>
      <c r="Y503" s="521"/>
      <c r="Z503" s="522"/>
    </row>
    <row r="504" spans="1:26" x14ac:dyDescent="0.3">
      <c r="A504" s="521"/>
      <c r="B504" s="521"/>
      <c r="C504" s="521"/>
      <c r="D504" s="521"/>
      <c r="E504" s="521"/>
      <c r="F504" s="521"/>
      <c r="G504" s="521"/>
      <c r="H504" s="521"/>
      <c r="I504" s="521"/>
      <c r="J504" s="521"/>
      <c r="K504" s="521"/>
      <c r="L504" s="521"/>
      <c r="M504" s="521"/>
      <c r="N504" s="521"/>
      <c r="O504" s="521"/>
      <c r="P504" s="521"/>
      <c r="Q504" s="521"/>
      <c r="R504" s="521"/>
      <c r="S504" s="521"/>
      <c r="T504" s="521"/>
      <c r="U504" s="521"/>
      <c r="V504" s="521"/>
      <c r="W504" s="521"/>
      <c r="X504" s="521"/>
      <c r="Y504" s="521"/>
      <c r="Z504" s="522"/>
    </row>
    <row r="505" spans="1:26" x14ac:dyDescent="0.3">
      <c r="A505" s="521"/>
      <c r="B505" s="521"/>
      <c r="C505" s="521"/>
      <c r="D505" s="521"/>
      <c r="E505" s="521"/>
      <c r="F505" s="521"/>
      <c r="G505" s="521"/>
      <c r="H505" s="521"/>
      <c r="I505" s="521"/>
      <c r="J505" s="521"/>
      <c r="K505" s="521"/>
      <c r="L505" s="521"/>
      <c r="M505" s="521"/>
      <c r="N505" s="521"/>
      <c r="O505" s="521"/>
      <c r="P505" s="521"/>
      <c r="Q505" s="521"/>
      <c r="R505" s="521"/>
      <c r="S505" s="521"/>
      <c r="T505" s="521"/>
      <c r="U505" s="521"/>
      <c r="V505" s="521"/>
      <c r="W505" s="521"/>
      <c r="X505" s="521"/>
      <c r="Y505" s="521"/>
      <c r="Z505" s="522"/>
    </row>
    <row r="506" spans="1:26" x14ac:dyDescent="0.3">
      <c r="A506" s="521"/>
      <c r="B506" s="521"/>
      <c r="C506" s="521"/>
      <c r="D506" s="521"/>
      <c r="E506" s="521"/>
      <c r="F506" s="521"/>
      <c r="G506" s="521"/>
      <c r="H506" s="521"/>
      <c r="I506" s="521"/>
      <c r="J506" s="521"/>
      <c r="K506" s="521"/>
      <c r="L506" s="521"/>
      <c r="M506" s="521"/>
      <c r="N506" s="521"/>
      <c r="O506" s="521"/>
      <c r="P506" s="521"/>
      <c r="Q506" s="521"/>
      <c r="R506" s="521"/>
      <c r="S506" s="521"/>
      <c r="T506" s="521"/>
      <c r="U506" s="521"/>
      <c r="V506" s="521"/>
      <c r="W506" s="521"/>
      <c r="X506" s="521"/>
      <c r="Y506" s="521"/>
      <c r="Z506" s="522"/>
    </row>
    <row r="507" spans="1:26" x14ac:dyDescent="0.3">
      <c r="A507" s="521"/>
      <c r="B507" s="521"/>
      <c r="C507" s="521"/>
      <c r="D507" s="521"/>
      <c r="E507" s="521"/>
      <c r="F507" s="521"/>
      <c r="G507" s="521"/>
      <c r="H507" s="521"/>
      <c r="I507" s="521"/>
      <c r="J507" s="521"/>
      <c r="K507" s="521"/>
      <c r="L507" s="521"/>
      <c r="M507" s="521"/>
      <c r="N507" s="521"/>
      <c r="O507" s="521"/>
      <c r="P507" s="521"/>
      <c r="Q507" s="521"/>
      <c r="R507" s="521"/>
      <c r="S507" s="521"/>
      <c r="T507" s="521"/>
      <c r="U507" s="521"/>
      <c r="V507" s="521"/>
      <c r="W507" s="521"/>
      <c r="X507" s="521"/>
      <c r="Y507" s="521"/>
      <c r="Z507" s="522"/>
    </row>
    <row r="508" spans="1:26" x14ac:dyDescent="0.3">
      <c r="A508" s="521"/>
      <c r="B508" s="521"/>
      <c r="C508" s="521"/>
      <c r="D508" s="521"/>
      <c r="E508" s="521"/>
      <c r="F508" s="521"/>
      <c r="G508" s="521"/>
      <c r="H508" s="521"/>
      <c r="I508" s="521"/>
      <c r="J508" s="521"/>
      <c r="K508" s="521"/>
      <c r="L508" s="521"/>
      <c r="M508" s="521"/>
      <c r="N508" s="521"/>
      <c r="O508" s="521"/>
      <c r="P508" s="521"/>
      <c r="Q508" s="521"/>
      <c r="R508" s="521"/>
      <c r="S508" s="521"/>
      <c r="T508" s="521"/>
      <c r="U508" s="521"/>
      <c r="V508" s="521"/>
      <c r="W508" s="521"/>
      <c r="X508" s="521"/>
      <c r="Y508" s="521"/>
      <c r="Z508" s="522"/>
    </row>
    <row r="509" spans="1:26" x14ac:dyDescent="0.3">
      <c r="A509" s="521"/>
      <c r="B509" s="521"/>
      <c r="C509" s="521"/>
      <c r="D509" s="521"/>
      <c r="E509" s="521"/>
      <c r="F509" s="521"/>
      <c r="G509" s="521"/>
      <c r="H509" s="521"/>
      <c r="I509" s="521"/>
      <c r="J509" s="521"/>
      <c r="K509" s="521"/>
      <c r="L509" s="521"/>
      <c r="M509" s="521"/>
      <c r="N509" s="521"/>
      <c r="O509" s="521"/>
      <c r="P509" s="521"/>
      <c r="Q509" s="521"/>
      <c r="R509" s="521"/>
      <c r="S509" s="521"/>
      <c r="T509" s="521"/>
      <c r="U509" s="521"/>
      <c r="V509" s="521"/>
      <c r="W509" s="521"/>
      <c r="X509" s="521"/>
      <c r="Y509" s="521"/>
      <c r="Z509" s="522"/>
    </row>
    <row r="510" spans="1:26" x14ac:dyDescent="0.3">
      <c r="A510" s="521"/>
      <c r="B510" s="521"/>
      <c r="C510" s="521"/>
      <c r="D510" s="521"/>
      <c r="E510" s="521"/>
      <c r="F510" s="521"/>
      <c r="G510" s="521"/>
      <c r="H510" s="521"/>
      <c r="I510" s="521"/>
      <c r="J510" s="521"/>
      <c r="K510" s="521"/>
      <c r="L510" s="521"/>
      <c r="M510" s="521"/>
      <c r="N510" s="521"/>
      <c r="O510" s="521"/>
      <c r="P510" s="521"/>
      <c r="Q510" s="521"/>
      <c r="R510" s="521"/>
      <c r="S510" s="521"/>
      <c r="T510" s="521"/>
      <c r="U510" s="521"/>
      <c r="V510" s="521"/>
      <c r="W510" s="521"/>
      <c r="X510" s="521"/>
      <c r="Y510" s="521"/>
      <c r="Z510" s="522"/>
    </row>
    <row r="511" spans="1:26" x14ac:dyDescent="0.3">
      <c r="A511" s="521"/>
      <c r="B511" s="521"/>
      <c r="C511" s="521"/>
      <c r="D511" s="521"/>
      <c r="E511" s="521"/>
      <c r="F511" s="521"/>
      <c r="G511" s="521"/>
      <c r="H511" s="521"/>
      <c r="I511" s="521"/>
      <c r="J511" s="521"/>
      <c r="K511" s="521"/>
      <c r="L511" s="521"/>
      <c r="M511" s="521"/>
      <c r="N511" s="521"/>
      <c r="O511" s="521"/>
      <c r="P511" s="521"/>
      <c r="Q511" s="521"/>
      <c r="R511" s="521"/>
      <c r="S511" s="521"/>
      <c r="T511" s="521"/>
      <c r="U511" s="521"/>
      <c r="V511" s="521"/>
      <c r="W511" s="521"/>
      <c r="X511" s="521"/>
      <c r="Y511" s="521"/>
      <c r="Z511" s="522"/>
    </row>
    <row r="512" spans="1:26" x14ac:dyDescent="0.3">
      <c r="A512" s="521"/>
      <c r="B512" s="521"/>
      <c r="C512" s="521"/>
      <c r="D512" s="521"/>
      <c r="E512" s="521"/>
      <c r="F512" s="521"/>
      <c r="G512" s="521"/>
      <c r="H512" s="521"/>
      <c r="I512" s="521"/>
      <c r="J512" s="521"/>
      <c r="K512" s="521"/>
      <c r="L512" s="521"/>
      <c r="M512" s="521"/>
      <c r="N512" s="521"/>
      <c r="O512" s="521"/>
      <c r="P512" s="521"/>
      <c r="Q512" s="521"/>
      <c r="R512" s="521"/>
      <c r="S512" s="521"/>
      <c r="T512" s="521"/>
      <c r="U512" s="521"/>
      <c r="V512" s="521"/>
      <c r="W512" s="521"/>
      <c r="X512" s="521"/>
      <c r="Y512" s="521"/>
      <c r="Z512" s="522"/>
    </row>
    <row r="513" spans="1:26" x14ac:dyDescent="0.3">
      <c r="A513" s="521"/>
      <c r="B513" s="521"/>
      <c r="C513" s="521"/>
      <c r="D513" s="521"/>
      <c r="E513" s="521"/>
      <c r="F513" s="521"/>
      <c r="G513" s="521"/>
      <c r="H513" s="521"/>
      <c r="I513" s="521"/>
      <c r="J513" s="521"/>
      <c r="K513" s="521"/>
      <c r="L513" s="521"/>
      <c r="M513" s="521"/>
      <c r="N513" s="521"/>
      <c r="O513" s="521"/>
      <c r="P513" s="521"/>
      <c r="Q513" s="521"/>
      <c r="R513" s="521"/>
      <c r="S513" s="521"/>
      <c r="T513" s="521"/>
      <c r="U513" s="521"/>
      <c r="V513" s="521"/>
      <c r="W513" s="521"/>
      <c r="X513" s="521"/>
      <c r="Y513" s="521"/>
      <c r="Z513" s="522"/>
    </row>
    <row r="514" spans="1:26" x14ac:dyDescent="0.3">
      <c r="A514" s="521"/>
      <c r="B514" s="521"/>
      <c r="C514" s="521"/>
      <c r="D514" s="521"/>
      <c r="E514" s="521"/>
      <c r="F514" s="521"/>
      <c r="G514" s="521"/>
      <c r="H514" s="521"/>
      <c r="I514" s="521"/>
      <c r="J514" s="521"/>
      <c r="K514" s="521"/>
      <c r="L514" s="521"/>
      <c r="M514" s="521"/>
      <c r="N514" s="521"/>
      <c r="O514" s="521"/>
      <c r="P514" s="521"/>
      <c r="Q514" s="521"/>
      <c r="R514" s="521"/>
      <c r="S514" s="521"/>
      <c r="T514" s="521"/>
      <c r="U514" s="521"/>
      <c r="V514" s="521"/>
      <c r="W514" s="521"/>
      <c r="X514" s="521"/>
      <c r="Y514" s="521"/>
      <c r="Z514" s="522"/>
    </row>
    <row r="515" spans="1:26" x14ac:dyDescent="0.3">
      <c r="A515" s="521"/>
      <c r="B515" s="521"/>
      <c r="C515" s="521"/>
      <c r="D515" s="521"/>
      <c r="E515" s="521"/>
      <c r="F515" s="521"/>
      <c r="G515" s="521"/>
      <c r="H515" s="521"/>
      <c r="I515" s="521"/>
      <c r="J515" s="521"/>
      <c r="K515" s="521"/>
      <c r="L515" s="521"/>
      <c r="M515" s="521"/>
      <c r="N515" s="521"/>
      <c r="O515" s="521"/>
      <c r="P515" s="521"/>
      <c r="Q515" s="521"/>
      <c r="R515" s="521"/>
      <c r="S515" s="521"/>
      <c r="T515" s="521"/>
      <c r="U515" s="521"/>
      <c r="V515" s="521"/>
      <c r="W515" s="521"/>
      <c r="X515" s="521"/>
      <c r="Y515" s="521"/>
      <c r="Z515" s="522"/>
    </row>
    <row r="516" spans="1:26" x14ac:dyDescent="0.3">
      <c r="A516" s="521"/>
      <c r="B516" s="521"/>
      <c r="C516" s="521"/>
      <c r="D516" s="521"/>
      <c r="E516" s="521"/>
      <c r="F516" s="521"/>
      <c r="G516" s="521"/>
      <c r="H516" s="521"/>
      <c r="I516" s="521"/>
      <c r="J516" s="521"/>
      <c r="K516" s="521"/>
      <c r="L516" s="521"/>
      <c r="M516" s="521"/>
      <c r="N516" s="521"/>
      <c r="O516" s="521"/>
      <c r="P516" s="521"/>
      <c r="Q516" s="521"/>
      <c r="R516" s="521"/>
      <c r="S516" s="521"/>
      <c r="T516" s="521"/>
      <c r="U516" s="521"/>
      <c r="V516" s="521"/>
      <c r="W516" s="521"/>
      <c r="X516" s="521"/>
      <c r="Y516" s="521"/>
      <c r="Z516" s="522"/>
    </row>
    <row r="517" spans="1:26" x14ac:dyDescent="0.3">
      <c r="A517" s="521"/>
      <c r="B517" s="521"/>
      <c r="C517" s="521"/>
      <c r="D517" s="521"/>
      <c r="E517" s="521"/>
      <c r="F517" s="521"/>
      <c r="G517" s="521"/>
      <c r="H517" s="521"/>
      <c r="I517" s="521"/>
      <c r="J517" s="521"/>
      <c r="K517" s="521"/>
      <c r="L517" s="521"/>
      <c r="M517" s="521"/>
      <c r="N517" s="521"/>
      <c r="O517" s="521"/>
      <c r="P517" s="521"/>
      <c r="Q517" s="521"/>
      <c r="R517" s="521"/>
      <c r="S517" s="521"/>
      <c r="T517" s="521"/>
      <c r="U517" s="521"/>
      <c r="V517" s="521"/>
      <c r="W517" s="521"/>
      <c r="X517" s="521"/>
      <c r="Y517" s="521"/>
      <c r="Z517" s="522"/>
    </row>
    <row r="518" spans="1:26" x14ac:dyDescent="0.3">
      <c r="A518" s="521"/>
      <c r="B518" s="521"/>
      <c r="C518" s="521"/>
      <c r="D518" s="521"/>
      <c r="E518" s="521"/>
      <c r="F518" s="521"/>
      <c r="G518" s="521"/>
      <c r="H518" s="521"/>
      <c r="I518" s="521"/>
      <c r="J518" s="521"/>
      <c r="K518" s="521"/>
      <c r="L518" s="521"/>
      <c r="M518" s="521"/>
      <c r="N518" s="521"/>
      <c r="O518" s="521"/>
      <c r="P518" s="521"/>
      <c r="Q518" s="521"/>
      <c r="R518" s="521"/>
      <c r="S518" s="521"/>
      <c r="T518" s="521"/>
      <c r="U518" s="521"/>
      <c r="V518" s="521"/>
      <c r="W518" s="521"/>
      <c r="X518" s="521"/>
      <c r="Y518" s="521"/>
      <c r="Z518" s="522"/>
    </row>
    <row r="519" spans="1:26" x14ac:dyDescent="0.3">
      <c r="A519" s="521"/>
      <c r="B519" s="521"/>
      <c r="C519" s="521"/>
      <c r="D519" s="521"/>
      <c r="E519" s="521"/>
      <c r="F519" s="521"/>
      <c r="G519" s="521"/>
      <c r="H519" s="521"/>
      <c r="I519" s="521"/>
      <c r="J519" s="521"/>
      <c r="K519" s="521"/>
      <c r="L519" s="521"/>
      <c r="M519" s="521"/>
      <c r="N519" s="521"/>
      <c r="O519" s="521"/>
      <c r="P519" s="521"/>
      <c r="Q519" s="521"/>
      <c r="R519" s="521"/>
      <c r="S519" s="521"/>
      <c r="T519" s="521"/>
      <c r="U519" s="521"/>
      <c r="V519" s="521"/>
      <c r="W519" s="521"/>
      <c r="X519" s="521"/>
      <c r="Y519" s="521"/>
      <c r="Z519" s="522"/>
    </row>
    <row r="520" spans="1:26" x14ac:dyDescent="0.3">
      <c r="A520" s="521"/>
      <c r="B520" s="521"/>
      <c r="C520" s="521"/>
      <c r="D520" s="521"/>
      <c r="E520" s="521"/>
      <c r="F520" s="521"/>
      <c r="G520" s="521"/>
      <c r="H520" s="521"/>
      <c r="I520" s="521"/>
      <c r="J520" s="521"/>
      <c r="K520" s="521"/>
      <c r="L520" s="521"/>
      <c r="M520" s="521"/>
      <c r="N520" s="521"/>
      <c r="O520" s="521"/>
      <c r="P520" s="521"/>
      <c r="Q520" s="521"/>
      <c r="R520" s="521"/>
      <c r="S520" s="521"/>
      <c r="T520" s="521"/>
      <c r="U520" s="521"/>
      <c r="V520" s="521"/>
      <c r="W520" s="521"/>
      <c r="X520" s="521"/>
      <c r="Y520" s="521"/>
      <c r="Z520" s="522"/>
    </row>
    <row r="521" spans="1:26" x14ac:dyDescent="0.3">
      <c r="A521" s="521"/>
      <c r="B521" s="521"/>
      <c r="C521" s="521"/>
      <c r="D521" s="521"/>
      <c r="E521" s="521"/>
      <c r="F521" s="521"/>
      <c r="G521" s="521"/>
      <c r="H521" s="521"/>
      <c r="I521" s="521"/>
      <c r="J521" s="521"/>
      <c r="K521" s="521"/>
      <c r="L521" s="521"/>
      <c r="M521" s="521"/>
      <c r="N521" s="521"/>
      <c r="O521" s="521"/>
      <c r="P521" s="521"/>
      <c r="Q521" s="521"/>
      <c r="R521" s="521"/>
      <c r="S521" s="521"/>
      <c r="T521" s="521"/>
      <c r="U521" s="521"/>
      <c r="V521" s="521"/>
      <c r="W521" s="521"/>
      <c r="X521" s="521"/>
      <c r="Y521" s="521"/>
      <c r="Z521" s="522"/>
    </row>
    <row r="522" spans="1:26" x14ac:dyDescent="0.3">
      <c r="A522" s="521"/>
      <c r="B522" s="521"/>
      <c r="C522" s="521"/>
      <c r="D522" s="521"/>
      <c r="E522" s="521"/>
      <c r="F522" s="521"/>
      <c r="G522" s="521"/>
      <c r="H522" s="521"/>
      <c r="I522" s="521"/>
      <c r="J522" s="521"/>
      <c r="K522" s="521"/>
      <c r="L522" s="521"/>
      <c r="M522" s="521"/>
      <c r="N522" s="521"/>
      <c r="O522" s="521"/>
      <c r="P522" s="521"/>
      <c r="Q522" s="521"/>
      <c r="R522" s="521"/>
      <c r="S522" s="521"/>
      <c r="T522" s="521"/>
      <c r="U522" s="521"/>
      <c r="V522" s="521"/>
      <c r="W522" s="521"/>
      <c r="X522" s="521"/>
      <c r="Y522" s="521"/>
      <c r="Z522" s="522"/>
    </row>
    <row r="523" spans="1:26" x14ac:dyDescent="0.3">
      <c r="A523" s="521"/>
      <c r="B523" s="521"/>
      <c r="C523" s="521"/>
      <c r="D523" s="521"/>
      <c r="E523" s="521"/>
      <c r="F523" s="521"/>
      <c r="G523" s="521"/>
      <c r="H523" s="521"/>
      <c r="I523" s="521"/>
      <c r="J523" s="521"/>
      <c r="K523" s="521"/>
      <c r="L523" s="521"/>
      <c r="M523" s="521"/>
      <c r="N523" s="521"/>
      <c r="O523" s="521"/>
      <c r="P523" s="521"/>
      <c r="Q523" s="521"/>
      <c r="R523" s="521"/>
      <c r="S523" s="521"/>
      <c r="T523" s="521"/>
      <c r="U523" s="521"/>
      <c r="V523" s="521"/>
      <c r="W523" s="521"/>
      <c r="X523" s="521"/>
      <c r="Y523" s="521"/>
      <c r="Z523" s="522"/>
    </row>
    <row r="524" spans="1:26" x14ac:dyDescent="0.3">
      <c r="A524" s="521"/>
      <c r="B524" s="521"/>
      <c r="C524" s="521"/>
      <c r="D524" s="521"/>
      <c r="E524" s="521"/>
      <c r="F524" s="521"/>
      <c r="G524" s="521"/>
      <c r="H524" s="521"/>
      <c r="I524" s="521"/>
      <c r="J524" s="521"/>
      <c r="K524" s="521"/>
      <c r="L524" s="521"/>
      <c r="M524" s="521"/>
      <c r="N524" s="521"/>
      <c r="O524" s="521"/>
      <c r="P524" s="521"/>
      <c r="Q524" s="521"/>
      <c r="R524" s="521"/>
      <c r="S524" s="521"/>
      <c r="T524" s="521"/>
      <c r="U524" s="521"/>
      <c r="V524" s="521"/>
      <c r="W524" s="521"/>
      <c r="X524" s="521"/>
      <c r="Y524" s="521"/>
      <c r="Z524" s="522"/>
    </row>
    <row r="525" spans="1:26" x14ac:dyDescent="0.3">
      <c r="A525" s="521"/>
      <c r="B525" s="521"/>
      <c r="C525" s="521"/>
      <c r="D525" s="521"/>
      <c r="E525" s="521"/>
      <c r="F525" s="521"/>
      <c r="G525" s="521"/>
      <c r="H525" s="521"/>
      <c r="I525" s="521"/>
      <c r="J525" s="521"/>
      <c r="K525" s="521"/>
      <c r="L525" s="521"/>
      <c r="M525" s="521"/>
      <c r="N525" s="521"/>
      <c r="O525" s="521"/>
      <c r="P525" s="521"/>
      <c r="Q525" s="521"/>
      <c r="R525" s="521"/>
      <c r="S525" s="521"/>
      <c r="T525" s="521"/>
      <c r="U525" s="521"/>
      <c r="V525" s="521"/>
      <c r="W525" s="521"/>
      <c r="X525" s="521"/>
      <c r="Y525" s="521"/>
      <c r="Z525" s="522"/>
    </row>
    <row r="526" spans="1:26" x14ac:dyDescent="0.3">
      <c r="A526" s="521"/>
      <c r="B526" s="521"/>
      <c r="C526" s="521"/>
      <c r="D526" s="521"/>
      <c r="E526" s="521"/>
      <c r="F526" s="521"/>
      <c r="G526" s="521"/>
      <c r="H526" s="521"/>
      <c r="I526" s="521"/>
      <c r="J526" s="521"/>
      <c r="K526" s="521"/>
      <c r="L526" s="521"/>
      <c r="M526" s="521"/>
      <c r="N526" s="521"/>
      <c r="O526" s="521"/>
      <c r="P526" s="521"/>
      <c r="Q526" s="521"/>
      <c r="R526" s="521"/>
      <c r="S526" s="521"/>
      <c r="T526" s="521"/>
      <c r="U526" s="521"/>
      <c r="V526" s="521"/>
      <c r="W526" s="521"/>
      <c r="X526" s="521"/>
      <c r="Y526" s="521"/>
      <c r="Z526" s="522"/>
    </row>
    <row r="527" spans="1:26" x14ac:dyDescent="0.3">
      <c r="A527" s="521"/>
      <c r="B527" s="521"/>
      <c r="C527" s="521"/>
      <c r="D527" s="521"/>
      <c r="E527" s="521"/>
      <c r="F527" s="521"/>
      <c r="G527" s="521"/>
      <c r="H527" s="521"/>
      <c r="I527" s="521"/>
      <c r="J527" s="521"/>
      <c r="K527" s="521"/>
      <c r="L527" s="521"/>
      <c r="M527" s="521"/>
      <c r="N527" s="521"/>
      <c r="O527" s="521"/>
      <c r="P527" s="521"/>
      <c r="Q527" s="521"/>
      <c r="R527" s="521"/>
      <c r="S527" s="521"/>
      <c r="T527" s="521"/>
      <c r="U527" s="521"/>
      <c r="V527" s="521"/>
      <c r="W527" s="521"/>
      <c r="X527" s="521"/>
      <c r="Y527" s="521"/>
      <c r="Z527" s="522"/>
    </row>
    <row r="528" spans="1:26" x14ac:dyDescent="0.3">
      <c r="A528" s="521"/>
      <c r="B528" s="521"/>
      <c r="C528" s="521"/>
      <c r="D528" s="521"/>
      <c r="E528" s="521"/>
      <c r="F528" s="521"/>
      <c r="G528" s="521"/>
      <c r="H528" s="521"/>
      <c r="I528" s="521"/>
      <c r="J528" s="521"/>
      <c r="K528" s="521"/>
      <c r="L528" s="521"/>
      <c r="M528" s="521"/>
      <c r="N528" s="521"/>
      <c r="O528" s="521"/>
      <c r="P528" s="521"/>
      <c r="Q528" s="521"/>
      <c r="R528" s="521"/>
      <c r="S528" s="521"/>
      <c r="T528" s="521"/>
      <c r="U528" s="521"/>
      <c r="V528" s="521"/>
      <c r="W528" s="521"/>
      <c r="X528" s="521"/>
      <c r="Y528" s="521"/>
      <c r="Z528" s="522"/>
    </row>
    <row r="529" spans="1:26" x14ac:dyDescent="0.3">
      <c r="A529" s="521"/>
      <c r="B529" s="521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2"/>
    </row>
    <row r="530" spans="1:26" x14ac:dyDescent="0.3">
      <c r="A530" s="521"/>
      <c r="B530" s="521"/>
      <c r="C530" s="521"/>
      <c r="D530" s="521"/>
      <c r="E530" s="521"/>
      <c r="F530" s="521"/>
      <c r="G530" s="521"/>
      <c r="H530" s="521"/>
      <c r="I530" s="521"/>
      <c r="J530" s="521"/>
      <c r="K530" s="521"/>
      <c r="L530" s="521"/>
      <c r="M530" s="521"/>
      <c r="N530" s="521"/>
      <c r="O530" s="521"/>
      <c r="P530" s="521"/>
      <c r="Q530" s="521"/>
      <c r="R530" s="521"/>
      <c r="S530" s="521"/>
      <c r="T530" s="521"/>
      <c r="U530" s="521"/>
      <c r="V530" s="521"/>
      <c r="W530" s="521"/>
      <c r="X530" s="521"/>
      <c r="Y530" s="521"/>
      <c r="Z530" s="522"/>
    </row>
    <row r="531" spans="1:26" x14ac:dyDescent="0.3">
      <c r="A531" s="521"/>
      <c r="B531" s="521"/>
      <c r="C531" s="521"/>
      <c r="D531" s="521"/>
      <c r="E531" s="521"/>
      <c r="F531" s="521"/>
      <c r="G531" s="521"/>
      <c r="H531" s="521"/>
      <c r="I531" s="521"/>
      <c r="J531" s="521"/>
      <c r="K531" s="521"/>
      <c r="L531" s="521"/>
      <c r="M531" s="521"/>
      <c r="N531" s="521"/>
      <c r="O531" s="521"/>
      <c r="P531" s="521"/>
      <c r="Q531" s="521"/>
      <c r="R531" s="521"/>
      <c r="S531" s="521"/>
      <c r="T531" s="521"/>
      <c r="U531" s="521"/>
      <c r="V531" s="521"/>
      <c r="W531" s="521"/>
      <c r="X531" s="521"/>
      <c r="Y531" s="521"/>
      <c r="Z531" s="522"/>
    </row>
    <row r="532" spans="1:26" x14ac:dyDescent="0.3">
      <c r="A532" s="521"/>
      <c r="B532" s="521"/>
      <c r="C532" s="521"/>
      <c r="D532" s="521"/>
      <c r="E532" s="521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P532" s="521"/>
      <c r="Q532" s="521"/>
      <c r="R532" s="521"/>
      <c r="S532" s="521"/>
      <c r="T532" s="521"/>
      <c r="U532" s="521"/>
      <c r="V532" s="521"/>
      <c r="W532" s="521"/>
      <c r="X532" s="521"/>
      <c r="Y532" s="521"/>
      <c r="Z532" s="522"/>
    </row>
    <row r="533" spans="1:26" x14ac:dyDescent="0.3">
      <c r="A533" s="521"/>
      <c r="B533" s="521"/>
      <c r="C533" s="521"/>
      <c r="D533" s="521"/>
      <c r="E533" s="521"/>
      <c r="F533" s="521"/>
      <c r="G533" s="521"/>
      <c r="H533" s="521"/>
      <c r="I533" s="521"/>
      <c r="J533" s="521"/>
      <c r="K533" s="521"/>
      <c r="L533" s="521"/>
      <c r="M533" s="521"/>
      <c r="N533" s="521"/>
      <c r="O533" s="521"/>
      <c r="P533" s="521"/>
      <c r="Q533" s="521"/>
      <c r="R533" s="521"/>
      <c r="S533" s="521"/>
      <c r="T533" s="521"/>
      <c r="U533" s="521"/>
      <c r="V533" s="521"/>
      <c r="W533" s="521"/>
      <c r="X533" s="521"/>
      <c r="Y533" s="521"/>
      <c r="Z533" s="522"/>
    </row>
    <row r="534" spans="1:26" x14ac:dyDescent="0.3">
      <c r="A534" s="521"/>
      <c r="B534" s="521"/>
      <c r="C534" s="521"/>
      <c r="D534" s="521"/>
      <c r="E534" s="521"/>
      <c r="F534" s="521"/>
      <c r="G534" s="521"/>
      <c r="H534" s="521"/>
      <c r="I534" s="521"/>
      <c r="J534" s="521"/>
      <c r="K534" s="521"/>
      <c r="L534" s="521"/>
      <c r="M534" s="521"/>
      <c r="N534" s="521"/>
      <c r="O534" s="521"/>
      <c r="P534" s="521"/>
      <c r="Q534" s="521"/>
      <c r="R534" s="521"/>
      <c r="S534" s="521"/>
      <c r="T534" s="521"/>
      <c r="U534" s="521"/>
      <c r="V534" s="521"/>
      <c r="W534" s="521"/>
      <c r="X534" s="521"/>
      <c r="Y534" s="521"/>
      <c r="Z534" s="522"/>
    </row>
    <row r="535" spans="1:26" x14ac:dyDescent="0.3">
      <c r="A535" s="521"/>
      <c r="B535" s="521"/>
      <c r="C535" s="521"/>
      <c r="D535" s="521"/>
      <c r="E535" s="521"/>
      <c r="F535" s="521"/>
      <c r="G535" s="521"/>
      <c r="H535" s="521"/>
      <c r="I535" s="521"/>
      <c r="J535" s="521"/>
      <c r="K535" s="521"/>
      <c r="L535" s="521"/>
      <c r="M535" s="521"/>
      <c r="N535" s="521"/>
      <c r="O535" s="521"/>
      <c r="P535" s="521"/>
      <c r="Q535" s="521"/>
      <c r="R535" s="521"/>
      <c r="S535" s="521"/>
      <c r="T535" s="521"/>
      <c r="U535" s="521"/>
      <c r="V535" s="521"/>
      <c r="W535" s="521"/>
      <c r="X535" s="521"/>
      <c r="Y535" s="521"/>
      <c r="Z535" s="522"/>
    </row>
    <row r="536" spans="1:26" x14ac:dyDescent="0.3">
      <c r="A536" s="521"/>
      <c r="B536" s="521"/>
      <c r="C536" s="521"/>
      <c r="D536" s="521"/>
      <c r="E536" s="521"/>
      <c r="F536" s="521"/>
      <c r="G536" s="521"/>
      <c r="H536" s="521"/>
      <c r="I536" s="521"/>
      <c r="J536" s="521"/>
      <c r="K536" s="521"/>
      <c r="L536" s="521"/>
      <c r="M536" s="521"/>
      <c r="N536" s="521"/>
      <c r="O536" s="521"/>
      <c r="P536" s="521"/>
      <c r="Q536" s="521"/>
      <c r="R536" s="521"/>
      <c r="S536" s="521"/>
      <c r="T536" s="521"/>
      <c r="U536" s="521"/>
      <c r="V536" s="521"/>
      <c r="W536" s="521"/>
      <c r="X536" s="521"/>
      <c r="Y536" s="521"/>
      <c r="Z536" s="522"/>
    </row>
    <row r="537" spans="1:26" x14ac:dyDescent="0.3">
      <c r="A537" s="521"/>
      <c r="B537" s="521"/>
      <c r="C537" s="521"/>
      <c r="D537" s="521"/>
      <c r="E537" s="521"/>
      <c r="F537" s="521"/>
      <c r="G537" s="521"/>
      <c r="H537" s="521"/>
      <c r="I537" s="521"/>
      <c r="J537" s="521"/>
      <c r="K537" s="521"/>
      <c r="L537" s="521"/>
      <c r="M537" s="521"/>
      <c r="N537" s="521"/>
      <c r="O537" s="521"/>
      <c r="P537" s="521"/>
      <c r="Q537" s="521"/>
      <c r="R537" s="521"/>
      <c r="S537" s="521"/>
      <c r="T537" s="521"/>
      <c r="U537" s="521"/>
      <c r="V537" s="521"/>
      <c r="W537" s="521"/>
      <c r="X537" s="521"/>
      <c r="Y537" s="521"/>
      <c r="Z537" s="522"/>
    </row>
    <row r="538" spans="1:26" x14ac:dyDescent="0.3">
      <c r="A538" s="521"/>
      <c r="B538" s="521"/>
      <c r="C538" s="521"/>
      <c r="D538" s="521"/>
      <c r="E538" s="521"/>
      <c r="F538" s="521"/>
      <c r="G538" s="521"/>
      <c r="H538" s="521"/>
      <c r="I538" s="521"/>
      <c r="J538" s="521"/>
      <c r="K538" s="521"/>
      <c r="L538" s="521"/>
      <c r="M538" s="521"/>
      <c r="N538" s="521"/>
      <c r="O538" s="521"/>
      <c r="P538" s="521"/>
      <c r="Q538" s="521"/>
      <c r="R538" s="521"/>
      <c r="S538" s="521"/>
      <c r="T538" s="521"/>
      <c r="U538" s="521"/>
      <c r="V538" s="521"/>
      <c r="W538" s="521"/>
      <c r="X538" s="521"/>
      <c r="Y538" s="521"/>
      <c r="Z538" s="522"/>
    </row>
    <row r="539" spans="1:26" x14ac:dyDescent="0.3">
      <c r="A539" s="521"/>
      <c r="B539" s="521"/>
      <c r="C539" s="521"/>
      <c r="D539" s="521"/>
      <c r="E539" s="521"/>
      <c r="F539" s="521"/>
      <c r="G539" s="521"/>
      <c r="H539" s="521"/>
      <c r="I539" s="521"/>
      <c r="J539" s="521"/>
      <c r="K539" s="521"/>
      <c r="L539" s="521"/>
      <c r="M539" s="521"/>
      <c r="N539" s="521"/>
      <c r="O539" s="521"/>
      <c r="P539" s="521"/>
      <c r="Q539" s="521"/>
      <c r="R539" s="521"/>
      <c r="S539" s="521"/>
      <c r="T539" s="521"/>
      <c r="U539" s="521"/>
      <c r="V539" s="521"/>
      <c r="W539" s="521"/>
      <c r="X539" s="521"/>
      <c r="Y539" s="521"/>
      <c r="Z539" s="522"/>
    </row>
    <row r="540" spans="1:26" x14ac:dyDescent="0.3">
      <c r="A540" s="521"/>
      <c r="B540" s="521"/>
      <c r="C540" s="521"/>
      <c r="D540" s="521"/>
      <c r="E540" s="521"/>
      <c r="F540" s="521"/>
      <c r="G540" s="521"/>
      <c r="H540" s="521"/>
      <c r="I540" s="521"/>
      <c r="J540" s="521"/>
      <c r="K540" s="521"/>
      <c r="L540" s="521"/>
      <c r="M540" s="521"/>
      <c r="N540" s="521"/>
      <c r="O540" s="521"/>
      <c r="P540" s="521"/>
      <c r="Q540" s="521"/>
      <c r="R540" s="521"/>
      <c r="S540" s="521"/>
      <c r="T540" s="521"/>
      <c r="U540" s="521"/>
      <c r="V540" s="521"/>
      <c r="W540" s="521"/>
      <c r="X540" s="521"/>
      <c r="Y540" s="521"/>
      <c r="Z540" s="522"/>
    </row>
    <row r="541" spans="1:26" x14ac:dyDescent="0.3">
      <c r="A541" s="521"/>
      <c r="B541" s="521"/>
      <c r="C541" s="521"/>
      <c r="D541" s="521"/>
      <c r="E541" s="521"/>
      <c r="F541" s="521"/>
      <c r="G541" s="521"/>
      <c r="H541" s="521"/>
      <c r="I541" s="521"/>
      <c r="J541" s="521"/>
      <c r="K541" s="521"/>
      <c r="L541" s="521"/>
      <c r="M541" s="521"/>
      <c r="N541" s="521"/>
      <c r="O541" s="521"/>
      <c r="P541" s="521"/>
      <c r="Q541" s="521"/>
      <c r="R541" s="521"/>
      <c r="S541" s="521"/>
      <c r="T541" s="521"/>
      <c r="U541" s="521"/>
      <c r="V541" s="521"/>
      <c r="W541" s="521"/>
      <c r="X541" s="521"/>
      <c r="Y541" s="521"/>
      <c r="Z541" s="522"/>
    </row>
    <row r="542" spans="1:26" x14ac:dyDescent="0.3">
      <c r="A542" s="521"/>
      <c r="B542" s="521"/>
      <c r="C542" s="521"/>
      <c r="D542" s="521"/>
      <c r="E542" s="521"/>
      <c r="F542" s="521"/>
      <c r="G542" s="521"/>
      <c r="H542" s="521"/>
      <c r="I542" s="521"/>
      <c r="J542" s="521"/>
      <c r="K542" s="521"/>
      <c r="L542" s="521"/>
      <c r="M542" s="521"/>
      <c r="N542" s="521"/>
      <c r="O542" s="521"/>
      <c r="P542" s="521"/>
      <c r="Q542" s="521"/>
      <c r="R542" s="521"/>
      <c r="S542" s="521"/>
      <c r="T542" s="521"/>
      <c r="U542" s="521"/>
      <c r="V542" s="521"/>
      <c r="W542" s="521"/>
      <c r="X542" s="521"/>
      <c r="Y542" s="521"/>
      <c r="Z542" s="522"/>
    </row>
    <row r="543" spans="1:26" x14ac:dyDescent="0.3">
      <c r="A543" s="521"/>
      <c r="B543" s="521"/>
      <c r="C543" s="521"/>
      <c r="D543" s="521"/>
      <c r="E543" s="521"/>
      <c r="F543" s="521"/>
      <c r="G543" s="521"/>
      <c r="H543" s="521"/>
      <c r="I543" s="521"/>
      <c r="J543" s="521"/>
      <c r="K543" s="521"/>
      <c r="L543" s="521"/>
      <c r="M543" s="521"/>
      <c r="N543" s="521"/>
      <c r="O543" s="521"/>
      <c r="P543" s="521"/>
      <c r="Q543" s="521"/>
      <c r="R543" s="521"/>
      <c r="S543" s="521"/>
      <c r="T543" s="521"/>
      <c r="U543" s="521"/>
      <c r="V543" s="521"/>
      <c r="W543" s="521"/>
      <c r="X543" s="521"/>
      <c r="Y543" s="521"/>
      <c r="Z543" s="522"/>
    </row>
    <row r="544" spans="1:26" x14ac:dyDescent="0.3">
      <c r="A544" s="521"/>
      <c r="B544" s="521"/>
      <c r="C544" s="521"/>
      <c r="D544" s="521"/>
      <c r="E544" s="521"/>
      <c r="F544" s="521"/>
      <c r="G544" s="521"/>
      <c r="H544" s="521"/>
      <c r="I544" s="521"/>
      <c r="J544" s="521"/>
      <c r="K544" s="521"/>
      <c r="L544" s="521"/>
      <c r="M544" s="521"/>
      <c r="N544" s="521"/>
      <c r="O544" s="521"/>
      <c r="P544" s="521"/>
      <c r="Q544" s="521"/>
      <c r="R544" s="521"/>
      <c r="S544" s="521"/>
      <c r="T544" s="521"/>
      <c r="U544" s="521"/>
      <c r="V544" s="521"/>
      <c r="W544" s="521"/>
      <c r="X544" s="521"/>
      <c r="Y544" s="521"/>
      <c r="Z544" s="522"/>
    </row>
    <row r="545" spans="1:26" x14ac:dyDescent="0.3">
      <c r="A545" s="521"/>
      <c r="B545" s="521"/>
      <c r="C545" s="521"/>
      <c r="D545" s="521"/>
      <c r="E545" s="521"/>
      <c r="F545" s="521"/>
      <c r="G545" s="521"/>
      <c r="H545" s="521"/>
      <c r="I545" s="521"/>
      <c r="J545" s="521"/>
      <c r="K545" s="521"/>
      <c r="L545" s="521"/>
      <c r="M545" s="521"/>
      <c r="N545" s="521"/>
      <c r="O545" s="521"/>
      <c r="P545" s="521"/>
      <c r="Q545" s="521"/>
      <c r="R545" s="521"/>
      <c r="S545" s="521"/>
      <c r="T545" s="521"/>
      <c r="U545" s="521"/>
      <c r="V545" s="521"/>
      <c r="W545" s="521"/>
      <c r="X545" s="521"/>
      <c r="Y545" s="521"/>
      <c r="Z545" s="522"/>
    </row>
    <row r="546" spans="1:26" x14ac:dyDescent="0.3">
      <c r="A546" s="521"/>
      <c r="B546" s="521"/>
      <c r="C546" s="521"/>
      <c r="D546" s="521"/>
      <c r="E546" s="521"/>
      <c r="F546" s="521"/>
      <c r="G546" s="521"/>
      <c r="H546" s="521"/>
      <c r="I546" s="521"/>
      <c r="J546" s="521"/>
      <c r="K546" s="521"/>
      <c r="L546" s="521"/>
      <c r="M546" s="521"/>
      <c r="N546" s="521"/>
      <c r="O546" s="521"/>
      <c r="P546" s="521"/>
      <c r="Q546" s="521"/>
      <c r="R546" s="521"/>
      <c r="S546" s="521"/>
      <c r="T546" s="521"/>
      <c r="U546" s="521"/>
      <c r="V546" s="521"/>
      <c r="W546" s="521"/>
      <c r="X546" s="521"/>
      <c r="Y546" s="521"/>
      <c r="Z546" s="522"/>
    </row>
    <row r="547" spans="1:26" x14ac:dyDescent="0.3">
      <c r="A547" s="521"/>
      <c r="B547" s="521"/>
      <c r="C547" s="521"/>
      <c r="D547" s="521"/>
      <c r="E547" s="521"/>
      <c r="F547" s="521"/>
      <c r="G547" s="521"/>
      <c r="H547" s="521"/>
      <c r="I547" s="521"/>
      <c r="J547" s="521"/>
      <c r="K547" s="521"/>
      <c r="L547" s="521"/>
      <c r="M547" s="521"/>
      <c r="N547" s="521"/>
      <c r="O547" s="521"/>
      <c r="P547" s="521"/>
      <c r="Q547" s="521"/>
      <c r="R547" s="521"/>
      <c r="S547" s="521"/>
      <c r="T547" s="521"/>
      <c r="U547" s="521"/>
      <c r="V547" s="521"/>
      <c r="W547" s="521"/>
      <c r="X547" s="521"/>
      <c r="Y547" s="521"/>
      <c r="Z547" s="522"/>
    </row>
    <row r="548" spans="1:26" x14ac:dyDescent="0.3">
      <c r="A548" s="521"/>
      <c r="B548" s="521"/>
      <c r="C548" s="521"/>
      <c r="D548" s="521"/>
      <c r="E548" s="521"/>
      <c r="F548" s="521"/>
      <c r="G548" s="521"/>
      <c r="H548" s="521"/>
      <c r="I548" s="521"/>
      <c r="J548" s="521"/>
      <c r="K548" s="521"/>
      <c r="L548" s="521"/>
      <c r="M548" s="521"/>
      <c r="N548" s="521"/>
      <c r="O548" s="521"/>
      <c r="P548" s="521"/>
      <c r="Q548" s="521"/>
      <c r="R548" s="521"/>
      <c r="S548" s="521"/>
      <c r="T548" s="521"/>
      <c r="U548" s="521"/>
      <c r="V548" s="521"/>
      <c r="W548" s="521"/>
      <c r="X548" s="521"/>
      <c r="Y548" s="521"/>
      <c r="Z548" s="522"/>
    </row>
    <row r="549" spans="1:26" x14ac:dyDescent="0.3">
      <c r="A549" s="521"/>
      <c r="B549" s="521"/>
      <c r="C549" s="521"/>
      <c r="D549" s="521"/>
      <c r="E549" s="521"/>
      <c r="F549" s="521"/>
      <c r="G549" s="521"/>
      <c r="H549" s="521"/>
      <c r="I549" s="521"/>
      <c r="J549" s="521"/>
      <c r="K549" s="521"/>
      <c r="L549" s="521"/>
      <c r="M549" s="521"/>
      <c r="N549" s="521"/>
      <c r="O549" s="521"/>
      <c r="P549" s="521"/>
      <c r="Q549" s="521"/>
      <c r="R549" s="521"/>
      <c r="S549" s="521"/>
      <c r="T549" s="521"/>
      <c r="U549" s="521"/>
      <c r="V549" s="521"/>
      <c r="W549" s="521"/>
      <c r="X549" s="521"/>
      <c r="Y549" s="521"/>
      <c r="Z549" s="522"/>
    </row>
    <row r="550" spans="1:26" x14ac:dyDescent="0.3">
      <c r="A550" s="521"/>
      <c r="B550" s="521"/>
      <c r="C550" s="521"/>
      <c r="D550" s="521"/>
      <c r="E550" s="521"/>
      <c r="F550" s="521"/>
      <c r="G550" s="521"/>
      <c r="H550" s="521"/>
      <c r="I550" s="521"/>
      <c r="J550" s="521"/>
      <c r="K550" s="521"/>
      <c r="L550" s="521"/>
      <c r="M550" s="521"/>
      <c r="N550" s="521"/>
      <c r="O550" s="521"/>
      <c r="P550" s="521"/>
      <c r="Q550" s="521"/>
      <c r="R550" s="521"/>
      <c r="S550" s="521"/>
      <c r="T550" s="521"/>
      <c r="U550" s="521"/>
      <c r="V550" s="521"/>
      <c r="W550" s="521"/>
      <c r="X550" s="521"/>
      <c r="Y550" s="521"/>
      <c r="Z550" s="522"/>
    </row>
    <row r="551" spans="1:26" x14ac:dyDescent="0.3">
      <c r="A551" s="521"/>
      <c r="B551" s="521"/>
      <c r="C551" s="521"/>
      <c r="D551" s="521"/>
      <c r="E551" s="521"/>
      <c r="F551" s="521"/>
      <c r="G551" s="521"/>
      <c r="H551" s="521"/>
      <c r="I551" s="521"/>
      <c r="J551" s="521"/>
      <c r="K551" s="521"/>
      <c r="L551" s="521"/>
      <c r="M551" s="521"/>
      <c r="N551" s="521"/>
      <c r="O551" s="521"/>
      <c r="P551" s="521"/>
      <c r="Q551" s="521"/>
      <c r="R551" s="521"/>
      <c r="S551" s="521"/>
      <c r="T551" s="521"/>
      <c r="U551" s="521"/>
      <c r="V551" s="521"/>
      <c r="W551" s="521"/>
      <c r="X551" s="521"/>
      <c r="Y551" s="521"/>
      <c r="Z551" s="522"/>
    </row>
    <row r="552" spans="1:26" x14ac:dyDescent="0.3">
      <c r="A552" s="521"/>
      <c r="B552" s="521"/>
      <c r="C552" s="521"/>
      <c r="D552" s="521"/>
      <c r="E552" s="521"/>
      <c r="F552" s="521"/>
      <c r="G552" s="521"/>
      <c r="H552" s="521"/>
      <c r="I552" s="521"/>
      <c r="J552" s="521"/>
      <c r="K552" s="521"/>
      <c r="L552" s="521"/>
      <c r="M552" s="521"/>
      <c r="N552" s="521"/>
      <c r="O552" s="521"/>
      <c r="P552" s="521"/>
      <c r="Q552" s="521"/>
      <c r="R552" s="521"/>
      <c r="S552" s="521"/>
      <c r="T552" s="521"/>
      <c r="U552" s="521"/>
      <c r="V552" s="521"/>
      <c r="W552" s="521"/>
      <c r="X552" s="521"/>
      <c r="Y552" s="521"/>
      <c r="Z552" s="522"/>
    </row>
    <row r="553" spans="1:26" x14ac:dyDescent="0.3">
      <c r="A553" s="521"/>
      <c r="B553" s="521"/>
      <c r="C553" s="521"/>
      <c r="D553" s="521"/>
      <c r="E553" s="521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P553" s="521"/>
      <c r="Q553" s="521"/>
      <c r="R553" s="521"/>
      <c r="S553" s="521"/>
      <c r="T553" s="521"/>
      <c r="U553" s="521"/>
      <c r="V553" s="521"/>
      <c r="W553" s="521"/>
      <c r="X553" s="521"/>
      <c r="Y553" s="521"/>
      <c r="Z553" s="522"/>
    </row>
    <row r="554" spans="1:26" x14ac:dyDescent="0.3">
      <c r="A554" s="521"/>
      <c r="B554" s="521"/>
      <c r="C554" s="521"/>
      <c r="D554" s="521"/>
      <c r="E554" s="521"/>
      <c r="F554" s="521"/>
      <c r="G554" s="521"/>
      <c r="H554" s="521"/>
      <c r="I554" s="521"/>
      <c r="J554" s="521"/>
      <c r="K554" s="521"/>
      <c r="L554" s="521"/>
      <c r="M554" s="521"/>
      <c r="N554" s="521"/>
      <c r="O554" s="521"/>
      <c r="P554" s="521"/>
      <c r="Q554" s="521"/>
      <c r="R554" s="521"/>
      <c r="S554" s="521"/>
      <c r="T554" s="521"/>
      <c r="U554" s="521"/>
      <c r="V554" s="521"/>
      <c r="W554" s="521"/>
      <c r="X554" s="521"/>
      <c r="Y554" s="521"/>
      <c r="Z554" s="522"/>
    </row>
    <row r="555" spans="1:26" x14ac:dyDescent="0.3">
      <c r="A555" s="521"/>
      <c r="B555" s="521"/>
      <c r="C555" s="521"/>
      <c r="D555" s="521"/>
      <c r="E555" s="521"/>
      <c r="F555" s="521"/>
      <c r="G555" s="521"/>
      <c r="H555" s="521"/>
      <c r="I555" s="521"/>
      <c r="J555" s="521"/>
      <c r="K555" s="521"/>
      <c r="L555" s="521"/>
      <c r="M555" s="521"/>
      <c r="N555" s="521"/>
      <c r="O555" s="521"/>
      <c r="P555" s="521"/>
      <c r="Q555" s="521"/>
      <c r="R555" s="521"/>
      <c r="S555" s="521"/>
      <c r="T555" s="521"/>
      <c r="U555" s="521"/>
      <c r="V555" s="521"/>
      <c r="W555" s="521"/>
      <c r="X555" s="521"/>
      <c r="Y555" s="521"/>
      <c r="Z555" s="522"/>
    </row>
    <row r="556" spans="1:26" x14ac:dyDescent="0.3">
      <c r="A556" s="521"/>
      <c r="B556" s="521"/>
      <c r="C556" s="521"/>
      <c r="D556" s="521"/>
      <c r="E556" s="521"/>
      <c r="F556" s="521"/>
      <c r="G556" s="521"/>
      <c r="H556" s="521"/>
      <c r="I556" s="521"/>
      <c r="J556" s="521"/>
      <c r="K556" s="521"/>
      <c r="L556" s="521"/>
      <c r="M556" s="521"/>
      <c r="N556" s="521"/>
      <c r="O556" s="521"/>
      <c r="P556" s="521"/>
      <c r="Q556" s="521"/>
      <c r="R556" s="521"/>
      <c r="S556" s="521"/>
      <c r="T556" s="521"/>
      <c r="U556" s="521"/>
      <c r="V556" s="521"/>
      <c r="W556" s="521"/>
      <c r="X556" s="521"/>
      <c r="Y556" s="521"/>
      <c r="Z556" s="522"/>
    </row>
    <row r="557" spans="1:26" x14ac:dyDescent="0.3">
      <c r="A557" s="521"/>
      <c r="B557" s="521"/>
      <c r="C557" s="521"/>
      <c r="D557" s="521"/>
      <c r="E557" s="521"/>
      <c r="F557" s="521"/>
      <c r="G557" s="521"/>
      <c r="H557" s="521"/>
      <c r="I557" s="521"/>
      <c r="J557" s="521"/>
      <c r="K557" s="521"/>
      <c r="L557" s="521"/>
      <c r="M557" s="521"/>
      <c r="N557" s="521"/>
      <c r="O557" s="521"/>
      <c r="P557" s="521"/>
      <c r="Q557" s="521"/>
      <c r="R557" s="521"/>
      <c r="S557" s="521"/>
      <c r="T557" s="521"/>
      <c r="U557" s="521"/>
      <c r="V557" s="521"/>
      <c r="W557" s="521"/>
      <c r="X557" s="521"/>
      <c r="Y557" s="521"/>
      <c r="Z557" s="522"/>
    </row>
    <row r="558" spans="1:26" x14ac:dyDescent="0.3">
      <c r="A558" s="521"/>
      <c r="B558" s="521"/>
      <c r="C558" s="521"/>
      <c r="D558" s="521"/>
      <c r="E558" s="521"/>
      <c r="F558" s="521"/>
      <c r="G558" s="521"/>
      <c r="H558" s="521"/>
      <c r="I558" s="521"/>
      <c r="J558" s="521"/>
      <c r="K558" s="521"/>
      <c r="L558" s="521"/>
      <c r="M558" s="521"/>
      <c r="N558" s="521"/>
      <c r="O558" s="521"/>
      <c r="P558" s="521"/>
      <c r="Q558" s="521"/>
      <c r="R558" s="521"/>
      <c r="S558" s="521"/>
      <c r="T558" s="521"/>
      <c r="U558" s="521"/>
      <c r="V558" s="521"/>
      <c r="W558" s="521"/>
      <c r="X558" s="521"/>
      <c r="Y558" s="521"/>
      <c r="Z558" s="522"/>
    </row>
    <row r="559" spans="1:26" x14ac:dyDescent="0.3">
      <c r="A559" s="521"/>
      <c r="B559" s="521"/>
      <c r="C559" s="521"/>
      <c r="D559" s="521"/>
      <c r="E559" s="521"/>
      <c r="F559" s="521"/>
      <c r="G559" s="521"/>
      <c r="H559" s="521"/>
      <c r="I559" s="521"/>
      <c r="J559" s="521"/>
      <c r="K559" s="521"/>
      <c r="L559" s="521"/>
      <c r="M559" s="521"/>
      <c r="N559" s="521"/>
      <c r="O559" s="521"/>
      <c r="P559" s="521"/>
      <c r="Q559" s="521"/>
      <c r="R559" s="521"/>
      <c r="S559" s="521"/>
      <c r="T559" s="521"/>
      <c r="U559" s="521"/>
      <c r="V559" s="521"/>
      <c r="W559" s="521"/>
      <c r="X559" s="521"/>
      <c r="Y559" s="521"/>
      <c r="Z559" s="522"/>
    </row>
    <row r="560" spans="1:26" x14ac:dyDescent="0.3">
      <c r="A560" s="521"/>
      <c r="B560" s="521"/>
      <c r="C560" s="521"/>
      <c r="D560" s="521"/>
      <c r="E560" s="521"/>
      <c r="F560" s="521"/>
      <c r="G560" s="521"/>
      <c r="H560" s="521"/>
      <c r="I560" s="521"/>
      <c r="J560" s="521"/>
      <c r="K560" s="521"/>
      <c r="L560" s="521"/>
      <c r="M560" s="521"/>
      <c r="N560" s="521"/>
      <c r="O560" s="521"/>
      <c r="P560" s="521"/>
      <c r="Q560" s="521"/>
      <c r="R560" s="521"/>
      <c r="S560" s="521"/>
      <c r="T560" s="521"/>
      <c r="U560" s="521"/>
      <c r="V560" s="521"/>
      <c r="W560" s="521"/>
      <c r="X560" s="521"/>
      <c r="Y560" s="521"/>
      <c r="Z560" s="522"/>
    </row>
    <row r="561" spans="1:26" x14ac:dyDescent="0.3">
      <c r="A561" s="521"/>
      <c r="B561" s="521"/>
      <c r="C561" s="521"/>
      <c r="D561" s="521"/>
      <c r="E561" s="521"/>
      <c r="F561" s="521"/>
      <c r="G561" s="521"/>
      <c r="H561" s="521"/>
      <c r="I561" s="521"/>
      <c r="J561" s="521"/>
      <c r="K561" s="521"/>
      <c r="L561" s="521"/>
      <c r="M561" s="521"/>
      <c r="N561" s="521"/>
      <c r="O561" s="521"/>
      <c r="P561" s="521"/>
      <c r="Q561" s="521"/>
      <c r="R561" s="521"/>
      <c r="S561" s="521"/>
      <c r="T561" s="521"/>
      <c r="U561" s="521"/>
      <c r="V561" s="521"/>
      <c r="W561" s="521"/>
      <c r="X561" s="521"/>
      <c r="Y561" s="521"/>
      <c r="Z561" s="522"/>
    </row>
    <row r="562" spans="1:26" x14ac:dyDescent="0.3">
      <c r="A562" s="521"/>
      <c r="B562" s="521"/>
      <c r="C562" s="521"/>
      <c r="D562" s="521"/>
      <c r="E562" s="521"/>
      <c r="F562" s="521"/>
      <c r="G562" s="521"/>
      <c r="H562" s="521"/>
      <c r="I562" s="521"/>
      <c r="J562" s="521"/>
      <c r="K562" s="521"/>
      <c r="L562" s="521"/>
      <c r="M562" s="521"/>
      <c r="N562" s="521"/>
      <c r="O562" s="521"/>
      <c r="P562" s="521"/>
      <c r="Q562" s="521"/>
      <c r="R562" s="521"/>
      <c r="S562" s="521"/>
      <c r="T562" s="521"/>
      <c r="U562" s="521"/>
      <c r="V562" s="521"/>
      <c r="W562" s="521"/>
      <c r="X562" s="521"/>
      <c r="Y562" s="521"/>
      <c r="Z562" s="522"/>
    </row>
    <row r="563" spans="1:26" x14ac:dyDescent="0.3">
      <c r="A563" s="521"/>
      <c r="B563" s="521"/>
      <c r="C563" s="521"/>
      <c r="D563" s="521"/>
      <c r="E563" s="521"/>
      <c r="F563" s="521"/>
      <c r="G563" s="521"/>
      <c r="H563" s="521"/>
      <c r="I563" s="521"/>
      <c r="J563" s="521"/>
      <c r="K563" s="521"/>
      <c r="L563" s="521"/>
      <c r="M563" s="521"/>
      <c r="N563" s="521"/>
      <c r="O563" s="521"/>
      <c r="P563" s="521"/>
      <c r="Q563" s="521"/>
      <c r="R563" s="521"/>
      <c r="S563" s="521"/>
      <c r="T563" s="521"/>
      <c r="U563" s="521"/>
      <c r="V563" s="521"/>
      <c r="W563" s="521"/>
      <c r="X563" s="521"/>
      <c r="Y563" s="521"/>
      <c r="Z563" s="522"/>
    </row>
    <row r="564" spans="1:26" x14ac:dyDescent="0.3">
      <c r="A564" s="521"/>
      <c r="B564" s="521"/>
      <c r="C564" s="521"/>
      <c r="D564" s="521"/>
      <c r="E564" s="521"/>
      <c r="F564" s="521"/>
      <c r="G564" s="521"/>
      <c r="H564" s="521"/>
      <c r="I564" s="521"/>
      <c r="J564" s="521"/>
      <c r="K564" s="521"/>
      <c r="L564" s="521"/>
      <c r="M564" s="521"/>
      <c r="N564" s="521"/>
      <c r="O564" s="521"/>
      <c r="P564" s="521"/>
      <c r="Q564" s="521"/>
      <c r="R564" s="521"/>
      <c r="S564" s="521"/>
      <c r="T564" s="521"/>
      <c r="U564" s="521"/>
      <c r="V564" s="521"/>
      <c r="W564" s="521"/>
      <c r="X564" s="521"/>
      <c r="Y564" s="521"/>
      <c r="Z564" s="522"/>
    </row>
    <row r="565" spans="1:26" x14ac:dyDescent="0.3">
      <c r="A565" s="521"/>
      <c r="B565" s="521"/>
      <c r="C565" s="521"/>
      <c r="D565" s="521"/>
      <c r="E565" s="521"/>
      <c r="F565" s="521"/>
      <c r="G565" s="521"/>
      <c r="H565" s="521"/>
      <c r="I565" s="521"/>
      <c r="J565" s="521"/>
      <c r="K565" s="521"/>
      <c r="L565" s="521"/>
      <c r="M565" s="521"/>
      <c r="N565" s="521"/>
      <c r="O565" s="521"/>
      <c r="P565" s="521"/>
      <c r="Q565" s="521"/>
      <c r="R565" s="521"/>
      <c r="S565" s="521"/>
      <c r="T565" s="521"/>
      <c r="U565" s="521"/>
      <c r="V565" s="521"/>
      <c r="W565" s="521"/>
      <c r="X565" s="521"/>
      <c r="Y565" s="521"/>
      <c r="Z565" s="522"/>
    </row>
    <row r="566" spans="1:26" x14ac:dyDescent="0.3">
      <c r="A566" s="521"/>
      <c r="B566" s="521"/>
      <c r="C566" s="521"/>
      <c r="D566" s="521"/>
      <c r="E566" s="521"/>
      <c r="F566" s="521"/>
      <c r="G566" s="521"/>
      <c r="H566" s="521"/>
      <c r="I566" s="521"/>
      <c r="J566" s="521"/>
      <c r="K566" s="521"/>
      <c r="L566" s="521"/>
      <c r="M566" s="521"/>
      <c r="N566" s="521"/>
      <c r="O566" s="521"/>
      <c r="P566" s="521"/>
      <c r="Q566" s="521"/>
      <c r="R566" s="521"/>
      <c r="S566" s="521"/>
      <c r="T566" s="521"/>
      <c r="U566" s="521"/>
      <c r="V566" s="521"/>
      <c r="W566" s="521"/>
      <c r="X566" s="521"/>
      <c r="Y566" s="521"/>
      <c r="Z566" s="522"/>
    </row>
    <row r="567" spans="1:26" x14ac:dyDescent="0.3">
      <c r="A567" s="521"/>
      <c r="B567" s="521"/>
      <c r="C567" s="521"/>
      <c r="D567" s="521"/>
      <c r="E567" s="521"/>
      <c r="F567" s="521"/>
      <c r="G567" s="521"/>
      <c r="H567" s="521"/>
      <c r="I567" s="521"/>
      <c r="J567" s="521"/>
      <c r="K567" s="521"/>
      <c r="L567" s="521"/>
      <c r="M567" s="521"/>
      <c r="N567" s="521"/>
      <c r="O567" s="521"/>
      <c r="P567" s="521"/>
      <c r="Q567" s="521"/>
      <c r="R567" s="521"/>
      <c r="S567" s="521"/>
      <c r="T567" s="521"/>
      <c r="U567" s="521"/>
      <c r="V567" s="521"/>
      <c r="W567" s="521"/>
      <c r="X567" s="521"/>
      <c r="Y567" s="521"/>
      <c r="Z567" s="522"/>
    </row>
    <row r="568" spans="1:26" x14ac:dyDescent="0.3">
      <c r="A568" s="521"/>
      <c r="B568" s="521"/>
      <c r="C568" s="521"/>
      <c r="D568" s="521"/>
      <c r="E568" s="521"/>
      <c r="F568" s="521"/>
      <c r="G568" s="521"/>
      <c r="H568" s="521"/>
      <c r="I568" s="521"/>
      <c r="J568" s="521"/>
      <c r="K568" s="521"/>
      <c r="L568" s="521"/>
      <c r="M568" s="521"/>
      <c r="N568" s="521"/>
      <c r="O568" s="521"/>
      <c r="P568" s="521"/>
      <c r="Q568" s="521"/>
      <c r="R568" s="521"/>
      <c r="S568" s="521"/>
      <c r="T568" s="521"/>
      <c r="U568" s="521"/>
      <c r="V568" s="521"/>
      <c r="W568" s="521"/>
      <c r="X568" s="521"/>
      <c r="Y568" s="521"/>
      <c r="Z568" s="522"/>
    </row>
    <row r="569" spans="1:26" x14ac:dyDescent="0.3">
      <c r="A569" s="521"/>
      <c r="B569" s="521"/>
      <c r="C569" s="521"/>
      <c r="D569" s="521"/>
      <c r="E569" s="521"/>
      <c r="F569" s="521"/>
      <c r="G569" s="521"/>
      <c r="H569" s="521"/>
      <c r="I569" s="521"/>
      <c r="J569" s="521"/>
      <c r="K569" s="521"/>
      <c r="L569" s="521"/>
      <c r="M569" s="521"/>
      <c r="N569" s="521"/>
      <c r="O569" s="521"/>
      <c r="P569" s="521"/>
      <c r="Q569" s="521"/>
      <c r="R569" s="521"/>
      <c r="S569" s="521"/>
      <c r="T569" s="521"/>
      <c r="U569" s="521"/>
      <c r="V569" s="521"/>
      <c r="W569" s="521"/>
      <c r="X569" s="521"/>
      <c r="Y569" s="521"/>
      <c r="Z569" s="522"/>
    </row>
    <row r="570" spans="1:26" x14ac:dyDescent="0.3">
      <c r="A570" s="521"/>
      <c r="B570" s="521"/>
      <c r="C570" s="521"/>
      <c r="D570" s="521"/>
      <c r="E570" s="521"/>
      <c r="F570" s="521"/>
      <c r="G570" s="521"/>
      <c r="H570" s="521"/>
      <c r="I570" s="521"/>
      <c r="J570" s="521"/>
      <c r="K570" s="521"/>
      <c r="L570" s="521"/>
      <c r="M570" s="521"/>
      <c r="N570" s="521"/>
      <c r="O570" s="521"/>
      <c r="P570" s="521"/>
      <c r="Q570" s="521"/>
      <c r="R570" s="521"/>
      <c r="S570" s="521"/>
      <c r="T570" s="521"/>
      <c r="U570" s="521"/>
      <c r="V570" s="521"/>
      <c r="W570" s="521"/>
      <c r="X570" s="521"/>
      <c r="Y570" s="521"/>
      <c r="Z570" s="522"/>
    </row>
    <row r="571" spans="1:26" x14ac:dyDescent="0.3">
      <c r="A571" s="521"/>
      <c r="B571" s="521"/>
      <c r="C571" s="521"/>
      <c r="D571" s="521"/>
      <c r="E571" s="521"/>
      <c r="F571" s="521"/>
      <c r="G571" s="521"/>
      <c r="H571" s="521"/>
      <c r="I571" s="521"/>
      <c r="J571" s="521"/>
      <c r="K571" s="521"/>
      <c r="L571" s="521"/>
      <c r="M571" s="521"/>
      <c r="N571" s="521"/>
      <c r="O571" s="521"/>
      <c r="P571" s="521"/>
      <c r="Q571" s="521"/>
      <c r="R571" s="521"/>
      <c r="S571" s="521"/>
      <c r="T571" s="521"/>
      <c r="U571" s="521"/>
      <c r="V571" s="521"/>
      <c r="W571" s="521"/>
      <c r="X571" s="521"/>
      <c r="Y571" s="521"/>
      <c r="Z571" s="522"/>
    </row>
    <row r="572" spans="1:26" x14ac:dyDescent="0.3">
      <c r="A572" s="521"/>
      <c r="B572" s="521"/>
      <c r="C572" s="521"/>
      <c r="D572" s="521"/>
      <c r="E572" s="521"/>
      <c r="F572" s="521"/>
      <c r="G572" s="521"/>
      <c r="H572" s="521"/>
      <c r="I572" s="521"/>
      <c r="J572" s="521"/>
      <c r="K572" s="521"/>
      <c r="L572" s="521"/>
      <c r="M572" s="521"/>
      <c r="N572" s="521"/>
      <c r="O572" s="521"/>
      <c r="P572" s="521"/>
      <c r="Q572" s="521"/>
      <c r="R572" s="521"/>
      <c r="S572" s="521"/>
      <c r="T572" s="521"/>
      <c r="U572" s="521"/>
      <c r="V572" s="521"/>
      <c r="W572" s="521"/>
      <c r="X572" s="521"/>
      <c r="Y572" s="521"/>
      <c r="Z572" s="522"/>
    </row>
    <row r="573" spans="1:26" x14ac:dyDescent="0.3">
      <c r="A573" s="521"/>
      <c r="B573" s="521"/>
      <c r="C573" s="521"/>
      <c r="D573" s="521"/>
      <c r="E573" s="521"/>
      <c r="F573" s="521"/>
      <c r="G573" s="521"/>
      <c r="H573" s="521"/>
      <c r="I573" s="521"/>
      <c r="J573" s="521"/>
      <c r="K573" s="521"/>
      <c r="L573" s="521"/>
      <c r="M573" s="521"/>
      <c r="N573" s="521"/>
      <c r="O573" s="521"/>
      <c r="P573" s="521"/>
      <c r="Q573" s="521"/>
      <c r="R573" s="521"/>
      <c r="S573" s="521"/>
      <c r="T573" s="521"/>
      <c r="U573" s="521"/>
      <c r="V573" s="521"/>
      <c r="W573" s="521"/>
      <c r="X573" s="521"/>
      <c r="Y573" s="521"/>
      <c r="Z573" s="522"/>
    </row>
    <row r="574" spans="1:26" x14ac:dyDescent="0.3">
      <c r="A574" s="521"/>
      <c r="B574" s="521"/>
      <c r="C574" s="521"/>
      <c r="D574" s="521"/>
      <c r="E574" s="521"/>
      <c r="F574" s="521"/>
      <c r="G574" s="521"/>
      <c r="H574" s="521"/>
      <c r="I574" s="521"/>
      <c r="J574" s="521"/>
      <c r="K574" s="521"/>
      <c r="L574" s="521"/>
      <c r="M574" s="521"/>
      <c r="N574" s="521"/>
      <c r="O574" s="521"/>
      <c r="P574" s="521"/>
      <c r="Q574" s="521"/>
      <c r="R574" s="521"/>
      <c r="S574" s="521"/>
      <c r="T574" s="521"/>
      <c r="U574" s="521"/>
      <c r="V574" s="521"/>
      <c r="W574" s="521"/>
      <c r="X574" s="521"/>
      <c r="Y574" s="521"/>
      <c r="Z574" s="522"/>
    </row>
    <row r="575" spans="1:26" x14ac:dyDescent="0.3">
      <c r="A575" s="521"/>
      <c r="B575" s="521"/>
      <c r="C575" s="521"/>
      <c r="D575" s="521"/>
      <c r="E575" s="521"/>
      <c r="F575" s="521"/>
      <c r="G575" s="521"/>
      <c r="H575" s="521"/>
      <c r="I575" s="521"/>
      <c r="J575" s="521"/>
      <c r="K575" s="521"/>
      <c r="L575" s="521"/>
      <c r="M575" s="521"/>
      <c r="N575" s="521"/>
      <c r="O575" s="521"/>
      <c r="P575" s="521"/>
      <c r="Q575" s="521"/>
      <c r="R575" s="521"/>
      <c r="S575" s="521"/>
      <c r="T575" s="521"/>
      <c r="U575" s="521"/>
      <c r="V575" s="521"/>
      <c r="W575" s="521"/>
      <c r="X575" s="521"/>
      <c r="Y575" s="521"/>
      <c r="Z575" s="522"/>
    </row>
    <row r="576" spans="1:26" x14ac:dyDescent="0.3">
      <c r="A576" s="521"/>
      <c r="B576" s="521"/>
      <c r="C576" s="521"/>
      <c r="D576" s="521"/>
      <c r="E576" s="521"/>
      <c r="F576" s="521"/>
      <c r="G576" s="521"/>
      <c r="H576" s="521"/>
      <c r="I576" s="521"/>
      <c r="J576" s="521"/>
      <c r="K576" s="521"/>
      <c r="L576" s="521"/>
      <c r="M576" s="521"/>
      <c r="N576" s="521"/>
      <c r="O576" s="521"/>
      <c r="P576" s="521"/>
      <c r="Q576" s="521"/>
      <c r="R576" s="521"/>
      <c r="S576" s="521"/>
      <c r="T576" s="521"/>
      <c r="U576" s="521"/>
      <c r="V576" s="521"/>
      <c r="W576" s="521"/>
      <c r="X576" s="521"/>
      <c r="Y576" s="521"/>
      <c r="Z576" s="522"/>
    </row>
    <row r="577" spans="1:26" x14ac:dyDescent="0.3">
      <c r="A577" s="521"/>
      <c r="B577" s="521"/>
      <c r="C577" s="521"/>
      <c r="D577" s="521"/>
      <c r="E577" s="521"/>
      <c r="F577" s="521"/>
      <c r="G577" s="521"/>
      <c r="H577" s="521"/>
      <c r="I577" s="521"/>
      <c r="J577" s="521"/>
      <c r="K577" s="521"/>
      <c r="L577" s="521"/>
      <c r="M577" s="521"/>
      <c r="N577" s="521"/>
      <c r="O577" s="521"/>
      <c r="P577" s="521"/>
      <c r="Q577" s="521"/>
      <c r="R577" s="521"/>
      <c r="S577" s="521"/>
      <c r="T577" s="521"/>
      <c r="U577" s="521"/>
      <c r="V577" s="521"/>
      <c r="W577" s="521"/>
      <c r="X577" s="521"/>
      <c r="Y577" s="521"/>
      <c r="Z577" s="522"/>
    </row>
    <row r="578" spans="1:26" x14ac:dyDescent="0.3">
      <c r="A578" s="521"/>
      <c r="B578" s="521"/>
      <c r="C578" s="521"/>
      <c r="D578" s="521"/>
      <c r="E578" s="521"/>
      <c r="F578" s="521"/>
      <c r="G578" s="521"/>
      <c r="H578" s="521"/>
      <c r="I578" s="521"/>
      <c r="J578" s="521"/>
      <c r="K578" s="521"/>
      <c r="L578" s="521"/>
      <c r="M578" s="521"/>
      <c r="N578" s="521"/>
      <c r="O578" s="521"/>
      <c r="P578" s="521"/>
      <c r="Q578" s="521"/>
      <c r="R578" s="521"/>
      <c r="S578" s="521"/>
      <c r="T578" s="521"/>
      <c r="U578" s="521"/>
      <c r="V578" s="521"/>
      <c r="W578" s="521"/>
      <c r="X578" s="521"/>
      <c r="Y578" s="521"/>
      <c r="Z578" s="522"/>
    </row>
    <row r="579" spans="1:26" x14ac:dyDescent="0.3">
      <c r="A579" s="521"/>
      <c r="B579" s="521"/>
      <c r="C579" s="521"/>
      <c r="D579" s="521"/>
      <c r="E579" s="521"/>
      <c r="F579" s="521"/>
      <c r="G579" s="521"/>
      <c r="H579" s="521"/>
      <c r="I579" s="521"/>
      <c r="J579" s="521"/>
      <c r="K579" s="521"/>
      <c r="L579" s="521"/>
      <c r="M579" s="521"/>
      <c r="N579" s="521"/>
      <c r="O579" s="521"/>
      <c r="P579" s="521"/>
      <c r="Q579" s="521"/>
      <c r="R579" s="521"/>
      <c r="S579" s="521"/>
      <c r="T579" s="521"/>
      <c r="U579" s="521"/>
      <c r="V579" s="521"/>
      <c r="W579" s="521"/>
      <c r="X579" s="521"/>
      <c r="Y579" s="521"/>
      <c r="Z579" s="522"/>
    </row>
    <row r="580" spans="1:26" x14ac:dyDescent="0.3">
      <c r="A580" s="521"/>
      <c r="B580" s="521"/>
      <c r="C580" s="521"/>
      <c r="D580" s="521"/>
      <c r="E580" s="521"/>
      <c r="F580" s="521"/>
      <c r="G580" s="521"/>
      <c r="H580" s="521"/>
      <c r="I580" s="521"/>
      <c r="J580" s="521"/>
      <c r="K580" s="521"/>
      <c r="L580" s="521"/>
      <c r="M580" s="521"/>
      <c r="N580" s="521"/>
      <c r="O580" s="521"/>
      <c r="P580" s="521"/>
      <c r="Q580" s="521"/>
      <c r="R580" s="521"/>
      <c r="S580" s="521"/>
      <c r="T580" s="521"/>
      <c r="U580" s="521"/>
      <c r="V580" s="521"/>
      <c r="W580" s="521"/>
      <c r="X580" s="521"/>
      <c r="Y580" s="521"/>
      <c r="Z580" s="522"/>
    </row>
    <row r="581" spans="1:26" x14ac:dyDescent="0.3">
      <c r="A581" s="521"/>
      <c r="B581" s="521"/>
      <c r="C581" s="521"/>
      <c r="D581" s="521"/>
      <c r="E581" s="521"/>
      <c r="F581" s="521"/>
      <c r="G581" s="521"/>
      <c r="H581" s="521"/>
      <c r="I581" s="521"/>
      <c r="J581" s="521"/>
      <c r="K581" s="521"/>
      <c r="L581" s="521"/>
      <c r="M581" s="521"/>
      <c r="N581" s="521"/>
      <c r="O581" s="521"/>
      <c r="P581" s="521"/>
      <c r="Q581" s="521"/>
      <c r="R581" s="521"/>
      <c r="S581" s="521"/>
      <c r="T581" s="521"/>
      <c r="U581" s="521"/>
      <c r="V581" s="521"/>
      <c r="W581" s="521"/>
      <c r="X581" s="521"/>
      <c r="Y581" s="521"/>
      <c r="Z581" s="522"/>
    </row>
    <row r="582" spans="1:26" x14ac:dyDescent="0.3">
      <c r="A582" s="521"/>
      <c r="B582" s="521"/>
      <c r="C582" s="521"/>
      <c r="D582" s="521"/>
      <c r="E582" s="521"/>
      <c r="F582" s="521"/>
      <c r="G582" s="521"/>
      <c r="H582" s="521"/>
      <c r="I582" s="521"/>
      <c r="J582" s="521"/>
      <c r="K582" s="521"/>
      <c r="L582" s="521"/>
      <c r="M582" s="521"/>
      <c r="N582" s="521"/>
      <c r="O582" s="521"/>
      <c r="P582" s="521"/>
      <c r="Q582" s="521"/>
      <c r="R582" s="521"/>
      <c r="S582" s="521"/>
      <c r="T582" s="521"/>
      <c r="U582" s="521"/>
      <c r="V582" s="521"/>
      <c r="W582" s="521"/>
      <c r="X582" s="521"/>
      <c r="Y582" s="521"/>
      <c r="Z582" s="522"/>
    </row>
    <row r="583" spans="1:26" x14ac:dyDescent="0.3">
      <c r="A583" s="521"/>
      <c r="B583" s="521"/>
      <c r="C583" s="521"/>
      <c r="D583" s="521"/>
      <c r="E583" s="521"/>
      <c r="F583" s="521"/>
      <c r="G583" s="521"/>
      <c r="H583" s="521"/>
      <c r="I583" s="521"/>
      <c r="J583" s="521"/>
      <c r="K583" s="521"/>
      <c r="L583" s="521"/>
      <c r="M583" s="521"/>
      <c r="N583" s="521"/>
      <c r="O583" s="521"/>
      <c r="P583" s="521"/>
      <c r="Q583" s="521"/>
      <c r="R583" s="521"/>
      <c r="S583" s="521"/>
      <c r="T583" s="521"/>
      <c r="U583" s="521"/>
      <c r="V583" s="521"/>
      <c r="W583" s="521"/>
      <c r="X583" s="521"/>
      <c r="Y583" s="521"/>
      <c r="Z583" s="522"/>
    </row>
    <row r="584" spans="1:26" x14ac:dyDescent="0.3">
      <c r="A584" s="521"/>
      <c r="B584" s="521"/>
      <c r="C584" s="521"/>
      <c r="D584" s="521"/>
      <c r="E584" s="521"/>
      <c r="F584" s="521"/>
      <c r="G584" s="521"/>
      <c r="H584" s="521"/>
      <c r="I584" s="521"/>
      <c r="J584" s="521"/>
      <c r="K584" s="521"/>
      <c r="L584" s="521"/>
      <c r="M584" s="521"/>
      <c r="N584" s="521"/>
      <c r="O584" s="521"/>
      <c r="P584" s="521"/>
      <c r="Q584" s="521"/>
      <c r="R584" s="521"/>
      <c r="S584" s="521"/>
      <c r="T584" s="521"/>
      <c r="U584" s="521"/>
      <c r="V584" s="521"/>
      <c r="W584" s="521"/>
      <c r="X584" s="521"/>
      <c r="Y584" s="521"/>
      <c r="Z584" s="522"/>
    </row>
    <row r="585" spans="1:26" x14ac:dyDescent="0.3">
      <c r="A585" s="521"/>
      <c r="B585" s="521"/>
      <c r="C585" s="521"/>
      <c r="D585" s="521"/>
      <c r="E585" s="521"/>
      <c r="F585" s="521"/>
      <c r="G585" s="521"/>
      <c r="H585" s="521"/>
      <c r="I585" s="521"/>
      <c r="J585" s="521"/>
      <c r="K585" s="521"/>
      <c r="L585" s="521"/>
      <c r="M585" s="521"/>
      <c r="N585" s="521"/>
      <c r="O585" s="521"/>
      <c r="P585" s="521"/>
      <c r="Q585" s="521"/>
      <c r="R585" s="521"/>
      <c r="S585" s="521"/>
      <c r="T585" s="521"/>
      <c r="U585" s="521"/>
      <c r="V585" s="521"/>
      <c r="W585" s="521"/>
      <c r="X585" s="521"/>
      <c r="Y585" s="521"/>
      <c r="Z585" s="522"/>
    </row>
    <row r="586" spans="1:26" x14ac:dyDescent="0.3">
      <c r="A586" s="521"/>
      <c r="B586" s="521"/>
      <c r="C586" s="521"/>
      <c r="D586" s="521"/>
      <c r="E586" s="521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P586" s="521"/>
      <c r="Q586" s="521"/>
      <c r="R586" s="521"/>
      <c r="S586" s="521"/>
      <c r="T586" s="521"/>
      <c r="U586" s="521"/>
      <c r="V586" s="521"/>
      <c r="W586" s="521"/>
      <c r="X586" s="521"/>
      <c r="Y586" s="521"/>
      <c r="Z586" s="522"/>
    </row>
    <row r="587" spans="1:26" x14ac:dyDescent="0.3">
      <c r="A587" s="521"/>
      <c r="B587" s="521"/>
      <c r="C587" s="521"/>
      <c r="D587" s="521"/>
      <c r="E587" s="521"/>
      <c r="F587" s="521"/>
      <c r="G587" s="521"/>
      <c r="H587" s="521"/>
      <c r="I587" s="521"/>
      <c r="J587" s="521"/>
      <c r="K587" s="521"/>
      <c r="L587" s="521"/>
      <c r="M587" s="521"/>
      <c r="N587" s="521"/>
      <c r="O587" s="521"/>
      <c r="P587" s="521"/>
      <c r="Q587" s="521"/>
      <c r="R587" s="521"/>
      <c r="S587" s="521"/>
      <c r="T587" s="521"/>
      <c r="U587" s="521"/>
      <c r="V587" s="521"/>
      <c r="W587" s="521"/>
      <c r="X587" s="521"/>
      <c r="Y587" s="521"/>
      <c r="Z587" s="522"/>
    </row>
    <row r="588" spans="1:26" x14ac:dyDescent="0.3">
      <c r="A588" s="521"/>
      <c r="B588" s="521"/>
      <c r="C588" s="521"/>
      <c r="D588" s="521"/>
      <c r="E588" s="521"/>
      <c r="F588" s="521"/>
      <c r="G588" s="521"/>
      <c r="H588" s="521"/>
      <c r="I588" s="521"/>
      <c r="J588" s="521"/>
      <c r="K588" s="521"/>
      <c r="L588" s="521"/>
      <c r="M588" s="521"/>
      <c r="N588" s="521"/>
      <c r="O588" s="521"/>
      <c r="P588" s="521"/>
      <c r="Q588" s="521"/>
      <c r="R588" s="521"/>
      <c r="S588" s="521"/>
      <c r="T588" s="521"/>
      <c r="U588" s="521"/>
      <c r="V588" s="521"/>
      <c r="W588" s="521"/>
      <c r="X588" s="521"/>
      <c r="Y588" s="521"/>
      <c r="Z588" s="522"/>
    </row>
    <row r="589" spans="1:26" x14ac:dyDescent="0.3">
      <c r="A589" s="521"/>
      <c r="B589" s="521"/>
      <c r="C589" s="521"/>
      <c r="D589" s="521"/>
      <c r="E589" s="521"/>
      <c r="F589" s="521"/>
      <c r="G589" s="521"/>
      <c r="H589" s="521"/>
      <c r="I589" s="521"/>
      <c r="J589" s="521"/>
      <c r="K589" s="521"/>
      <c r="L589" s="521"/>
      <c r="M589" s="521"/>
      <c r="N589" s="521"/>
      <c r="O589" s="521"/>
      <c r="P589" s="521"/>
      <c r="Q589" s="521"/>
      <c r="R589" s="521"/>
      <c r="S589" s="521"/>
      <c r="T589" s="521"/>
      <c r="U589" s="521"/>
      <c r="V589" s="521"/>
      <c r="W589" s="521"/>
      <c r="X589" s="521"/>
      <c r="Y589" s="521"/>
      <c r="Z589" s="522"/>
    </row>
    <row r="590" spans="1:26" x14ac:dyDescent="0.3">
      <c r="A590" s="521"/>
      <c r="B590" s="521"/>
      <c r="C590" s="521"/>
      <c r="D590" s="521"/>
      <c r="E590" s="521"/>
      <c r="F590" s="521"/>
      <c r="G590" s="521"/>
      <c r="H590" s="521"/>
      <c r="I590" s="521"/>
      <c r="J590" s="521"/>
      <c r="K590" s="521"/>
      <c r="L590" s="521"/>
      <c r="M590" s="521"/>
      <c r="N590" s="521"/>
      <c r="O590" s="521"/>
      <c r="P590" s="521"/>
      <c r="Q590" s="521"/>
      <c r="R590" s="521"/>
      <c r="S590" s="521"/>
      <c r="T590" s="521"/>
      <c r="U590" s="521"/>
      <c r="V590" s="521"/>
      <c r="W590" s="521"/>
      <c r="X590" s="521"/>
      <c r="Y590" s="521"/>
      <c r="Z590" s="522"/>
    </row>
    <row r="591" spans="1:26" x14ac:dyDescent="0.3">
      <c r="A591" s="521"/>
      <c r="B591" s="521"/>
      <c r="C591" s="521"/>
      <c r="D591" s="521"/>
      <c r="E591" s="521"/>
      <c r="F591" s="521"/>
      <c r="G591" s="521"/>
      <c r="H591" s="521"/>
      <c r="I591" s="521"/>
      <c r="J591" s="521"/>
      <c r="K591" s="521"/>
      <c r="L591" s="521"/>
      <c r="M591" s="521"/>
      <c r="N591" s="521"/>
      <c r="O591" s="521"/>
      <c r="P591" s="521"/>
      <c r="Q591" s="521"/>
      <c r="R591" s="521"/>
      <c r="S591" s="521"/>
      <c r="T591" s="521"/>
      <c r="U591" s="521"/>
      <c r="V591" s="521"/>
      <c r="W591" s="521"/>
      <c r="X591" s="521"/>
      <c r="Y591" s="521"/>
      <c r="Z591" s="522"/>
    </row>
    <row r="592" spans="1:26" x14ac:dyDescent="0.3">
      <c r="A592" s="521"/>
      <c r="B592" s="521"/>
      <c r="C592" s="521"/>
      <c r="D592" s="521"/>
      <c r="E592" s="521"/>
      <c r="F592" s="521"/>
      <c r="G592" s="521"/>
      <c r="H592" s="521"/>
      <c r="I592" s="521"/>
      <c r="J592" s="521"/>
      <c r="K592" s="521"/>
      <c r="L592" s="521"/>
      <c r="M592" s="521"/>
      <c r="N592" s="521"/>
      <c r="O592" s="521"/>
      <c r="P592" s="521"/>
      <c r="Q592" s="521"/>
      <c r="R592" s="521"/>
      <c r="S592" s="521"/>
      <c r="T592" s="521"/>
      <c r="U592" s="521"/>
      <c r="V592" s="521"/>
      <c r="W592" s="521"/>
      <c r="X592" s="521"/>
      <c r="Y592" s="521"/>
      <c r="Z592" s="522"/>
    </row>
    <row r="593" spans="1:26" x14ac:dyDescent="0.3">
      <c r="A593" s="521"/>
      <c r="B593" s="521"/>
      <c r="C593" s="521"/>
      <c r="D593" s="521"/>
      <c r="E593" s="521"/>
      <c r="F593" s="521"/>
      <c r="G593" s="521"/>
      <c r="H593" s="521"/>
      <c r="I593" s="521"/>
      <c r="J593" s="521"/>
      <c r="K593" s="521"/>
      <c r="L593" s="521"/>
      <c r="M593" s="521"/>
      <c r="N593" s="521"/>
      <c r="O593" s="521"/>
      <c r="P593" s="521"/>
      <c r="Q593" s="521"/>
      <c r="R593" s="521"/>
      <c r="S593" s="521"/>
      <c r="T593" s="521"/>
      <c r="U593" s="521"/>
      <c r="V593" s="521"/>
      <c r="W593" s="521"/>
      <c r="X593" s="521"/>
      <c r="Y593" s="521"/>
      <c r="Z593" s="522"/>
    </row>
    <row r="594" spans="1:26" x14ac:dyDescent="0.3">
      <c r="A594" s="521"/>
      <c r="B594" s="521"/>
      <c r="C594" s="521"/>
      <c r="D594" s="521"/>
      <c r="E594" s="521"/>
      <c r="F594" s="521"/>
      <c r="G594" s="521"/>
      <c r="H594" s="521"/>
      <c r="I594" s="521"/>
      <c r="J594" s="521"/>
      <c r="K594" s="521"/>
      <c r="L594" s="521"/>
      <c r="M594" s="521"/>
      <c r="N594" s="521"/>
      <c r="O594" s="521"/>
      <c r="P594" s="521"/>
      <c r="Q594" s="521"/>
      <c r="R594" s="521"/>
      <c r="S594" s="521"/>
      <c r="T594" s="521"/>
      <c r="U594" s="521"/>
      <c r="V594" s="521"/>
      <c r="W594" s="521"/>
      <c r="X594" s="521"/>
      <c r="Y594" s="521"/>
      <c r="Z594" s="522"/>
    </row>
    <row r="595" spans="1:26" x14ac:dyDescent="0.3">
      <c r="A595" s="521"/>
      <c r="B595" s="521"/>
      <c r="C595" s="521"/>
      <c r="D595" s="521"/>
      <c r="E595" s="521"/>
      <c r="F595" s="521"/>
      <c r="G595" s="521"/>
      <c r="H595" s="521"/>
      <c r="I595" s="521"/>
      <c r="J595" s="521"/>
      <c r="K595" s="521"/>
      <c r="L595" s="521"/>
      <c r="M595" s="521"/>
      <c r="N595" s="521"/>
      <c r="O595" s="521"/>
      <c r="P595" s="521"/>
      <c r="Q595" s="521"/>
      <c r="R595" s="521"/>
      <c r="S595" s="521"/>
      <c r="T595" s="521"/>
      <c r="U595" s="521"/>
      <c r="V595" s="521"/>
      <c r="W595" s="521"/>
      <c r="X595" s="521"/>
      <c r="Y595" s="521"/>
      <c r="Z595" s="522"/>
    </row>
    <row r="596" spans="1:26" x14ac:dyDescent="0.3">
      <c r="A596" s="521"/>
      <c r="B596" s="521"/>
      <c r="C596" s="521"/>
      <c r="D596" s="521"/>
      <c r="E596" s="521"/>
      <c r="F596" s="521"/>
      <c r="G596" s="521"/>
      <c r="H596" s="521"/>
      <c r="I596" s="521"/>
      <c r="J596" s="521"/>
      <c r="K596" s="521"/>
      <c r="L596" s="521"/>
      <c r="M596" s="521"/>
      <c r="N596" s="521"/>
      <c r="O596" s="521"/>
      <c r="P596" s="521"/>
      <c r="Q596" s="521"/>
      <c r="R596" s="521"/>
      <c r="S596" s="521"/>
      <c r="T596" s="521"/>
      <c r="U596" s="521"/>
      <c r="V596" s="521"/>
      <c r="W596" s="521"/>
      <c r="X596" s="521"/>
      <c r="Y596" s="521"/>
      <c r="Z596" s="522"/>
    </row>
    <row r="597" spans="1:26" x14ac:dyDescent="0.3">
      <c r="A597" s="521"/>
      <c r="B597" s="521"/>
      <c r="C597" s="521"/>
      <c r="D597" s="521"/>
      <c r="E597" s="521"/>
      <c r="F597" s="521"/>
      <c r="G597" s="521"/>
      <c r="H597" s="521"/>
      <c r="I597" s="521"/>
      <c r="J597" s="521"/>
      <c r="K597" s="521"/>
      <c r="L597" s="521"/>
      <c r="M597" s="521"/>
      <c r="N597" s="521"/>
      <c r="O597" s="521"/>
      <c r="P597" s="521"/>
      <c r="Q597" s="521"/>
      <c r="R597" s="521"/>
      <c r="S597" s="521"/>
      <c r="T597" s="521"/>
      <c r="U597" s="521"/>
      <c r="V597" s="521"/>
      <c r="W597" s="521"/>
      <c r="X597" s="521"/>
      <c r="Y597" s="521"/>
      <c r="Z597" s="522"/>
    </row>
    <row r="598" spans="1:26" x14ac:dyDescent="0.3">
      <c r="A598" s="521"/>
      <c r="B598" s="521"/>
      <c r="C598" s="521"/>
      <c r="D598" s="521"/>
      <c r="E598" s="521"/>
      <c r="F598" s="521"/>
      <c r="G598" s="521"/>
      <c r="H598" s="521"/>
      <c r="I598" s="521"/>
      <c r="J598" s="521"/>
      <c r="K598" s="521"/>
      <c r="L598" s="521"/>
      <c r="M598" s="521"/>
      <c r="N598" s="521"/>
      <c r="O598" s="521"/>
      <c r="P598" s="521"/>
      <c r="Q598" s="521"/>
      <c r="R598" s="521"/>
      <c r="S598" s="521"/>
      <c r="T598" s="521"/>
      <c r="U598" s="521"/>
      <c r="V598" s="521"/>
      <c r="W598" s="521"/>
      <c r="X598" s="521"/>
      <c r="Y598" s="521"/>
      <c r="Z598" s="522"/>
    </row>
    <row r="599" spans="1:26" x14ac:dyDescent="0.3">
      <c r="A599" s="521"/>
      <c r="B599" s="521"/>
      <c r="C599" s="521"/>
      <c r="D599" s="521"/>
      <c r="E599" s="521"/>
      <c r="F599" s="521"/>
      <c r="G599" s="521"/>
      <c r="H599" s="521"/>
      <c r="I599" s="521"/>
      <c r="J599" s="521"/>
      <c r="K599" s="521"/>
      <c r="L599" s="521"/>
      <c r="M599" s="521"/>
      <c r="N599" s="521"/>
      <c r="O599" s="521"/>
      <c r="P599" s="521"/>
      <c r="Q599" s="521"/>
      <c r="R599" s="521"/>
      <c r="S599" s="521"/>
      <c r="T599" s="521"/>
      <c r="U599" s="521"/>
      <c r="V599" s="521"/>
      <c r="W599" s="521"/>
      <c r="X599" s="521"/>
      <c r="Y599" s="521"/>
      <c r="Z599" s="522"/>
    </row>
    <row r="600" spans="1:26" x14ac:dyDescent="0.3">
      <c r="A600" s="521"/>
      <c r="B600" s="521"/>
      <c r="C600" s="521"/>
      <c r="D600" s="521"/>
      <c r="E600" s="521"/>
      <c r="F600" s="521"/>
      <c r="G600" s="521"/>
      <c r="H600" s="521"/>
      <c r="I600" s="521"/>
      <c r="J600" s="521"/>
      <c r="K600" s="521"/>
      <c r="L600" s="521"/>
      <c r="M600" s="521"/>
      <c r="N600" s="521"/>
      <c r="O600" s="521"/>
      <c r="P600" s="521"/>
      <c r="Q600" s="521"/>
      <c r="R600" s="521"/>
      <c r="S600" s="521"/>
      <c r="T600" s="521"/>
      <c r="U600" s="521"/>
      <c r="V600" s="521"/>
      <c r="W600" s="521"/>
      <c r="X600" s="521"/>
      <c r="Y600" s="521"/>
      <c r="Z600" s="522"/>
    </row>
    <row r="601" spans="1:26" x14ac:dyDescent="0.3">
      <c r="A601" s="521"/>
      <c r="B601" s="521"/>
      <c r="C601" s="521"/>
      <c r="D601" s="521"/>
      <c r="E601" s="521"/>
      <c r="F601" s="521"/>
      <c r="G601" s="521"/>
      <c r="H601" s="521"/>
      <c r="I601" s="521"/>
      <c r="J601" s="521"/>
      <c r="K601" s="521"/>
      <c r="L601" s="521"/>
      <c r="M601" s="521"/>
      <c r="N601" s="521"/>
      <c r="O601" s="521"/>
      <c r="P601" s="521"/>
      <c r="Q601" s="521"/>
      <c r="R601" s="521"/>
      <c r="S601" s="521"/>
      <c r="T601" s="521"/>
      <c r="U601" s="521"/>
      <c r="V601" s="521"/>
      <c r="W601" s="521"/>
      <c r="X601" s="521"/>
      <c r="Y601" s="521"/>
      <c r="Z601" s="522"/>
    </row>
    <row r="602" spans="1:26" x14ac:dyDescent="0.3">
      <c r="A602" s="521"/>
      <c r="B602" s="521"/>
      <c r="C602" s="521"/>
      <c r="D602" s="521"/>
      <c r="E602" s="521"/>
      <c r="F602" s="521"/>
      <c r="G602" s="521"/>
      <c r="H602" s="521"/>
      <c r="I602" s="521"/>
      <c r="J602" s="521"/>
      <c r="K602" s="521"/>
      <c r="L602" s="521"/>
      <c r="M602" s="521"/>
      <c r="N602" s="521"/>
      <c r="O602" s="521"/>
      <c r="P602" s="521"/>
      <c r="Q602" s="521"/>
      <c r="R602" s="521"/>
      <c r="S602" s="521"/>
      <c r="T602" s="521"/>
      <c r="U602" s="521"/>
      <c r="V602" s="521"/>
      <c r="W602" s="521"/>
      <c r="X602" s="521"/>
      <c r="Y602" s="521"/>
      <c r="Z602" s="522"/>
    </row>
    <row r="603" spans="1:26" x14ac:dyDescent="0.3">
      <c r="A603" s="521"/>
      <c r="B603" s="521"/>
      <c r="C603" s="521"/>
      <c r="D603" s="521"/>
      <c r="E603" s="521"/>
      <c r="F603" s="521"/>
      <c r="G603" s="521"/>
      <c r="H603" s="521"/>
      <c r="I603" s="521"/>
      <c r="J603" s="521"/>
      <c r="K603" s="521"/>
      <c r="L603" s="521"/>
      <c r="M603" s="521"/>
      <c r="N603" s="521"/>
      <c r="O603" s="521"/>
      <c r="P603" s="521"/>
      <c r="Q603" s="521"/>
      <c r="R603" s="521"/>
      <c r="S603" s="521"/>
      <c r="T603" s="521"/>
      <c r="U603" s="521"/>
      <c r="V603" s="521"/>
      <c r="W603" s="521"/>
      <c r="X603" s="521"/>
      <c r="Y603" s="521"/>
      <c r="Z603" s="522"/>
    </row>
    <row r="604" spans="1:26" x14ac:dyDescent="0.3">
      <c r="A604" s="521"/>
      <c r="B604" s="521"/>
      <c r="C604" s="521"/>
      <c r="D604" s="521"/>
      <c r="E604" s="521"/>
      <c r="F604" s="521"/>
      <c r="G604" s="521"/>
      <c r="H604" s="521"/>
      <c r="I604" s="521"/>
      <c r="J604" s="521"/>
      <c r="K604" s="521"/>
      <c r="L604" s="521"/>
      <c r="M604" s="521"/>
      <c r="N604" s="521"/>
      <c r="O604" s="521"/>
      <c r="P604" s="521"/>
      <c r="Q604" s="521"/>
      <c r="R604" s="521"/>
      <c r="S604" s="521"/>
      <c r="T604" s="521"/>
      <c r="U604" s="521"/>
      <c r="V604" s="521"/>
      <c r="W604" s="521"/>
      <c r="X604" s="521"/>
      <c r="Y604" s="521"/>
      <c r="Z604" s="522"/>
    </row>
    <row r="605" spans="1:26" x14ac:dyDescent="0.3">
      <c r="A605" s="521"/>
      <c r="B605" s="521"/>
      <c r="C605" s="521"/>
      <c r="D605" s="521"/>
      <c r="E605" s="521"/>
      <c r="F605" s="521"/>
      <c r="G605" s="521"/>
      <c r="H605" s="521"/>
      <c r="I605" s="521"/>
      <c r="J605" s="521"/>
      <c r="K605" s="521"/>
      <c r="L605" s="521"/>
      <c r="M605" s="521"/>
      <c r="N605" s="521"/>
      <c r="O605" s="521"/>
      <c r="P605" s="521"/>
      <c r="Q605" s="521"/>
      <c r="R605" s="521"/>
      <c r="S605" s="521"/>
      <c r="T605" s="521"/>
      <c r="U605" s="521"/>
      <c r="V605" s="521"/>
      <c r="W605" s="521"/>
      <c r="X605" s="521"/>
      <c r="Y605" s="521"/>
      <c r="Z605" s="522"/>
    </row>
    <row r="606" spans="1:26" x14ac:dyDescent="0.3">
      <c r="A606" s="521"/>
      <c r="B606" s="521"/>
      <c r="C606" s="521"/>
      <c r="D606" s="521"/>
      <c r="E606" s="521"/>
      <c r="F606" s="521"/>
      <c r="G606" s="521"/>
      <c r="H606" s="521"/>
      <c r="I606" s="521"/>
      <c r="J606" s="521"/>
      <c r="K606" s="521"/>
      <c r="L606" s="521"/>
      <c r="M606" s="521"/>
      <c r="N606" s="521"/>
      <c r="O606" s="521"/>
      <c r="P606" s="521"/>
      <c r="Q606" s="521"/>
      <c r="R606" s="521"/>
      <c r="S606" s="521"/>
      <c r="T606" s="521"/>
      <c r="U606" s="521"/>
      <c r="V606" s="521"/>
      <c r="W606" s="521"/>
      <c r="X606" s="521"/>
      <c r="Y606" s="521"/>
      <c r="Z606" s="522"/>
    </row>
    <row r="607" spans="1:26" x14ac:dyDescent="0.3">
      <c r="A607" s="521"/>
      <c r="B607" s="521"/>
      <c r="C607" s="521"/>
      <c r="D607" s="521"/>
      <c r="E607" s="521"/>
      <c r="F607" s="521"/>
      <c r="G607" s="521"/>
      <c r="H607" s="521"/>
      <c r="I607" s="521"/>
      <c r="J607" s="521"/>
      <c r="K607" s="521"/>
      <c r="L607" s="521"/>
      <c r="M607" s="521"/>
      <c r="N607" s="521"/>
      <c r="O607" s="521"/>
      <c r="P607" s="521"/>
      <c r="Q607" s="521"/>
      <c r="R607" s="521"/>
      <c r="S607" s="521"/>
      <c r="T607" s="521"/>
      <c r="U607" s="521"/>
      <c r="V607" s="521"/>
      <c r="W607" s="521"/>
      <c r="X607" s="521"/>
      <c r="Y607" s="521"/>
      <c r="Z607" s="522"/>
    </row>
    <row r="608" spans="1:26" x14ac:dyDescent="0.3">
      <c r="A608" s="521"/>
      <c r="B608" s="521"/>
      <c r="C608" s="521"/>
      <c r="D608" s="521"/>
      <c r="E608" s="521"/>
      <c r="F608" s="521"/>
      <c r="G608" s="521"/>
      <c r="H608" s="521"/>
      <c r="I608" s="521"/>
      <c r="J608" s="521"/>
      <c r="K608" s="521"/>
      <c r="L608" s="521"/>
      <c r="M608" s="521"/>
      <c r="N608" s="521"/>
      <c r="O608" s="521"/>
      <c r="P608" s="521"/>
      <c r="Q608" s="521"/>
      <c r="R608" s="521"/>
      <c r="S608" s="521"/>
      <c r="T608" s="521"/>
      <c r="U608" s="521"/>
      <c r="V608" s="521"/>
      <c r="W608" s="521"/>
      <c r="X608" s="521"/>
      <c r="Y608" s="521"/>
      <c r="Z608" s="522"/>
    </row>
    <row r="609" spans="1:26" x14ac:dyDescent="0.3">
      <c r="A609" s="521"/>
      <c r="B609" s="521"/>
      <c r="C609" s="521"/>
      <c r="D609" s="521"/>
      <c r="E609" s="521"/>
      <c r="F609" s="521"/>
      <c r="G609" s="521"/>
      <c r="H609" s="521"/>
      <c r="I609" s="521"/>
      <c r="J609" s="521"/>
      <c r="K609" s="521"/>
      <c r="L609" s="521"/>
      <c r="M609" s="521"/>
      <c r="N609" s="521"/>
      <c r="O609" s="521"/>
      <c r="P609" s="521"/>
      <c r="Q609" s="521"/>
      <c r="R609" s="521"/>
      <c r="S609" s="521"/>
      <c r="T609" s="521"/>
      <c r="U609" s="521"/>
      <c r="V609" s="521"/>
      <c r="W609" s="521"/>
      <c r="X609" s="521"/>
      <c r="Y609" s="521"/>
      <c r="Z609" s="522"/>
    </row>
    <row r="610" spans="1:26" x14ac:dyDescent="0.3">
      <c r="A610" s="521"/>
      <c r="B610" s="521"/>
      <c r="C610" s="521"/>
      <c r="D610" s="521"/>
      <c r="E610" s="521"/>
      <c r="F610" s="521"/>
      <c r="G610" s="521"/>
      <c r="H610" s="521"/>
      <c r="I610" s="521"/>
      <c r="J610" s="521"/>
      <c r="K610" s="521"/>
      <c r="L610" s="521"/>
      <c r="M610" s="521"/>
      <c r="N610" s="521"/>
      <c r="O610" s="521"/>
      <c r="P610" s="521"/>
      <c r="Q610" s="521"/>
      <c r="R610" s="521"/>
      <c r="S610" s="521"/>
      <c r="T610" s="521"/>
      <c r="U610" s="521"/>
      <c r="V610" s="521"/>
      <c r="W610" s="521"/>
      <c r="X610" s="521"/>
      <c r="Y610" s="521"/>
      <c r="Z610" s="522"/>
    </row>
    <row r="611" spans="1:26" x14ac:dyDescent="0.3">
      <c r="A611" s="521"/>
      <c r="B611" s="521"/>
      <c r="C611" s="521"/>
      <c r="D611" s="521"/>
      <c r="E611" s="521"/>
      <c r="F611" s="521"/>
      <c r="G611" s="521"/>
      <c r="H611" s="521"/>
      <c r="I611" s="521"/>
      <c r="J611" s="521"/>
      <c r="K611" s="521"/>
      <c r="L611" s="521"/>
      <c r="M611" s="521"/>
      <c r="N611" s="521"/>
      <c r="O611" s="521"/>
      <c r="P611" s="521"/>
      <c r="Q611" s="521"/>
      <c r="R611" s="521"/>
      <c r="S611" s="521"/>
      <c r="T611" s="521"/>
      <c r="U611" s="521"/>
      <c r="V611" s="521"/>
      <c r="W611" s="521"/>
      <c r="X611" s="521"/>
      <c r="Y611" s="521"/>
      <c r="Z611" s="522"/>
    </row>
    <row r="612" spans="1:26" x14ac:dyDescent="0.3">
      <c r="A612" s="521"/>
      <c r="B612" s="521"/>
      <c r="C612" s="521"/>
      <c r="D612" s="521"/>
      <c r="E612" s="521"/>
      <c r="F612" s="521"/>
      <c r="G612" s="521"/>
      <c r="H612" s="521"/>
      <c r="I612" s="521"/>
      <c r="J612" s="521"/>
      <c r="K612" s="521"/>
      <c r="L612" s="521"/>
      <c r="M612" s="521"/>
      <c r="N612" s="521"/>
      <c r="O612" s="521"/>
      <c r="P612" s="521"/>
      <c r="Q612" s="521"/>
      <c r="R612" s="521"/>
      <c r="S612" s="521"/>
      <c r="T612" s="521"/>
      <c r="U612" s="521"/>
      <c r="V612" s="521"/>
      <c r="W612" s="521"/>
      <c r="X612" s="521"/>
      <c r="Y612" s="521"/>
      <c r="Z612" s="522"/>
    </row>
    <row r="613" spans="1:26" x14ac:dyDescent="0.3">
      <c r="A613" s="521"/>
      <c r="B613" s="521"/>
      <c r="C613" s="521"/>
      <c r="D613" s="521"/>
      <c r="E613" s="521"/>
      <c r="F613" s="521"/>
      <c r="G613" s="521"/>
      <c r="H613" s="521"/>
      <c r="I613" s="521"/>
      <c r="J613" s="521"/>
      <c r="K613" s="521"/>
      <c r="L613" s="521"/>
      <c r="M613" s="521"/>
      <c r="N613" s="521"/>
      <c r="O613" s="521"/>
      <c r="P613" s="521"/>
      <c r="Q613" s="521"/>
      <c r="R613" s="521"/>
      <c r="S613" s="521"/>
      <c r="T613" s="521"/>
      <c r="U613" s="521"/>
      <c r="V613" s="521"/>
      <c r="W613" s="521"/>
      <c r="X613" s="521"/>
      <c r="Y613" s="521"/>
      <c r="Z613" s="522"/>
    </row>
    <row r="614" spans="1:26" x14ac:dyDescent="0.3">
      <c r="A614" s="521"/>
      <c r="B614" s="521"/>
      <c r="C614" s="521"/>
      <c r="D614" s="521"/>
      <c r="E614" s="521"/>
      <c r="F614" s="521"/>
      <c r="G614" s="521"/>
      <c r="H614" s="521"/>
      <c r="I614" s="521"/>
      <c r="J614" s="521"/>
      <c r="K614" s="521"/>
      <c r="L614" s="521"/>
      <c r="M614" s="521"/>
      <c r="N614" s="521"/>
      <c r="O614" s="521"/>
      <c r="P614" s="521"/>
      <c r="Q614" s="521"/>
      <c r="R614" s="521"/>
      <c r="S614" s="521"/>
      <c r="T614" s="521"/>
      <c r="U614" s="521"/>
      <c r="V614" s="521"/>
      <c r="W614" s="521"/>
      <c r="X614" s="521"/>
      <c r="Y614" s="521"/>
      <c r="Z614" s="522"/>
    </row>
    <row r="615" spans="1:26" x14ac:dyDescent="0.3">
      <c r="A615" s="521"/>
      <c r="B615" s="521"/>
      <c r="C615" s="521"/>
      <c r="D615" s="521"/>
      <c r="E615" s="521"/>
      <c r="F615" s="521"/>
      <c r="G615" s="521"/>
      <c r="H615" s="521"/>
      <c r="I615" s="521"/>
      <c r="J615" s="521"/>
      <c r="K615" s="521"/>
      <c r="L615" s="521"/>
      <c r="M615" s="521"/>
      <c r="N615" s="521"/>
      <c r="O615" s="521"/>
      <c r="P615" s="521"/>
      <c r="Q615" s="521"/>
      <c r="R615" s="521"/>
      <c r="S615" s="521"/>
      <c r="T615" s="521"/>
      <c r="U615" s="521"/>
      <c r="V615" s="521"/>
      <c r="W615" s="521"/>
      <c r="X615" s="521"/>
      <c r="Y615" s="521"/>
      <c r="Z615" s="522"/>
    </row>
    <row r="616" spans="1:26" x14ac:dyDescent="0.3">
      <c r="A616" s="521"/>
      <c r="B616" s="521"/>
      <c r="C616" s="521"/>
      <c r="D616" s="521"/>
      <c r="E616" s="521"/>
      <c r="F616" s="521"/>
      <c r="G616" s="521"/>
      <c r="H616" s="521"/>
      <c r="I616" s="521"/>
      <c r="J616" s="521"/>
      <c r="K616" s="521"/>
      <c r="L616" s="521"/>
      <c r="M616" s="521"/>
      <c r="N616" s="521"/>
      <c r="O616" s="521"/>
      <c r="P616" s="521"/>
      <c r="Q616" s="521"/>
      <c r="R616" s="521"/>
      <c r="S616" s="521"/>
      <c r="T616" s="521"/>
      <c r="U616" s="521"/>
      <c r="V616" s="521"/>
      <c r="W616" s="521"/>
      <c r="X616" s="521"/>
      <c r="Y616" s="521"/>
      <c r="Z616" s="522"/>
    </row>
    <row r="617" spans="1:26" x14ac:dyDescent="0.3">
      <c r="A617" s="521"/>
      <c r="B617" s="521"/>
      <c r="C617" s="521"/>
      <c r="D617" s="521"/>
      <c r="E617" s="521"/>
      <c r="F617" s="521"/>
      <c r="G617" s="521"/>
      <c r="H617" s="521"/>
      <c r="I617" s="521"/>
      <c r="J617" s="521"/>
      <c r="K617" s="521"/>
      <c r="L617" s="521"/>
      <c r="M617" s="521"/>
      <c r="N617" s="521"/>
      <c r="O617" s="521"/>
      <c r="P617" s="521"/>
      <c r="Q617" s="521"/>
      <c r="R617" s="521"/>
      <c r="S617" s="521"/>
      <c r="T617" s="521"/>
      <c r="U617" s="521"/>
      <c r="V617" s="521"/>
      <c r="W617" s="521"/>
      <c r="X617" s="521"/>
      <c r="Y617" s="521"/>
      <c r="Z617" s="522"/>
    </row>
    <row r="618" spans="1:26" x14ac:dyDescent="0.3">
      <c r="A618" s="521"/>
      <c r="B618" s="521"/>
      <c r="C618" s="521"/>
      <c r="D618" s="521"/>
      <c r="E618" s="521"/>
      <c r="F618" s="521"/>
      <c r="G618" s="521"/>
      <c r="H618" s="521"/>
      <c r="I618" s="521"/>
      <c r="J618" s="521"/>
      <c r="K618" s="521"/>
      <c r="L618" s="521"/>
      <c r="M618" s="521"/>
      <c r="N618" s="521"/>
      <c r="O618" s="521"/>
      <c r="P618" s="521"/>
      <c r="Q618" s="521"/>
      <c r="R618" s="521"/>
      <c r="S618" s="521"/>
      <c r="T618" s="521"/>
      <c r="U618" s="521"/>
      <c r="V618" s="521"/>
      <c r="W618" s="521"/>
      <c r="X618" s="521"/>
      <c r="Y618" s="521"/>
      <c r="Z618" s="522"/>
    </row>
    <row r="619" spans="1:26" x14ac:dyDescent="0.3">
      <c r="A619" s="521"/>
      <c r="B619" s="521"/>
      <c r="C619" s="521"/>
      <c r="D619" s="521"/>
      <c r="E619" s="521"/>
      <c r="F619" s="521"/>
      <c r="G619" s="521"/>
      <c r="H619" s="521"/>
      <c r="I619" s="521"/>
      <c r="J619" s="521"/>
      <c r="K619" s="521"/>
      <c r="L619" s="521"/>
      <c r="M619" s="521"/>
      <c r="N619" s="521"/>
      <c r="O619" s="521"/>
      <c r="P619" s="521"/>
      <c r="Q619" s="521"/>
      <c r="R619" s="521"/>
      <c r="S619" s="521"/>
      <c r="T619" s="521"/>
      <c r="U619" s="521"/>
      <c r="V619" s="521"/>
      <c r="W619" s="521"/>
      <c r="X619" s="521"/>
      <c r="Y619" s="521"/>
      <c r="Z619" s="522"/>
    </row>
    <row r="620" spans="1:26" x14ac:dyDescent="0.3">
      <c r="A620" s="521"/>
      <c r="B620" s="521"/>
      <c r="C620" s="521"/>
      <c r="D620" s="521"/>
      <c r="E620" s="521"/>
      <c r="F620" s="521"/>
      <c r="G620" s="521"/>
      <c r="H620" s="521"/>
      <c r="I620" s="521"/>
      <c r="J620" s="521"/>
      <c r="K620" s="521"/>
      <c r="L620" s="521"/>
      <c r="M620" s="521"/>
      <c r="N620" s="521"/>
      <c r="O620" s="521"/>
      <c r="P620" s="521"/>
      <c r="Q620" s="521"/>
      <c r="R620" s="521"/>
      <c r="S620" s="521"/>
      <c r="T620" s="521"/>
      <c r="U620" s="521"/>
      <c r="V620" s="521"/>
      <c r="W620" s="521"/>
      <c r="X620" s="521"/>
      <c r="Y620" s="521"/>
      <c r="Z620" s="522"/>
    </row>
    <row r="621" spans="1:26" x14ac:dyDescent="0.3">
      <c r="A621" s="521"/>
      <c r="B621" s="521"/>
      <c r="C621" s="521"/>
      <c r="D621" s="521"/>
      <c r="E621" s="521"/>
      <c r="F621" s="521"/>
      <c r="G621" s="521"/>
      <c r="H621" s="521"/>
      <c r="I621" s="521"/>
      <c r="J621" s="521"/>
      <c r="K621" s="521"/>
      <c r="L621" s="521"/>
      <c r="M621" s="521"/>
      <c r="N621" s="521"/>
      <c r="O621" s="521"/>
      <c r="P621" s="521"/>
      <c r="Q621" s="521"/>
      <c r="R621" s="521"/>
      <c r="S621" s="521"/>
      <c r="T621" s="521"/>
      <c r="U621" s="521"/>
      <c r="V621" s="521"/>
      <c r="W621" s="521"/>
      <c r="X621" s="521"/>
      <c r="Y621" s="521"/>
      <c r="Z621" s="522"/>
    </row>
    <row r="622" spans="1:26" x14ac:dyDescent="0.3">
      <c r="A622" s="521"/>
      <c r="B622" s="521"/>
      <c r="C622" s="521"/>
      <c r="D622" s="521"/>
      <c r="E622" s="521"/>
      <c r="F622" s="521"/>
      <c r="G622" s="521"/>
      <c r="H622" s="521"/>
      <c r="I622" s="521"/>
      <c r="J622" s="521"/>
      <c r="K622" s="521"/>
      <c r="L622" s="521"/>
      <c r="M622" s="521"/>
      <c r="N622" s="521"/>
      <c r="O622" s="521"/>
      <c r="P622" s="521"/>
      <c r="Q622" s="521"/>
      <c r="R622" s="521"/>
      <c r="S622" s="521"/>
      <c r="T622" s="521"/>
      <c r="U622" s="521"/>
      <c r="V622" s="521"/>
      <c r="W622" s="521"/>
      <c r="X622" s="521"/>
      <c r="Y622" s="521"/>
      <c r="Z622" s="522"/>
    </row>
    <row r="623" spans="1:26" x14ac:dyDescent="0.3">
      <c r="A623" s="521"/>
      <c r="B623" s="521"/>
      <c r="C623" s="521"/>
      <c r="D623" s="521"/>
      <c r="E623" s="521"/>
      <c r="F623" s="521"/>
      <c r="G623" s="521"/>
      <c r="H623" s="521"/>
      <c r="I623" s="521"/>
      <c r="J623" s="521"/>
      <c r="K623" s="521"/>
      <c r="L623" s="521"/>
      <c r="M623" s="521"/>
      <c r="N623" s="521"/>
      <c r="O623" s="521"/>
      <c r="P623" s="521"/>
      <c r="Q623" s="521"/>
      <c r="R623" s="521"/>
      <c r="S623" s="521"/>
      <c r="T623" s="521"/>
      <c r="U623" s="521"/>
      <c r="V623" s="521"/>
      <c r="W623" s="521"/>
      <c r="X623" s="521"/>
      <c r="Y623" s="521"/>
      <c r="Z623" s="522"/>
    </row>
    <row r="624" spans="1:26" x14ac:dyDescent="0.3">
      <c r="A624" s="521"/>
      <c r="B624" s="521"/>
      <c r="C624" s="521"/>
      <c r="D624" s="521"/>
      <c r="E624" s="521"/>
      <c r="F624" s="521"/>
      <c r="G624" s="521"/>
      <c r="H624" s="521"/>
      <c r="I624" s="521"/>
      <c r="J624" s="521"/>
      <c r="K624" s="521"/>
      <c r="L624" s="521"/>
      <c r="M624" s="521"/>
      <c r="N624" s="521"/>
      <c r="O624" s="521"/>
      <c r="P624" s="521"/>
      <c r="Q624" s="521"/>
      <c r="R624" s="521"/>
      <c r="S624" s="521"/>
      <c r="T624" s="521"/>
      <c r="U624" s="521"/>
      <c r="V624" s="521"/>
      <c r="W624" s="521"/>
      <c r="X624" s="521"/>
      <c r="Y624" s="521"/>
      <c r="Z624" s="522"/>
    </row>
    <row r="625" spans="1:26" x14ac:dyDescent="0.3">
      <c r="A625" s="521"/>
      <c r="B625" s="521"/>
      <c r="C625" s="521"/>
      <c r="D625" s="521"/>
      <c r="E625" s="521"/>
      <c r="F625" s="521"/>
      <c r="G625" s="521"/>
      <c r="H625" s="521"/>
      <c r="I625" s="521"/>
      <c r="J625" s="521"/>
      <c r="K625" s="521"/>
      <c r="L625" s="521"/>
      <c r="M625" s="521"/>
      <c r="N625" s="521"/>
      <c r="O625" s="521"/>
      <c r="P625" s="521"/>
      <c r="Q625" s="521"/>
      <c r="R625" s="521"/>
      <c r="S625" s="521"/>
      <c r="T625" s="521"/>
      <c r="U625" s="521"/>
      <c r="V625" s="521"/>
      <c r="W625" s="521"/>
      <c r="X625" s="521"/>
      <c r="Y625" s="521"/>
      <c r="Z625" s="522"/>
    </row>
    <row r="626" spans="1:26" x14ac:dyDescent="0.3">
      <c r="A626" s="521"/>
      <c r="B626" s="521"/>
      <c r="C626" s="521"/>
      <c r="D626" s="521"/>
      <c r="E626" s="521"/>
      <c r="F626" s="521"/>
      <c r="G626" s="521"/>
      <c r="H626" s="521"/>
      <c r="I626" s="521"/>
      <c r="J626" s="521"/>
      <c r="K626" s="521"/>
      <c r="L626" s="521"/>
      <c r="M626" s="521"/>
      <c r="N626" s="521"/>
      <c r="O626" s="521"/>
      <c r="P626" s="521"/>
      <c r="Q626" s="521"/>
      <c r="R626" s="521"/>
      <c r="S626" s="521"/>
      <c r="T626" s="521"/>
      <c r="U626" s="521"/>
      <c r="V626" s="521"/>
      <c r="W626" s="521"/>
      <c r="X626" s="521"/>
      <c r="Y626" s="521"/>
      <c r="Z626" s="522"/>
    </row>
    <row r="627" spans="1:26" x14ac:dyDescent="0.3">
      <c r="A627" s="521"/>
      <c r="B627" s="521"/>
      <c r="C627" s="521"/>
      <c r="D627" s="521"/>
      <c r="E627" s="521"/>
      <c r="F627" s="521"/>
      <c r="G627" s="521"/>
      <c r="H627" s="521"/>
      <c r="I627" s="521"/>
      <c r="J627" s="521"/>
      <c r="K627" s="521"/>
      <c r="L627" s="521"/>
      <c r="M627" s="521"/>
      <c r="N627" s="521"/>
      <c r="O627" s="521"/>
      <c r="P627" s="521"/>
      <c r="Q627" s="521"/>
      <c r="R627" s="521"/>
      <c r="S627" s="521"/>
      <c r="T627" s="521"/>
      <c r="U627" s="521"/>
      <c r="V627" s="521"/>
      <c r="W627" s="521"/>
      <c r="X627" s="521"/>
      <c r="Y627" s="521"/>
      <c r="Z627" s="522"/>
    </row>
    <row r="628" spans="1:26" x14ac:dyDescent="0.3">
      <c r="A628" s="521"/>
      <c r="B628" s="521"/>
      <c r="C628" s="521"/>
      <c r="D628" s="521"/>
      <c r="E628" s="521"/>
      <c r="F628" s="521"/>
      <c r="G628" s="521"/>
      <c r="H628" s="521"/>
      <c r="I628" s="521"/>
      <c r="J628" s="521"/>
      <c r="K628" s="521"/>
      <c r="L628" s="521"/>
      <c r="M628" s="521"/>
      <c r="N628" s="521"/>
      <c r="O628" s="521"/>
      <c r="P628" s="521"/>
      <c r="Q628" s="521"/>
      <c r="R628" s="521"/>
      <c r="S628" s="521"/>
      <c r="T628" s="521"/>
      <c r="U628" s="521"/>
      <c r="V628" s="521"/>
      <c r="W628" s="521"/>
      <c r="X628" s="521"/>
      <c r="Y628" s="521"/>
      <c r="Z628" s="522"/>
    </row>
    <row r="629" spans="1:26" x14ac:dyDescent="0.3">
      <c r="A629" s="521"/>
      <c r="B629" s="521"/>
      <c r="C629" s="521"/>
      <c r="D629" s="521"/>
      <c r="E629" s="521"/>
      <c r="F629" s="521"/>
      <c r="G629" s="521"/>
      <c r="H629" s="521"/>
      <c r="I629" s="521"/>
      <c r="J629" s="521"/>
      <c r="K629" s="521"/>
      <c r="L629" s="521"/>
      <c r="M629" s="521"/>
      <c r="N629" s="521"/>
      <c r="O629" s="521"/>
      <c r="P629" s="521"/>
      <c r="Q629" s="521"/>
      <c r="R629" s="521"/>
      <c r="S629" s="521"/>
      <c r="T629" s="521"/>
      <c r="U629" s="521"/>
      <c r="V629" s="521"/>
      <c r="W629" s="521"/>
      <c r="X629" s="521"/>
      <c r="Y629" s="521"/>
      <c r="Z629" s="522"/>
    </row>
    <row r="630" spans="1:26" x14ac:dyDescent="0.3">
      <c r="A630" s="521"/>
      <c r="B630" s="521"/>
      <c r="C630" s="521"/>
      <c r="D630" s="521"/>
      <c r="E630" s="521"/>
      <c r="F630" s="521"/>
      <c r="G630" s="521"/>
      <c r="H630" s="521"/>
      <c r="I630" s="521"/>
      <c r="J630" s="521"/>
      <c r="K630" s="521"/>
      <c r="L630" s="521"/>
      <c r="M630" s="521"/>
      <c r="N630" s="521"/>
      <c r="O630" s="521"/>
      <c r="P630" s="521"/>
      <c r="Q630" s="521"/>
      <c r="R630" s="521"/>
      <c r="S630" s="521"/>
      <c r="T630" s="521"/>
      <c r="U630" s="521"/>
      <c r="V630" s="521"/>
      <c r="W630" s="521"/>
      <c r="X630" s="521"/>
      <c r="Y630" s="521"/>
      <c r="Z630" s="522"/>
    </row>
    <row r="631" spans="1:26" x14ac:dyDescent="0.3">
      <c r="A631" s="521"/>
      <c r="B631" s="521"/>
      <c r="C631" s="521"/>
      <c r="D631" s="521"/>
      <c r="E631" s="521"/>
      <c r="F631" s="521"/>
      <c r="G631" s="521"/>
      <c r="H631" s="521"/>
      <c r="I631" s="521"/>
      <c r="J631" s="521"/>
      <c r="K631" s="521"/>
      <c r="L631" s="521"/>
      <c r="M631" s="521"/>
      <c r="N631" s="521"/>
      <c r="O631" s="521"/>
      <c r="P631" s="521"/>
      <c r="Q631" s="521"/>
      <c r="R631" s="521"/>
      <c r="S631" s="521"/>
      <c r="T631" s="521"/>
      <c r="U631" s="521"/>
      <c r="V631" s="521"/>
      <c r="W631" s="521"/>
      <c r="X631" s="521"/>
      <c r="Y631" s="521"/>
      <c r="Z631" s="522"/>
    </row>
    <row r="632" spans="1:26" x14ac:dyDescent="0.3">
      <c r="A632" s="521"/>
      <c r="B632" s="521"/>
      <c r="C632" s="521"/>
      <c r="D632" s="521"/>
      <c r="E632" s="521"/>
      <c r="F632" s="521"/>
      <c r="G632" s="521"/>
      <c r="H632" s="521"/>
      <c r="I632" s="521"/>
      <c r="J632" s="521"/>
      <c r="K632" s="521"/>
      <c r="L632" s="521"/>
      <c r="M632" s="521"/>
      <c r="N632" s="521"/>
      <c r="O632" s="521"/>
      <c r="P632" s="521"/>
      <c r="Q632" s="521"/>
      <c r="R632" s="521"/>
      <c r="S632" s="521"/>
      <c r="T632" s="521"/>
      <c r="U632" s="521"/>
      <c r="V632" s="521"/>
      <c r="W632" s="521"/>
      <c r="X632" s="521"/>
      <c r="Y632" s="521"/>
      <c r="Z632" s="522"/>
    </row>
    <row r="633" spans="1:26" x14ac:dyDescent="0.3">
      <c r="A633" s="521"/>
      <c r="B633" s="521"/>
      <c r="C633" s="521"/>
      <c r="D633" s="521"/>
      <c r="E633" s="521"/>
      <c r="F633" s="521"/>
      <c r="G633" s="521"/>
      <c r="H633" s="521"/>
      <c r="I633" s="521"/>
      <c r="J633" s="521"/>
      <c r="K633" s="521"/>
      <c r="L633" s="521"/>
      <c r="M633" s="521"/>
      <c r="N633" s="521"/>
      <c r="O633" s="521"/>
      <c r="P633" s="521"/>
      <c r="Q633" s="521"/>
      <c r="R633" s="521"/>
      <c r="S633" s="521"/>
      <c r="T633" s="521"/>
      <c r="U633" s="521"/>
      <c r="V633" s="521"/>
      <c r="W633" s="521"/>
      <c r="X633" s="521"/>
      <c r="Y633" s="521"/>
      <c r="Z633" s="522"/>
    </row>
    <row r="634" spans="1:26" x14ac:dyDescent="0.3">
      <c r="A634" s="521"/>
      <c r="B634" s="521"/>
      <c r="C634" s="521"/>
      <c r="D634" s="521"/>
      <c r="E634" s="521"/>
      <c r="F634" s="521"/>
      <c r="G634" s="521"/>
      <c r="H634" s="521"/>
      <c r="I634" s="521"/>
      <c r="J634" s="521"/>
      <c r="K634" s="521"/>
      <c r="L634" s="521"/>
      <c r="M634" s="521"/>
      <c r="N634" s="521"/>
      <c r="O634" s="521"/>
      <c r="P634" s="521"/>
      <c r="Q634" s="521"/>
      <c r="R634" s="521"/>
      <c r="S634" s="521"/>
      <c r="T634" s="521"/>
      <c r="U634" s="521"/>
      <c r="V634" s="521"/>
      <c r="W634" s="521"/>
      <c r="X634" s="521"/>
      <c r="Y634" s="521"/>
      <c r="Z634" s="522"/>
    </row>
    <row r="635" spans="1:26" x14ac:dyDescent="0.3">
      <c r="A635" s="521"/>
      <c r="B635" s="521"/>
      <c r="C635" s="521"/>
      <c r="D635" s="521"/>
      <c r="E635" s="521"/>
      <c r="F635" s="521"/>
      <c r="G635" s="521"/>
      <c r="H635" s="521"/>
      <c r="I635" s="521"/>
      <c r="J635" s="521"/>
      <c r="K635" s="521"/>
      <c r="L635" s="521"/>
      <c r="M635" s="521"/>
      <c r="N635" s="521"/>
      <c r="O635" s="521"/>
      <c r="P635" s="521"/>
      <c r="Q635" s="521"/>
      <c r="R635" s="521"/>
      <c r="S635" s="521"/>
      <c r="T635" s="521"/>
      <c r="U635" s="521"/>
      <c r="V635" s="521"/>
      <c r="W635" s="521"/>
      <c r="X635" s="521"/>
      <c r="Y635" s="521"/>
      <c r="Z635" s="522"/>
    </row>
    <row r="636" spans="1:26" x14ac:dyDescent="0.3">
      <c r="A636" s="521"/>
      <c r="B636" s="521"/>
      <c r="C636" s="521"/>
      <c r="D636" s="521"/>
      <c r="E636" s="521"/>
      <c r="F636" s="521"/>
      <c r="G636" s="521"/>
      <c r="H636" s="521"/>
      <c r="I636" s="521"/>
      <c r="J636" s="521"/>
      <c r="K636" s="521"/>
      <c r="L636" s="521"/>
      <c r="M636" s="521"/>
      <c r="N636" s="521"/>
      <c r="O636" s="521"/>
      <c r="P636" s="521"/>
      <c r="Q636" s="521"/>
      <c r="R636" s="521"/>
      <c r="S636" s="521"/>
      <c r="T636" s="521"/>
      <c r="U636" s="521"/>
      <c r="V636" s="521"/>
      <c r="W636" s="521"/>
      <c r="X636" s="521"/>
      <c r="Y636" s="521"/>
      <c r="Z636" s="522"/>
    </row>
    <row r="637" spans="1:26" x14ac:dyDescent="0.3">
      <c r="A637" s="521"/>
      <c r="B637" s="521"/>
      <c r="C637" s="521"/>
      <c r="D637" s="521"/>
      <c r="E637" s="521"/>
      <c r="F637" s="521"/>
      <c r="G637" s="521"/>
      <c r="H637" s="521"/>
      <c r="I637" s="521"/>
      <c r="J637" s="521"/>
      <c r="K637" s="521"/>
      <c r="L637" s="521"/>
      <c r="M637" s="521"/>
      <c r="N637" s="521"/>
      <c r="O637" s="521"/>
      <c r="P637" s="521"/>
      <c r="Q637" s="521"/>
      <c r="R637" s="521"/>
      <c r="S637" s="521"/>
      <c r="T637" s="521"/>
      <c r="U637" s="521"/>
      <c r="V637" s="521"/>
      <c r="W637" s="521"/>
      <c r="X637" s="521"/>
      <c r="Y637" s="521"/>
      <c r="Z637" s="522"/>
    </row>
    <row r="638" spans="1:26" x14ac:dyDescent="0.3">
      <c r="A638" s="521"/>
      <c r="B638" s="521"/>
      <c r="C638" s="521"/>
      <c r="D638" s="521"/>
      <c r="E638" s="521"/>
      <c r="F638" s="521"/>
      <c r="G638" s="521"/>
      <c r="H638" s="521"/>
      <c r="I638" s="521"/>
      <c r="J638" s="521"/>
      <c r="K638" s="521"/>
      <c r="L638" s="521"/>
      <c r="M638" s="521"/>
      <c r="N638" s="521"/>
      <c r="O638" s="521"/>
      <c r="P638" s="521"/>
      <c r="Q638" s="521"/>
      <c r="R638" s="521"/>
      <c r="S638" s="521"/>
      <c r="T638" s="521"/>
      <c r="U638" s="521"/>
      <c r="V638" s="521"/>
      <c r="W638" s="521"/>
      <c r="X638" s="521"/>
      <c r="Y638" s="521"/>
      <c r="Z638" s="522"/>
    </row>
    <row r="639" spans="1:26" x14ac:dyDescent="0.3">
      <c r="A639" s="521"/>
      <c r="B639" s="521"/>
      <c r="C639" s="521"/>
      <c r="D639" s="521"/>
      <c r="E639" s="521"/>
      <c r="F639" s="521"/>
      <c r="G639" s="521"/>
      <c r="H639" s="521"/>
      <c r="I639" s="521"/>
      <c r="J639" s="521"/>
      <c r="K639" s="521"/>
      <c r="L639" s="521"/>
      <c r="M639" s="521"/>
      <c r="N639" s="521"/>
      <c r="O639" s="521"/>
      <c r="P639" s="521"/>
      <c r="Q639" s="521"/>
      <c r="R639" s="521"/>
      <c r="S639" s="521"/>
      <c r="T639" s="521"/>
      <c r="U639" s="521"/>
      <c r="V639" s="521"/>
      <c r="W639" s="521"/>
      <c r="X639" s="521"/>
      <c r="Y639" s="521"/>
      <c r="Z639" s="522"/>
    </row>
    <row r="640" spans="1:26" x14ac:dyDescent="0.3">
      <c r="A640" s="521"/>
      <c r="B640" s="521"/>
      <c r="C640" s="521"/>
      <c r="D640" s="521"/>
      <c r="E640" s="521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P640" s="521"/>
      <c r="Q640" s="521"/>
      <c r="R640" s="521"/>
      <c r="S640" s="521"/>
      <c r="T640" s="521"/>
      <c r="U640" s="521"/>
      <c r="V640" s="521"/>
      <c r="W640" s="521"/>
      <c r="X640" s="521"/>
      <c r="Y640" s="521"/>
      <c r="Z640" s="522"/>
    </row>
    <row r="641" spans="1:26" x14ac:dyDescent="0.3">
      <c r="A641" s="521"/>
      <c r="B641" s="521"/>
      <c r="C641" s="521"/>
      <c r="D641" s="521"/>
      <c r="E641" s="521"/>
      <c r="F641" s="521"/>
      <c r="G641" s="521"/>
      <c r="H641" s="521"/>
      <c r="I641" s="521"/>
      <c r="J641" s="521"/>
      <c r="K641" s="521"/>
      <c r="L641" s="521"/>
      <c r="M641" s="521"/>
      <c r="N641" s="521"/>
      <c r="O641" s="521"/>
      <c r="P641" s="521"/>
      <c r="Q641" s="521"/>
      <c r="R641" s="521"/>
      <c r="S641" s="521"/>
      <c r="T641" s="521"/>
      <c r="U641" s="521"/>
      <c r="V641" s="521"/>
      <c r="W641" s="521"/>
      <c r="X641" s="521"/>
      <c r="Y641" s="521"/>
      <c r="Z641" s="522"/>
    </row>
    <row r="642" spans="1:26" x14ac:dyDescent="0.3">
      <c r="A642" s="521"/>
      <c r="B642" s="521"/>
      <c r="C642" s="521"/>
      <c r="D642" s="521"/>
      <c r="E642" s="521"/>
      <c r="F642" s="521"/>
      <c r="G642" s="521"/>
      <c r="H642" s="521"/>
      <c r="I642" s="521"/>
      <c r="J642" s="521"/>
      <c r="K642" s="521"/>
      <c r="L642" s="521"/>
      <c r="M642" s="521"/>
      <c r="N642" s="521"/>
      <c r="O642" s="521"/>
      <c r="P642" s="521"/>
      <c r="Q642" s="521"/>
      <c r="R642" s="521"/>
      <c r="S642" s="521"/>
      <c r="T642" s="521"/>
      <c r="U642" s="521"/>
      <c r="V642" s="521"/>
      <c r="W642" s="521"/>
      <c r="X642" s="521"/>
      <c r="Y642" s="521"/>
      <c r="Z642" s="522"/>
    </row>
    <row r="643" spans="1:26" x14ac:dyDescent="0.3">
      <c r="A643" s="521"/>
      <c r="B643" s="521"/>
      <c r="C643" s="521"/>
      <c r="D643" s="521"/>
      <c r="E643" s="521"/>
      <c r="F643" s="521"/>
      <c r="G643" s="521"/>
      <c r="H643" s="521"/>
      <c r="I643" s="521"/>
      <c r="J643" s="521"/>
      <c r="K643" s="521"/>
      <c r="L643" s="521"/>
      <c r="M643" s="521"/>
      <c r="N643" s="521"/>
      <c r="O643" s="521"/>
      <c r="P643" s="521"/>
      <c r="Q643" s="521"/>
      <c r="R643" s="521"/>
      <c r="S643" s="521"/>
      <c r="T643" s="521"/>
      <c r="U643" s="521"/>
      <c r="V643" s="521"/>
      <c r="W643" s="521"/>
      <c r="X643" s="521"/>
      <c r="Y643" s="521"/>
      <c r="Z643" s="522"/>
    </row>
    <row r="644" spans="1:26" x14ac:dyDescent="0.3">
      <c r="A644" s="521"/>
      <c r="B644" s="521"/>
      <c r="C644" s="521"/>
      <c r="D644" s="521"/>
      <c r="E644" s="521"/>
      <c r="F644" s="521"/>
      <c r="G644" s="521"/>
      <c r="H644" s="521"/>
      <c r="I644" s="521"/>
      <c r="J644" s="521"/>
      <c r="K644" s="521"/>
      <c r="L644" s="521"/>
      <c r="M644" s="521"/>
      <c r="N644" s="521"/>
      <c r="O644" s="521"/>
      <c r="P644" s="521"/>
      <c r="Q644" s="521"/>
      <c r="R644" s="521"/>
      <c r="S644" s="521"/>
      <c r="T644" s="521"/>
      <c r="U644" s="521"/>
      <c r="V644" s="521"/>
      <c r="W644" s="521"/>
      <c r="X644" s="521"/>
      <c r="Y644" s="521"/>
      <c r="Z644" s="522"/>
    </row>
    <row r="645" spans="1:26" x14ac:dyDescent="0.3">
      <c r="A645" s="521"/>
      <c r="B645" s="521"/>
      <c r="C645" s="521"/>
      <c r="D645" s="521"/>
      <c r="E645" s="521"/>
      <c r="F645" s="521"/>
      <c r="G645" s="521"/>
      <c r="H645" s="521"/>
      <c r="I645" s="521"/>
      <c r="J645" s="521"/>
      <c r="K645" s="521"/>
      <c r="L645" s="521"/>
      <c r="M645" s="521"/>
      <c r="N645" s="521"/>
      <c r="O645" s="521"/>
      <c r="P645" s="521"/>
      <c r="Q645" s="521"/>
      <c r="R645" s="521"/>
      <c r="S645" s="521"/>
      <c r="T645" s="521"/>
      <c r="U645" s="521"/>
      <c r="V645" s="521"/>
      <c r="W645" s="521"/>
      <c r="X645" s="521"/>
      <c r="Y645" s="521"/>
      <c r="Z645" s="522"/>
    </row>
    <row r="646" spans="1:26" x14ac:dyDescent="0.3">
      <c r="A646" s="521"/>
      <c r="B646" s="521"/>
      <c r="C646" s="521"/>
      <c r="D646" s="521"/>
      <c r="E646" s="521"/>
      <c r="F646" s="521"/>
      <c r="G646" s="521"/>
      <c r="H646" s="521"/>
      <c r="I646" s="521"/>
      <c r="J646" s="521"/>
      <c r="K646" s="521"/>
      <c r="L646" s="521"/>
      <c r="M646" s="521"/>
      <c r="N646" s="521"/>
      <c r="O646" s="521"/>
      <c r="P646" s="521"/>
      <c r="Q646" s="521"/>
      <c r="R646" s="521"/>
      <c r="S646" s="521"/>
      <c r="T646" s="521"/>
      <c r="U646" s="521"/>
      <c r="V646" s="521"/>
      <c r="W646" s="521"/>
      <c r="X646" s="521"/>
      <c r="Y646" s="521"/>
      <c r="Z646" s="522"/>
    </row>
    <row r="647" spans="1:26" x14ac:dyDescent="0.3">
      <c r="A647" s="521"/>
      <c r="B647" s="521"/>
      <c r="C647" s="521"/>
      <c r="D647" s="521"/>
      <c r="E647" s="521"/>
      <c r="F647" s="521"/>
      <c r="G647" s="521"/>
      <c r="H647" s="521"/>
      <c r="I647" s="521"/>
      <c r="J647" s="521"/>
      <c r="K647" s="521"/>
      <c r="L647" s="521"/>
      <c r="M647" s="521"/>
      <c r="N647" s="521"/>
      <c r="O647" s="521"/>
      <c r="P647" s="521"/>
      <c r="Q647" s="521"/>
      <c r="R647" s="521"/>
      <c r="S647" s="521"/>
      <c r="T647" s="521"/>
      <c r="U647" s="521"/>
      <c r="V647" s="521"/>
      <c r="W647" s="521"/>
      <c r="X647" s="521"/>
      <c r="Y647" s="521"/>
      <c r="Z647" s="522"/>
    </row>
    <row r="648" spans="1:26" x14ac:dyDescent="0.3">
      <c r="A648" s="521"/>
      <c r="B648" s="521"/>
      <c r="C648" s="521"/>
      <c r="D648" s="521"/>
      <c r="E648" s="521"/>
      <c r="F648" s="521"/>
      <c r="G648" s="521"/>
      <c r="H648" s="521"/>
      <c r="I648" s="521"/>
      <c r="J648" s="521"/>
      <c r="K648" s="521"/>
      <c r="L648" s="521"/>
      <c r="M648" s="521"/>
      <c r="N648" s="521"/>
      <c r="O648" s="521"/>
      <c r="P648" s="521"/>
      <c r="Q648" s="521"/>
      <c r="R648" s="521"/>
      <c r="S648" s="521"/>
      <c r="T648" s="521"/>
      <c r="U648" s="521"/>
      <c r="V648" s="521"/>
      <c r="W648" s="521"/>
      <c r="X648" s="521"/>
      <c r="Y648" s="521"/>
      <c r="Z648" s="522"/>
    </row>
    <row r="649" spans="1:26" x14ac:dyDescent="0.3">
      <c r="A649" s="521"/>
      <c r="B649" s="521"/>
      <c r="C649" s="521"/>
      <c r="D649" s="521"/>
      <c r="E649" s="521"/>
      <c r="F649" s="521"/>
      <c r="G649" s="521"/>
      <c r="H649" s="521"/>
      <c r="I649" s="521"/>
      <c r="J649" s="521"/>
      <c r="K649" s="521"/>
      <c r="L649" s="521"/>
      <c r="M649" s="521"/>
      <c r="N649" s="521"/>
      <c r="O649" s="521"/>
      <c r="P649" s="521"/>
      <c r="Q649" s="521"/>
      <c r="R649" s="521"/>
      <c r="S649" s="521"/>
      <c r="T649" s="521"/>
      <c r="U649" s="521"/>
      <c r="V649" s="521"/>
      <c r="W649" s="521"/>
      <c r="X649" s="521"/>
      <c r="Y649" s="521"/>
      <c r="Z649" s="522"/>
    </row>
    <row r="650" spans="1:26" x14ac:dyDescent="0.3">
      <c r="A650" s="521"/>
      <c r="B650" s="521"/>
      <c r="C650" s="521"/>
      <c r="D650" s="521"/>
      <c r="E650" s="521"/>
      <c r="F650" s="521"/>
      <c r="G650" s="521"/>
      <c r="H650" s="521"/>
      <c r="I650" s="521"/>
      <c r="J650" s="521"/>
      <c r="K650" s="521"/>
      <c r="L650" s="521"/>
      <c r="M650" s="521"/>
      <c r="N650" s="521"/>
      <c r="O650" s="521"/>
      <c r="P650" s="521"/>
      <c r="Q650" s="521"/>
      <c r="R650" s="521"/>
      <c r="S650" s="521"/>
      <c r="T650" s="521"/>
      <c r="U650" s="521"/>
      <c r="V650" s="521"/>
      <c r="W650" s="521"/>
      <c r="X650" s="521"/>
      <c r="Y650" s="521"/>
      <c r="Z650" s="522"/>
    </row>
    <row r="651" spans="1:26" x14ac:dyDescent="0.3">
      <c r="A651" s="521"/>
      <c r="B651" s="521"/>
      <c r="C651" s="521"/>
      <c r="D651" s="521"/>
      <c r="E651" s="521"/>
      <c r="F651" s="521"/>
      <c r="G651" s="521"/>
      <c r="H651" s="521"/>
      <c r="I651" s="521"/>
      <c r="J651" s="521"/>
      <c r="K651" s="521"/>
      <c r="L651" s="521"/>
      <c r="M651" s="521"/>
      <c r="N651" s="521"/>
      <c r="O651" s="521"/>
      <c r="P651" s="521"/>
      <c r="Q651" s="521"/>
      <c r="R651" s="521"/>
      <c r="S651" s="521"/>
      <c r="T651" s="521"/>
      <c r="U651" s="521"/>
      <c r="V651" s="521"/>
      <c r="W651" s="521"/>
      <c r="X651" s="521"/>
      <c r="Y651" s="521"/>
      <c r="Z651" s="522"/>
    </row>
    <row r="652" spans="1:26" x14ac:dyDescent="0.3">
      <c r="A652" s="521"/>
      <c r="B652" s="521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2"/>
    </row>
    <row r="653" spans="1:26" x14ac:dyDescent="0.3">
      <c r="A653" s="521"/>
      <c r="B653" s="521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2"/>
    </row>
    <row r="654" spans="1:26" x14ac:dyDescent="0.3">
      <c r="A654" s="521"/>
      <c r="B654" s="521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2"/>
    </row>
    <row r="655" spans="1:26" x14ac:dyDescent="0.3">
      <c r="A655" s="521"/>
      <c r="B655" s="521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2"/>
    </row>
    <row r="656" spans="1:26" x14ac:dyDescent="0.3">
      <c r="A656" s="521"/>
      <c r="B656" s="521"/>
      <c r="C656" s="521"/>
      <c r="D656" s="521"/>
      <c r="E656" s="521"/>
      <c r="F656" s="521"/>
      <c r="G656" s="521"/>
      <c r="H656" s="521"/>
      <c r="I656" s="521"/>
      <c r="J656" s="521"/>
      <c r="K656" s="521"/>
      <c r="L656" s="521"/>
      <c r="M656" s="521"/>
      <c r="N656" s="521"/>
      <c r="O656" s="521"/>
      <c r="P656" s="521"/>
      <c r="Q656" s="521"/>
      <c r="R656" s="521"/>
      <c r="S656" s="521"/>
      <c r="T656" s="521"/>
      <c r="U656" s="521"/>
      <c r="V656" s="521"/>
      <c r="W656" s="521"/>
      <c r="X656" s="521"/>
      <c r="Y656" s="521"/>
      <c r="Z656" s="522"/>
    </row>
    <row r="657" spans="1:26" x14ac:dyDescent="0.3">
      <c r="A657" s="521"/>
      <c r="B657" s="521"/>
      <c r="C657" s="521"/>
      <c r="D657" s="521"/>
      <c r="E657" s="521"/>
      <c r="F657" s="521"/>
      <c r="G657" s="521"/>
      <c r="H657" s="521"/>
      <c r="I657" s="521"/>
      <c r="J657" s="521"/>
      <c r="K657" s="521"/>
      <c r="L657" s="521"/>
      <c r="M657" s="521"/>
      <c r="N657" s="521"/>
      <c r="O657" s="521"/>
      <c r="P657" s="521"/>
      <c r="Q657" s="521"/>
      <c r="R657" s="521"/>
      <c r="S657" s="521"/>
      <c r="T657" s="521"/>
      <c r="U657" s="521"/>
      <c r="V657" s="521"/>
      <c r="W657" s="521"/>
      <c r="X657" s="521"/>
      <c r="Y657" s="521"/>
      <c r="Z657" s="522"/>
    </row>
    <row r="658" spans="1:26" x14ac:dyDescent="0.3">
      <c r="A658" s="521"/>
      <c r="B658" s="521"/>
      <c r="C658" s="521"/>
      <c r="D658" s="521"/>
      <c r="E658" s="521"/>
      <c r="F658" s="521"/>
      <c r="G658" s="521"/>
      <c r="H658" s="521"/>
      <c r="I658" s="521"/>
      <c r="J658" s="521"/>
      <c r="K658" s="521"/>
      <c r="L658" s="521"/>
      <c r="M658" s="521"/>
      <c r="N658" s="521"/>
      <c r="O658" s="521"/>
      <c r="P658" s="521"/>
      <c r="Q658" s="521"/>
      <c r="R658" s="521"/>
      <c r="S658" s="521"/>
      <c r="T658" s="521"/>
      <c r="U658" s="521"/>
      <c r="V658" s="521"/>
      <c r="W658" s="521"/>
      <c r="X658" s="521"/>
      <c r="Y658" s="521"/>
      <c r="Z658" s="522"/>
    </row>
    <row r="659" spans="1:26" x14ac:dyDescent="0.3">
      <c r="A659" s="521"/>
      <c r="B659" s="521"/>
      <c r="C659" s="521"/>
      <c r="D659" s="521"/>
      <c r="E659" s="521"/>
      <c r="F659" s="521"/>
      <c r="G659" s="521"/>
      <c r="H659" s="521"/>
      <c r="I659" s="521"/>
      <c r="J659" s="521"/>
      <c r="K659" s="521"/>
      <c r="L659" s="521"/>
      <c r="M659" s="521"/>
      <c r="N659" s="521"/>
      <c r="O659" s="521"/>
      <c r="P659" s="521"/>
      <c r="Q659" s="521"/>
      <c r="R659" s="521"/>
      <c r="S659" s="521"/>
      <c r="T659" s="521"/>
      <c r="U659" s="521"/>
      <c r="V659" s="521"/>
      <c r="W659" s="521"/>
      <c r="X659" s="521"/>
      <c r="Y659" s="521"/>
      <c r="Z659" s="522"/>
    </row>
    <row r="660" spans="1:26" x14ac:dyDescent="0.3">
      <c r="A660" s="521"/>
      <c r="B660" s="521"/>
      <c r="C660" s="521"/>
      <c r="D660" s="521"/>
      <c r="E660" s="521"/>
      <c r="F660" s="521"/>
      <c r="G660" s="521"/>
      <c r="H660" s="521"/>
      <c r="I660" s="521"/>
      <c r="J660" s="521"/>
      <c r="K660" s="521"/>
      <c r="L660" s="521"/>
      <c r="M660" s="521"/>
      <c r="N660" s="521"/>
      <c r="O660" s="521"/>
      <c r="P660" s="521"/>
      <c r="Q660" s="521"/>
      <c r="R660" s="521"/>
      <c r="S660" s="521"/>
      <c r="T660" s="521"/>
      <c r="U660" s="521"/>
      <c r="V660" s="521"/>
      <c r="W660" s="521"/>
      <c r="X660" s="521"/>
      <c r="Y660" s="521"/>
      <c r="Z660" s="522"/>
    </row>
    <row r="661" spans="1:26" x14ac:dyDescent="0.3">
      <c r="A661" s="521"/>
      <c r="B661" s="521"/>
      <c r="C661" s="521"/>
      <c r="D661" s="521"/>
      <c r="E661" s="521"/>
      <c r="F661" s="521"/>
      <c r="G661" s="521"/>
      <c r="H661" s="521"/>
      <c r="I661" s="521"/>
      <c r="J661" s="521"/>
      <c r="K661" s="521"/>
      <c r="L661" s="521"/>
      <c r="M661" s="521"/>
      <c r="N661" s="521"/>
      <c r="O661" s="521"/>
      <c r="P661" s="521"/>
      <c r="Q661" s="521"/>
      <c r="R661" s="521"/>
      <c r="S661" s="521"/>
      <c r="T661" s="521"/>
      <c r="U661" s="521"/>
      <c r="V661" s="521"/>
      <c r="W661" s="521"/>
      <c r="X661" s="521"/>
      <c r="Y661" s="521"/>
      <c r="Z661" s="522"/>
    </row>
    <row r="662" spans="1:26" x14ac:dyDescent="0.3">
      <c r="A662" s="521"/>
      <c r="B662" s="521"/>
      <c r="C662" s="521"/>
      <c r="D662" s="521"/>
      <c r="E662" s="521"/>
      <c r="F662" s="521"/>
      <c r="G662" s="521"/>
      <c r="H662" s="521"/>
      <c r="I662" s="521"/>
      <c r="J662" s="521"/>
      <c r="K662" s="521"/>
      <c r="L662" s="521"/>
      <c r="M662" s="521"/>
      <c r="N662" s="521"/>
      <c r="O662" s="521"/>
      <c r="P662" s="521"/>
      <c r="Q662" s="521"/>
      <c r="R662" s="521"/>
      <c r="S662" s="521"/>
      <c r="T662" s="521"/>
      <c r="U662" s="521"/>
      <c r="V662" s="521"/>
      <c r="W662" s="521"/>
      <c r="X662" s="521"/>
      <c r="Y662" s="521"/>
      <c r="Z662" s="522"/>
    </row>
    <row r="663" spans="1:26" x14ac:dyDescent="0.3">
      <c r="A663" s="521"/>
      <c r="B663" s="521"/>
      <c r="C663" s="521"/>
      <c r="D663" s="521"/>
      <c r="E663" s="521"/>
      <c r="F663" s="521"/>
      <c r="G663" s="521"/>
      <c r="H663" s="521"/>
      <c r="I663" s="521"/>
      <c r="J663" s="521"/>
      <c r="K663" s="521"/>
      <c r="L663" s="521"/>
      <c r="M663" s="521"/>
      <c r="N663" s="521"/>
      <c r="O663" s="521"/>
      <c r="P663" s="521"/>
      <c r="Q663" s="521"/>
      <c r="R663" s="521"/>
      <c r="S663" s="521"/>
      <c r="T663" s="521"/>
      <c r="U663" s="521"/>
      <c r="V663" s="521"/>
      <c r="W663" s="521"/>
      <c r="X663" s="521"/>
      <c r="Y663" s="521"/>
      <c r="Z663" s="522"/>
    </row>
    <row r="664" spans="1:26" x14ac:dyDescent="0.3">
      <c r="A664" s="521"/>
      <c r="B664" s="521"/>
      <c r="C664" s="521"/>
      <c r="D664" s="521"/>
      <c r="E664" s="521"/>
      <c r="F664" s="521"/>
      <c r="G664" s="521"/>
      <c r="H664" s="521"/>
      <c r="I664" s="521"/>
      <c r="J664" s="521"/>
      <c r="K664" s="521"/>
      <c r="L664" s="521"/>
      <c r="M664" s="521"/>
      <c r="N664" s="521"/>
      <c r="O664" s="521"/>
      <c r="P664" s="521"/>
      <c r="Q664" s="521"/>
      <c r="R664" s="521"/>
      <c r="S664" s="521"/>
      <c r="T664" s="521"/>
      <c r="U664" s="521"/>
      <c r="V664" s="521"/>
      <c r="W664" s="521"/>
      <c r="X664" s="521"/>
      <c r="Y664" s="521"/>
      <c r="Z664" s="522"/>
    </row>
    <row r="665" spans="1:26" x14ac:dyDescent="0.3">
      <c r="A665" s="521"/>
      <c r="B665" s="521"/>
      <c r="C665" s="521"/>
      <c r="D665" s="521"/>
      <c r="E665" s="521"/>
      <c r="F665" s="521"/>
      <c r="G665" s="521"/>
      <c r="H665" s="521"/>
      <c r="I665" s="521"/>
      <c r="J665" s="521"/>
      <c r="K665" s="521"/>
      <c r="L665" s="521"/>
      <c r="M665" s="521"/>
      <c r="N665" s="521"/>
      <c r="O665" s="521"/>
      <c r="P665" s="521"/>
      <c r="Q665" s="521"/>
      <c r="R665" s="521"/>
      <c r="S665" s="521"/>
      <c r="T665" s="521"/>
      <c r="U665" s="521"/>
      <c r="V665" s="521"/>
      <c r="W665" s="521"/>
      <c r="X665" s="521"/>
      <c r="Y665" s="521"/>
      <c r="Z665" s="522"/>
    </row>
    <row r="666" spans="1:26" x14ac:dyDescent="0.3">
      <c r="A666" s="521"/>
      <c r="B666" s="521"/>
      <c r="C666" s="521"/>
      <c r="D666" s="521"/>
      <c r="E666" s="521"/>
      <c r="F666" s="521"/>
      <c r="G666" s="521"/>
      <c r="H666" s="521"/>
      <c r="I666" s="521"/>
      <c r="J666" s="521"/>
      <c r="K666" s="521"/>
      <c r="L666" s="521"/>
      <c r="M666" s="521"/>
      <c r="N666" s="521"/>
      <c r="O666" s="521"/>
      <c r="P666" s="521"/>
      <c r="Q666" s="521"/>
      <c r="R666" s="521"/>
      <c r="S666" s="521"/>
      <c r="T666" s="521"/>
      <c r="U666" s="521"/>
      <c r="V666" s="521"/>
      <c r="W666" s="521"/>
      <c r="X666" s="521"/>
      <c r="Y666" s="521"/>
      <c r="Z666" s="522"/>
    </row>
    <row r="667" spans="1:26" x14ac:dyDescent="0.3">
      <c r="A667" s="521"/>
      <c r="B667" s="521"/>
      <c r="C667" s="521"/>
      <c r="D667" s="521"/>
      <c r="E667" s="521"/>
      <c r="F667" s="521"/>
      <c r="G667" s="521"/>
      <c r="H667" s="521"/>
      <c r="I667" s="521"/>
      <c r="J667" s="521"/>
      <c r="K667" s="521"/>
      <c r="L667" s="521"/>
      <c r="M667" s="521"/>
      <c r="N667" s="521"/>
      <c r="O667" s="521"/>
      <c r="P667" s="521"/>
      <c r="Q667" s="521"/>
      <c r="R667" s="521"/>
      <c r="S667" s="521"/>
      <c r="T667" s="521"/>
      <c r="U667" s="521"/>
      <c r="V667" s="521"/>
      <c r="W667" s="521"/>
      <c r="X667" s="521"/>
      <c r="Y667" s="521"/>
      <c r="Z667" s="522"/>
    </row>
    <row r="668" spans="1:26" x14ac:dyDescent="0.3">
      <c r="A668" s="521"/>
      <c r="B668" s="521"/>
      <c r="C668" s="521"/>
      <c r="D668" s="521"/>
      <c r="E668" s="521"/>
      <c r="F668" s="521"/>
      <c r="G668" s="521"/>
      <c r="H668" s="521"/>
      <c r="I668" s="521"/>
      <c r="J668" s="521"/>
      <c r="K668" s="521"/>
      <c r="L668" s="521"/>
      <c r="M668" s="521"/>
      <c r="N668" s="521"/>
      <c r="O668" s="521"/>
      <c r="P668" s="521"/>
      <c r="Q668" s="521"/>
      <c r="R668" s="521"/>
      <c r="S668" s="521"/>
      <c r="T668" s="521"/>
      <c r="U668" s="521"/>
      <c r="V668" s="521"/>
      <c r="W668" s="521"/>
      <c r="X668" s="521"/>
      <c r="Y668" s="521"/>
      <c r="Z668" s="522"/>
    </row>
    <row r="669" spans="1:26" x14ac:dyDescent="0.3">
      <c r="A669" s="521"/>
      <c r="B669" s="521"/>
      <c r="C669" s="521"/>
      <c r="D669" s="521"/>
      <c r="E669" s="521"/>
      <c r="F669" s="521"/>
      <c r="G669" s="521"/>
      <c r="H669" s="521"/>
      <c r="I669" s="521"/>
      <c r="J669" s="521"/>
      <c r="K669" s="521"/>
      <c r="L669" s="521"/>
      <c r="M669" s="521"/>
      <c r="N669" s="521"/>
      <c r="O669" s="521"/>
      <c r="P669" s="521"/>
      <c r="Q669" s="521"/>
      <c r="R669" s="521"/>
      <c r="S669" s="521"/>
      <c r="T669" s="521"/>
      <c r="U669" s="521"/>
      <c r="V669" s="521"/>
      <c r="W669" s="521"/>
      <c r="X669" s="521"/>
      <c r="Y669" s="521"/>
      <c r="Z669" s="522"/>
    </row>
    <row r="670" spans="1:26" x14ac:dyDescent="0.3">
      <c r="A670" s="521"/>
      <c r="B670" s="521"/>
      <c r="C670" s="521"/>
      <c r="D670" s="521"/>
      <c r="E670" s="521"/>
      <c r="F670" s="521"/>
      <c r="G670" s="521"/>
      <c r="H670" s="521"/>
      <c r="I670" s="521"/>
      <c r="J670" s="521"/>
      <c r="K670" s="521"/>
      <c r="L670" s="521"/>
      <c r="M670" s="521"/>
      <c r="N670" s="521"/>
      <c r="O670" s="521"/>
      <c r="P670" s="521"/>
      <c r="Q670" s="521"/>
      <c r="R670" s="521"/>
      <c r="S670" s="521"/>
      <c r="T670" s="521"/>
      <c r="U670" s="521"/>
      <c r="V670" s="521"/>
      <c r="W670" s="521"/>
      <c r="X670" s="521"/>
      <c r="Y670" s="521"/>
      <c r="Z670" s="522"/>
    </row>
    <row r="671" spans="1:26" x14ac:dyDescent="0.3">
      <c r="A671" s="521"/>
      <c r="B671" s="521"/>
      <c r="C671" s="521"/>
      <c r="D671" s="521"/>
      <c r="E671" s="521"/>
      <c r="F671" s="521"/>
      <c r="G671" s="521"/>
      <c r="H671" s="521"/>
      <c r="I671" s="521"/>
      <c r="J671" s="521"/>
      <c r="K671" s="521"/>
      <c r="L671" s="521"/>
      <c r="M671" s="521"/>
      <c r="N671" s="521"/>
      <c r="O671" s="521"/>
      <c r="P671" s="521"/>
      <c r="Q671" s="521"/>
      <c r="R671" s="521"/>
      <c r="S671" s="521"/>
      <c r="T671" s="521"/>
      <c r="U671" s="521"/>
      <c r="V671" s="521"/>
      <c r="W671" s="521"/>
      <c r="X671" s="521"/>
      <c r="Y671" s="521"/>
      <c r="Z671" s="522"/>
    </row>
    <row r="672" spans="1:26" x14ac:dyDescent="0.3">
      <c r="A672" s="521"/>
      <c r="B672" s="521"/>
      <c r="C672" s="521"/>
      <c r="D672" s="521"/>
      <c r="E672" s="521"/>
      <c r="F672" s="521"/>
      <c r="G672" s="521"/>
      <c r="H672" s="521"/>
      <c r="I672" s="521"/>
      <c r="J672" s="521"/>
      <c r="K672" s="521"/>
      <c r="L672" s="521"/>
      <c r="M672" s="521"/>
      <c r="N672" s="521"/>
      <c r="O672" s="521"/>
      <c r="P672" s="521"/>
      <c r="Q672" s="521"/>
      <c r="R672" s="521"/>
      <c r="S672" s="521"/>
      <c r="T672" s="521"/>
      <c r="U672" s="521"/>
      <c r="V672" s="521"/>
      <c r="W672" s="521"/>
      <c r="X672" s="521"/>
      <c r="Y672" s="521"/>
      <c r="Z672" s="522"/>
    </row>
    <row r="673" spans="1:26" x14ac:dyDescent="0.3">
      <c r="A673" s="521"/>
      <c r="B673" s="521"/>
      <c r="C673" s="521"/>
      <c r="D673" s="521"/>
      <c r="E673" s="521"/>
      <c r="F673" s="521"/>
      <c r="G673" s="521"/>
      <c r="H673" s="521"/>
      <c r="I673" s="521"/>
      <c r="J673" s="521"/>
      <c r="K673" s="521"/>
      <c r="L673" s="521"/>
      <c r="M673" s="521"/>
      <c r="N673" s="521"/>
      <c r="O673" s="521"/>
      <c r="P673" s="521"/>
      <c r="Q673" s="521"/>
      <c r="R673" s="521"/>
      <c r="S673" s="521"/>
      <c r="T673" s="521"/>
      <c r="U673" s="521"/>
      <c r="V673" s="521"/>
      <c r="W673" s="521"/>
      <c r="X673" s="521"/>
      <c r="Y673" s="521"/>
      <c r="Z673" s="522"/>
    </row>
    <row r="674" spans="1:26" x14ac:dyDescent="0.3">
      <c r="A674" s="521"/>
      <c r="B674" s="521"/>
      <c r="C674" s="521"/>
      <c r="D674" s="521"/>
      <c r="E674" s="521"/>
      <c r="F674" s="521"/>
      <c r="G674" s="521"/>
      <c r="H674" s="521"/>
      <c r="I674" s="521"/>
      <c r="J674" s="521"/>
      <c r="K674" s="521"/>
      <c r="L674" s="521"/>
      <c r="M674" s="521"/>
      <c r="N674" s="521"/>
      <c r="O674" s="521"/>
      <c r="P674" s="521"/>
      <c r="Q674" s="521"/>
      <c r="R674" s="521"/>
      <c r="S674" s="521"/>
      <c r="T674" s="521"/>
      <c r="U674" s="521"/>
      <c r="V674" s="521"/>
      <c r="W674" s="521"/>
      <c r="X674" s="521"/>
      <c r="Y674" s="521"/>
      <c r="Z674" s="522"/>
    </row>
    <row r="675" spans="1:26" x14ac:dyDescent="0.3">
      <c r="A675" s="521"/>
      <c r="B675" s="521"/>
      <c r="C675" s="521"/>
      <c r="D675" s="521"/>
      <c r="E675" s="521"/>
      <c r="F675" s="521"/>
      <c r="G675" s="521"/>
      <c r="H675" s="521"/>
      <c r="I675" s="521"/>
      <c r="J675" s="521"/>
      <c r="K675" s="521"/>
      <c r="L675" s="521"/>
      <c r="M675" s="521"/>
      <c r="N675" s="521"/>
      <c r="O675" s="521"/>
      <c r="P675" s="521"/>
      <c r="Q675" s="521"/>
      <c r="R675" s="521"/>
      <c r="S675" s="521"/>
      <c r="T675" s="521"/>
      <c r="U675" s="521"/>
      <c r="V675" s="521"/>
      <c r="W675" s="521"/>
      <c r="X675" s="521"/>
      <c r="Y675" s="521"/>
      <c r="Z675" s="522"/>
    </row>
    <row r="676" spans="1:26" x14ac:dyDescent="0.3">
      <c r="A676" s="521"/>
      <c r="B676" s="521"/>
      <c r="C676" s="521"/>
      <c r="D676" s="521"/>
      <c r="E676" s="521"/>
      <c r="F676" s="521"/>
      <c r="G676" s="521"/>
      <c r="H676" s="521"/>
      <c r="I676" s="521"/>
      <c r="J676" s="521"/>
      <c r="K676" s="521"/>
      <c r="L676" s="521"/>
      <c r="M676" s="521"/>
      <c r="N676" s="521"/>
      <c r="O676" s="521"/>
      <c r="P676" s="521"/>
      <c r="Q676" s="521"/>
      <c r="R676" s="521"/>
      <c r="S676" s="521"/>
      <c r="T676" s="521"/>
      <c r="U676" s="521"/>
      <c r="V676" s="521"/>
      <c r="W676" s="521"/>
      <c r="X676" s="521"/>
      <c r="Y676" s="521"/>
      <c r="Z676" s="522"/>
    </row>
    <row r="677" spans="1:26" x14ac:dyDescent="0.3">
      <c r="A677" s="521"/>
      <c r="B677" s="521"/>
      <c r="C677" s="521"/>
      <c r="D677" s="521"/>
      <c r="E677" s="521"/>
      <c r="F677" s="521"/>
      <c r="G677" s="521"/>
      <c r="H677" s="521"/>
      <c r="I677" s="521"/>
      <c r="J677" s="521"/>
      <c r="K677" s="521"/>
      <c r="L677" s="521"/>
      <c r="M677" s="521"/>
      <c r="N677" s="521"/>
      <c r="O677" s="521"/>
      <c r="P677" s="521"/>
      <c r="Q677" s="521"/>
      <c r="R677" s="521"/>
      <c r="S677" s="521"/>
      <c r="T677" s="521"/>
      <c r="U677" s="521"/>
      <c r="V677" s="521"/>
      <c r="W677" s="521"/>
      <c r="X677" s="521"/>
      <c r="Y677" s="521"/>
      <c r="Z677" s="522"/>
    </row>
    <row r="678" spans="1:26" x14ac:dyDescent="0.3">
      <c r="A678" s="521"/>
      <c r="B678" s="521"/>
      <c r="C678" s="521"/>
      <c r="D678" s="521"/>
      <c r="E678" s="521"/>
      <c r="F678" s="521"/>
      <c r="G678" s="521"/>
      <c r="H678" s="521"/>
      <c r="I678" s="521"/>
      <c r="J678" s="521"/>
      <c r="K678" s="521"/>
      <c r="L678" s="521"/>
      <c r="M678" s="521"/>
      <c r="N678" s="521"/>
      <c r="O678" s="521"/>
      <c r="P678" s="521"/>
      <c r="Q678" s="521"/>
      <c r="R678" s="521"/>
      <c r="S678" s="521"/>
      <c r="T678" s="521"/>
      <c r="U678" s="521"/>
      <c r="V678" s="521"/>
      <c r="W678" s="521"/>
      <c r="X678" s="521"/>
      <c r="Y678" s="521"/>
      <c r="Z678" s="522"/>
    </row>
    <row r="679" spans="1:26" x14ac:dyDescent="0.3">
      <c r="A679" s="521"/>
      <c r="B679" s="521"/>
      <c r="C679" s="521"/>
      <c r="D679" s="521"/>
      <c r="E679" s="521"/>
      <c r="F679" s="521"/>
      <c r="G679" s="521"/>
      <c r="H679" s="521"/>
      <c r="I679" s="521"/>
      <c r="J679" s="521"/>
      <c r="K679" s="521"/>
      <c r="L679" s="521"/>
      <c r="M679" s="521"/>
      <c r="N679" s="521"/>
      <c r="O679" s="521"/>
      <c r="P679" s="521"/>
      <c r="Q679" s="521"/>
      <c r="R679" s="521"/>
      <c r="S679" s="521"/>
      <c r="T679" s="521"/>
      <c r="U679" s="521"/>
      <c r="V679" s="521"/>
      <c r="W679" s="521"/>
      <c r="X679" s="521"/>
      <c r="Y679" s="521"/>
      <c r="Z679" s="522"/>
    </row>
    <row r="680" spans="1:26" x14ac:dyDescent="0.3">
      <c r="A680" s="521"/>
      <c r="B680" s="521"/>
      <c r="C680" s="521"/>
      <c r="D680" s="521"/>
      <c r="E680" s="521"/>
      <c r="F680" s="521"/>
      <c r="G680" s="521"/>
      <c r="H680" s="521"/>
      <c r="I680" s="521"/>
      <c r="J680" s="521"/>
      <c r="K680" s="521"/>
      <c r="L680" s="521"/>
      <c r="M680" s="521"/>
      <c r="N680" s="521"/>
      <c r="O680" s="521"/>
      <c r="P680" s="521"/>
      <c r="Q680" s="521"/>
      <c r="R680" s="521"/>
      <c r="S680" s="521"/>
      <c r="T680" s="521"/>
      <c r="U680" s="521"/>
      <c r="V680" s="521"/>
      <c r="W680" s="521"/>
      <c r="X680" s="521"/>
      <c r="Y680" s="521"/>
      <c r="Z680" s="522"/>
    </row>
    <row r="681" spans="1:26" x14ac:dyDescent="0.3">
      <c r="A681" s="521"/>
      <c r="B681" s="521"/>
      <c r="C681" s="521"/>
      <c r="D681" s="521"/>
      <c r="E681" s="521"/>
      <c r="F681" s="521"/>
      <c r="G681" s="521"/>
      <c r="H681" s="521"/>
      <c r="I681" s="521"/>
      <c r="J681" s="521"/>
      <c r="K681" s="521"/>
      <c r="L681" s="521"/>
      <c r="M681" s="521"/>
      <c r="N681" s="521"/>
      <c r="O681" s="521"/>
      <c r="P681" s="521"/>
      <c r="Q681" s="521"/>
      <c r="R681" s="521"/>
      <c r="S681" s="521"/>
      <c r="T681" s="521"/>
      <c r="U681" s="521"/>
      <c r="V681" s="521"/>
      <c r="W681" s="521"/>
      <c r="X681" s="521"/>
      <c r="Y681" s="521"/>
      <c r="Z681" s="522"/>
    </row>
    <row r="682" spans="1:26" x14ac:dyDescent="0.3">
      <c r="A682" s="521"/>
      <c r="B682" s="521"/>
      <c r="C682" s="521"/>
      <c r="D682" s="521"/>
      <c r="E682" s="521"/>
      <c r="F682" s="521"/>
      <c r="G682" s="521"/>
      <c r="H682" s="521"/>
      <c r="I682" s="521"/>
      <c r="J682" s="521"/>
      <c r="K682" s="521"/>
      <c r="L682" s="521"/>
      <c r="M682" s="521"/>
      <c r="N682" s="521"/>
      <c r="O682" s="521"/>
      <c r="P682" s="521"/>
      <c r="Q682" s="521"/>
      <c r="R682" s="521"/>
      <c r="S682" s="521"/>
      <c r="T682" s="521"/>
      <c r="U682" s="521"/>
      <c r="V682" s="521"/>
      <c r="W682" s="521"/>
      <c r="X682" s="521"/>
      <c r="Y682" s="521"/>
      <c r="Z682" s="522"/>
    </row>
    <row r="683" spans="1:26" x14ac:dyDescent="0.3">
      <c r="A683" s="521"/>
      <c r="B683" s="521"/>
      <c r="C683" s="521"/>
      <c r="D683" s="521"/>
      <c r="E683" s="521"/>
      <c r="F683" s="521"/>
      <c r="G683" s="521"/>
      <c r="H683" s="521"/>
      <c r="I683" s="521"/>
      <c r="J683" s="521"/>
      <c r="K683" s="521"/>
      <c r="L683" s="521"/>
      <c r="M683" s="521"/>
      <c r="N683" s="521"/>
      <c r="O683" s="521"/>
      <c r="P683" s="521"/>
      <c r="Q683" s="521"/>
      <c r="R683" s="521"/>
      <c r="S683" s="521"/>
      <c r="T683" s="521"/>
      <c r="U683" s="521"/>
      <c r="V683" s="521"/>
      <c r="W683" s="521"/>
      <c r="X683" s="521"/>
      <c r="Y683" s="521"/>
      <c r="Z683" s="522"/>
    </row>
    <row r="684" spans="1:26" x14ac:dyDescent="0.3">
      <c r="A684" s="521"/>
      <c r="B684" s="521"/>
      <c r="C684" s="521"/>
      <c r="D684" s="521"/>
      <c r="E684" s="521"/>
      <c r="F684" s="521"/>
      <c r="G684" s="521"/>
      <c r="H684" s="521"/>
      <c r="I684" s="521"/>
      <c r="J684" s="521"/>
      <c r="K684" s="521"/>
      <c r="L684" s="521"/>
      <c r="M684" s="521"/>
      <c r="N684" s="521"/>
      <c r="O684" s="521"/>
      <c r="P684" s="521"/>
      <c r="Q684" s="521"/>
      <c r="R684" s="521"/>
      <c r="S684" s="521"/>
      <c r="T684" s="521"/>
      <c r="U684" s="521"/>
      <c r="V684" s="521"/>
      <c r="W684" s="521"/>
      <c r="X684" s="521"/>
      <c r="Y684" s="521"/>
      <c r="Z684" s="522"/>
    </row>
    <row r="685" spans="1:26" x14ac:dyDescent="0.3">
      <c r="A685" s="521"/>
      <c r="B685" s="521"/>
      <c r="C685" s="521"/>
      <c r="D685" s="521"/>
      <c r="E685" s="521"/>
      <c r="F685" s="521"/>
      <c r="G685" s="521"/>
      <c r="H685" s="521"/>
      <c r="I685" s="521"/>
      <c r="J685" s="521"/>
      <c r="K685" s="521"/>
      <c r="L685" s="521"/>
      <c r="M685" s="521"/>
      <c r="N685" s="521"/>
      <c r="O685" s="521"/>
      <c r="P685" s="521"/>
      <c r="Q685" s="521"/>
      <c r="R685" s="521"/>
      <c r="S685" s="521"/>
      <c r="T685" s="521"/>
      <c r="U685" s="521"/>
      <c r="V685" s="521"/>
      <c r="W685" s="521"/>
      <c r="X685" s="521"/>
      <c r="Y685" s="521"/>
      <c r="Z685" s="522"/>
    </row>
    <row r="686" spans="1:26" x14ac:dyDescent="0.3">
      <c r="A686" s="521"/>
      <c r="B686" s="521"/>
      <c r="C686" s="521"/>
      <c r="D686" s="521"/>
      <c r="E686" s="521"/>
      <c r="F686" s="521"/>
      <c r="G686" s="521"/>
      <c r="H686" s="521"/>
      <c r="I686" s="521"/>
      <c r="J686" s="521"/>
      <c r="K686" s="521"/>
      <c r="L686" s="521"/>
      <c r="M686" s="521"/>
      <c r="N686" s="521"/>
      <c r="O686" s="521"/>
      <c r="P686" s="521"/>
      <c r="Q686" s="521"/>
      <c r="R686" s="521"/>
      <c r="S686" s="521"/>
      <c r="T686" s="521"/>
      <c r="U686" s="521"/>
      <c r="V686" s="521"/>
      <c r="W686" s="521"/>
      <c r="X686" s="521"/>
      <c r="Y686" s="521"/>
      <c r="Z686" s="522"/>
    </row>
    <row r="687" spans="1:26" x14ac:dyDescent="0.3">
      <c r="A687" s="521"/>
      <c r="B687" s="521"/>
      <c r="C687" s="521"/>
      <c r="D687" s="521"/>
      <c r="E687" s="521"/>
      <c r="F687" s="521"/>
      <c r="G687" s="521"/>
      <c r="H687" s="521"/>
      <c r="I687" s="521"/>
      <c r="J687" s="521"/>
      <c r="K687" s="521"/>
      <c r="L687" s="521"/>
      <c r="M687" s="521"/>
      <c r="N687" s="521"/>
      <c r="O687" s="521"/>
      <c r="P687" s="521"/>
      <c r="Q687" s="521"/>
      <c r="R687" s="521"/>
      <c r="S687" s="521"/>
      <c r="T687" s="521"/>
      <c r="U687" s="521"/>
      <c r="V687" s="521"/>
      <c r="W687" s="521"/>
      <c r="X687" s="521"/>
      <c r="Y687" s="521"/>
      <c r="Z687" s="522"/>
    </row>
    <row r="688" spans="1:26" x14ac:dyDescent="0.3">
      <c r="A688" s="521"/>
      <c r="B688" s="521"/>
      <c r="C688" s="521"/>
      <c r="D688" s="521"/>
      <c r="E688" s="521"/>
      <c r="F688" s="521"/>
      <c r="G688" s="521"/>
      <c r="H688" s="521"/>
      <c r="I688" s="521"/>
      <c r="J688" s="521"/>
      <c r="K688" s="521"/>
      <c r="L688" s="521"/>
      <c r="M688" s="521"/>
      <c r="N688" s="521"/>
      <c r="O688" s="521"/>
      <c r="P688" s="521"/>
      <c r="Q688" s="521"/>
      <c r="R688" s="521"/>
      <c r="S688" s="521"/>
      <c r="T688" s="521"/>
      <c r="U688" s="521"/>
      <c r="V688" s="521"/>
      <c r="W688" s="521"/>
      <c r="X688" s="521"/>
      <c r="Y688" s="521"/>
      <c r="Z688" s="522"/>
    </row>
    <row r="689" spans="1:26" x14ac:dyDescent="0.3">
      <c r="A689" s="521"/>
      <c r="B689" s="521"/>
      <c r="C689" s="521"/>
      <c r="D689" s="521"/>
      <c r="E689" s="521"/>
      <c r="F689" s="521"/>
      <c r="G689" s="521"/>
      <c r="H689" s="521"/>
      <c r="I689" s="521"/>
      <c r="J689" s="521"/>
      <c r="K689" s="521"/>
      <c r="L689" s="521"/>
      <c r="M689" s="521"/>
      <c r="N689" s="521"/>
      <c r="O689" s="521"/>
      <c r="P689" s="521"/>
      <c r="Q689" s="521"/>
      <c r="R689" s="521"/>
      <c r="S689" s="521"/>
      <c r="T689" s="521"/>
      <c r="U689" s="521"/>
      <c r="V689" s="521"/>
      <c r="W689" s="521"/>
      <c r="X689" s="521"/>
      <c r="Y689" s="521"/>
      <c r="Z689" s="522"/>
    </row>
    <row r="690" spans="1:26" x14ac:dyDescent="0.3">
      <c r="A690" s="521"/>
      <c r="B690" s="521"/>
      <c r="C690" s="521"/>
      <c r="D690" s="521"/>
      <c r="E690" s="521"/>
      <c r="F690" s="521"/>
      <c r="G690" s="521"/>
      <c r="H690" s="521"/>
      <c r="I690" s="521"/>
      <c r="J690" s="521"/>
      <c r="K690" s="521"/>
      <c r="L690" s="521"/>
      <c r="M690" s="521"/>
      <c r="N690" s="521"/>
      <c r="O690" s="521"/>
      <c r="P690" s="521"/>
      <c r="Q690" s="521"/>
      <c r="R690" s="521"/>
      <c r="S690" s="521"/>
      <c r="T690" s="521"/>
      <c r="U690" s="521"/>
      <c r="V690" s="521"/>
      <c r="W690" s="521"/>
      <c r="X690" s="521"/>
      <c r="Y690" s="521"/>
      <c r="Z690" s="522"/>
    </row>
    <row r="691" spans="1:26" x14ac:dyDescent="0.3">
      <c r="A691" s="521"/>
      <c r="B691" s="521"/>
      <c r="C691" s="521"/>
      <c r="D691" s="521"/>
      <c r="E691" s="521"/>
      <c r="F691" s="521"/>
      <c r="G691" s="521"/>
      <c r="H691" s="521"/>
      <c r="I691" s="521"/>
      <c r="J691" s="521"/>
      <c r="K691" s="521"/>
      <c r="L691" s="521"/>
      <c r="M691" s="521"/>
      <c r="N691" s="521"/>
      <c r="O691" s="521"/>
      <c r="P691" s="521"/>
      <c r="Q691" s="521"/>
      <c r="R691" s="521"/>
      <c r="S691" s="521"/>
      <c r="T691" s="521"/>
      <c r="U691" s="521"/>
      <c r="V691" s="521"/>
      <c r="W691" s="521"/>
      <c r="X691" s="521"/>
      <c r="Y691" s="521"/>
      <c r="Z691" s="522"/>
    </row>
    <row r="692" spans="1:26" x14ac:dyDescent="0.3">
      <c r="A692" s="521"/>
      <c r="B692" s="521"/>
      <c r="C692" s="521"/>
      <c r="D692" s="521"/>
      <c r="E692" s="521"/>
      <c r="F692" s="521"/>
      <c r="G692" s="521"/>
      <c r="H692" s="521"/>
      <c r="I692" s="521"/>
      <c r="J692" s="521"/>
      <c r="K692" s="521"/>
      <c r="L692" s="521"/>
      <c r="M692" s="521"/>
      <c r="N692" s="521"/>
      <c r="O692" s="521"/>
      <c r="P692" s="521"/>
      <c r="Q692" s="521"/>
      <c r="R692" s="521"/>
      <c r="S692" s="521"/>
      <c r="T692" s="521"/>
      <c r="U692" s="521"/>
      <c r="V692" s="521"/>
      <c r="W692" s="521"/>
      <c r="X692" s="521"/>
      <c r="Y692" s="521"/>
      <c r="Z692" s="522"/>
    </row>
    <row r="693" spans="1:26" x14ac:dyDescent="0.3">
      <c r="A693" s="521"/>
      <c r="B693" s="521"/>
      <c r="C693" s="521"/>
      <c r="D693" s="521"/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521"/>
      <c r="P693" s="521"/>
      <c r="Q693" s="521"/>
      <c r="R693" s="521"/>
      <c r="S693" s="521"/>
      <c r="T693" s="521"/>
      <c r="U693" s="521"/>
      <c r="V693" s="521"/>
      <c r="W693" s="521"/>
      <c r="X693" s="521"/>
      <c r="Y693" s="521"/>
      <c r="Z693" s="522"/>
    </row>
    <row r="694" spans="1:26" x14ac:dyDescent="0.3">
      <c r="A694" s="521"/>
      <c r="B694" s="521"/>
      <c r="C694" s="521"/>
      <c r="D694" s="521"/>
      <c r="E694" s="521"/>
      <c r="F694" s="521"/>
      <c r="G694" s="521"/>
      <c r="H694" s="521"/>
      <c r="I694" s="521"/>
      <c r="J694" s="521"/>
      <c r="K694" s="521"/>
      <c r="L694" s="521"/>
      <c r="M694" s="521"/>
      <c r="N694" s="521"/>
      <c r="O694" s="521"/>
      <c r="P694" s="521"/>
      <c r="Q694" s="521"/>
      <c r="R694" s="521"/>
      <c r="S694" s="521"/>
      <c r="T694" s="521"/>
      <c r="U694" s="521"/>
      <c r="V694" s="521"/>
      <c r="W694" s="521"/>
      <c r="X694" s="521"/>
      <c r="Y694" s="521"/>
      <c r="Z694" s="522"/>
    </row>
    <row r="695" spans="1:26" x14ac:dyDescent="0.3">
      <c r="A695" s="521"/>
      <c r="B695" s="521"/>
      <c r="C695" s="521"/>
      <c r="D695" s="521"/>
      <c r="E695" s="521"/>
      <c r="F695" s="521"/>
      <c r="G695" s="521"/>
      <c r="H695" s="521"/>
      <c r="I695" s="521"/>
      <c r="J695" s="521"/>
      <c r="K695" s="521"/>
      <c r="L695" s="521"/>
      <c r="M695" s="521"/>
      <c r="N695" s="521"/>
      <c r="O695" s="521"/>
      <c r="P695" s="521"/>
      <c r="Q695" s="521"/>
      <c r="R695" s="521"/>
      <c r="S695" s="521"/>
      <c r="T695" s="521"/>
      <c r="U695" s="521"/>
      <c r="V695" s="521"/>
      <c r="W695" s="521"/>
      <c r="X695" s="521"/>
      <c r="Y695" s="521"/>
      <c r="Z695" s="522"/>
    </row>
    <row r="696" spans="1:26" x14ac:dyDescent="0.3">
      <c r="A696" s="521"/>
      <c r="B696" s="521"/>
      <c r="C696" s="521"/>
      <c r="D696" s="521"/>
      <c r="E696" s="521"/>
      <c r="F696" s="521"/>
      <c r="G696" s="521"/>
      <c r="H696" s="521"/>
      <c r="I696" s="521"/>
      <c r="J696" s="521"/>
      <c r="K696" s="521"/>
      <c r="L696" s="521"/>
      <c r="M696" s="521"/>
      <c r="N696" s="521"/>
      <c r="O696" s="521"/>
      <c r="P696" s="521"/>
      <c r="Q696" s="521"/>
      <c r="R696" s="521"/>
      <c r="S696" s="521"/>
      <c r="T696" s="521"/>
      <c r="U696" s="521"/>
      <c r="V696" s="521"/>
      <c r="W696" s="521"/>
      <c r="X696" s="521"/>
      <c r="Y696" s="521"/>
      <c r="Z696" s="522"/>
    </row>
    <row r="697" spans="1:26" x14ac:dyDescent="0.3">
      <c r="A697" s="521"/>
      <c r="B697" s="521"/>
      <c r="C697" s="521"/>
      <c r="D697" s="521"/>
      <c r="E697" s="521"/>
      <c r="F697" s="521"/>
      <c r="G697" s="521"/>
      <c r="H697" s="521"/>
      <c r="I697" s="521"/>
      <c r="J697" s="521"/>
      <c r="K697" s="521"/>
      <c r="L697" s="521"/>
      <c r="M697" s="521"/>
      <c r="N697" s="521"/>
      <c r="O697" s="521"/>
      <c r="P697" s="521"/>
      <c r="Q697" s="521"/>
      <c r="R697" s="521"/>
      <c r="S697" s="521"/>
      <c r="T697" s="521"/>
      <c r="U697" s="521"/>
      <c r="V697" s="521"/>
      <c r="W697" s="521"/>
      <c r="X697" s="521"/>
      <c r="Y697" s="521"/>
      <c r="Z697" s="522"/>
    </row>
    <row r="698" spans="1:26" x14ac:dyDescent="0.3">
      <c r="A698" s="521"/>
      <c r="B698" s="521"/>
      <c r="C698" s="521"/>
      <c r="D698" s="521"/>
      <c r="E698" s="521"/>
      <c r="F698" s="521"/>
      <c r="G698" s="521"/>
      <c r="H698" s="521"/>
      <c r="I698" s="521"/>
      <c r="J698" s="521"/>
      <c r="K698" s="521"/>
      <c r="L698" s="521"/>
      <c r="M698" s="521"/>
      <c r="N698" s="521"/>
      <c r="O698" s="521"/>
      <c r="P698" s="521"/>
      <c r="Q698" s="521"/>
      <c r="R698" s="521"/>
      <c r="S698" s="521"/>
      <c r="T698" s="521"/>
      <c r="U698" s="521"/>
      <c r="V698" s="521"/>
      <c r="W698" s="521"/>
      <c r="X698" s="521"/>
      <c r="Y698" s="521"/>
      <c r="Z698" s="522"/>
    </row>
    <row r="699" spans="1:26" x14ac:dyDescent="0.3">
      <c r="A699" s="521"/>
      <c r="B699" s="521"/>
      <c r="C699" s="521"/>
      <c r="D699" s="521"/>
      <c r="E699" s="521"/>
      <c r="F699" s="521"/>
      <c r="G699" s="521"/>
      <c r="H699" s="521"/>
      <c r="I699" s="521"/>
      <c r="J699" s="521"/>
      <c r="K699" s="521"/>
      <c r="L699" s="521"/>
      <c r="M699" s="521"/>
      <c r="N699" s="521"/>
      <c r="O699" s="521"/>
      <c r="P699" s="521"/>
      <c r="Q699" s="521"/>
      <c r="R699" s="521"/>
      <c r="S699" s="521"/>
      <c r="T699" s="521"/>
      <c r="U699" s="521"/>
      <c r="V699" s="521"/>
      <c r="W699" s="521"/>
      <c r="X699" s="521"/>
      <c r="Y699" s="521"/>
      <c r="Z699" s="522"/>
    </row>
    <row r="700" spans="1:26" x14ac:dyDescent="0.3">
      <c r="A700" s="521"/>
      <c r="B700" s="521"/>
      <c r="C700" s="521"/>
      <c r="D700" s="521"/>
      <c r="E700" s="521"/>
      <c r="F700" s="521"/>
      <c r="G700" s="521"/>
      <c r="H700" s="521"/>
      <c r="I700" s="521"/>
      <c r="J700" s="521"/>
      <c r="K700" s="521"/>
      <c r="L700" s="521"/>
      <c r="M700" s="521"/>
      <c r="N700" s="521"/>
      <c r="O700" s="521"/>
      <c r="P700" s="521"/>
      <c r="Q700" s="521"/>
      <c r="R700" s="521"/>
      <c r="S700" s="521"/>
      <c r="T700" s="521"/>
      <c r="U700" s="521"/>
      <c r="V700" s="521"/>
      <c r="W700" s="521"/>
      <c r="X700" s="521"/>
      <c r="Y700" s="521"/>
      <c r="Z700" s="522"/>
    </row>
    <row r="701" spans="1:26" x14ac:dyDescent="0.3">
      <c r="A701" s="521"/>
      <c r="B701" s="521"/>
      <c r="C701" s="521"/>
      <c r="D701" s="521"/>
      <c r="E701" s="521"/>
      <c r="F701" s="521"/>
      <c r="G701" s="521"/>
      <c r="H701" s="521"/>
      <c r="I701" s="521"/>
      <c r="J701" s="521"/>
      <c r="K701" s="521"/>
      <c r="L701" s="521"/>
      <c r="M701" s="521"/>
      <c r="N701" s="521"/>
      <c r="O701" s="521"/>
      <c r="P701" s="521"/>
      <c r="Q701" s="521"/>
      <c r="R701" s="521"/>
      <c r="S701" s="521"/>
      <c r="T701" s="521"/>
      <c r="U701" s="521"/>
      <c r="V701" s="521"/>
      <c r="W701" s="521"/>
      <c r="X701" s="521"/>
      <c r="Y701" s="521"/>
      <c r="Z701" s="522"/>
    </row>
    <row r="702" spans="1:26" x14ac:dyDescent="0.3">
      <c r="A702" s="521"/>
      <c r="B702" s="521"/>
      <c r="C702" s="521"/>
      <c r="D702" s="521"/>
      <c r="E702" s="521"/>
      <c r="F702" s="521"/>
      <c r="G702" s="521"/>
      <c r="H702" s="521"/>
      <c r="I702" s="521"/>
      <c r="J702" s="521"/>
      <c r="K702" s="521"/>
      <c r="L702" s="521"/>
      <c r="M702" s="521"/>
      <c r="N702" s="521"/>
      <c r="O702" s="521"/>
      <c r="P702" s="521"/>
      <c r="Q702" s="521"/>
      <c r="R702" s="521"/>
      <c r="S702" s="521"/>
      <c r="T702" s="521"/>
      <c r="U702" s="521"/>
      <c r="V702" s="521"/>
      <c r="W702" s="521"/>
      <c r="X702" s="521"/>
      <c r="Y702" s="521"/>
      <c r="Z702" s="522"/>
    </row>
    <row r="703" spans="1:26" x14ac:dyDescent="0.3">
      <c r="A703" s="521"/>
      <c r="B703" s="521"/>
      <c r="C703" s="521"/>
      <c r="D703" s="521"/>
      <c r="E703" s="521"/>
      <c r="F703" s="521"/>
      <c r="G703" s="521"/>
      <c r="H703" s="521"/>
      <c r="I703" s="521"/>
      <c r="J703" s="521"/>
      <c r="K703" s="521"/>
      <c r="L703" s="521"/>
      <c r="M703" s="521"/>
      <c r="N703" s="521"/>
      <c r="O703" s="521"/>
      <c r="P703" s="521"/>
      <c r="Q703" s="521"/>
      <c r="R703" s="521"/>
      <c r="S703" s="521"/>
      <c r="T703" s="521"/>
      <c r="U703" s="521"/>
      <c r="V703" s="521"/>
      <c r="W703" s="521"/>
      <c r="X703" s="521"/>
      <c r="Y703" s="521"/>
      <c r="Z703" s="522"/>
    </row>
    <row r="704" spans="1:26" x14ac:dyDescent="0.3">
      <c r="A704" s="521"/>
      <c r="B704" s="521"/>
      <c r="C704" s="521"/>
      <c r="D704" s="521"/>
      <c r="E704" s="521"/>
      <c r="F704" s="521"/>
      <c r="G704" s="521"/>
      <c r="H704" s="521"/>
      <c r="I704" s="521"/>
      <c r="J704" s="521"/>
      <c r="K704" s="521"/>
      <c r="L704" s="521"/>
      <c r="M704" s="521"/>
      <c r="N704" s="521"/>
      <c r="O704" s="521"/>
      <c r="P704" s="521"/>
      <c r="Q704" s="521"/>
      <c r="R704" s="521"/>
      <c r="S704" s="521"/>
      <c r="T704" s="521"/>
      <c r="U704" s="521"/>
      <c r="V704" s="521"/>
      <c r="W704" s="521"/>
      <c r="X704" s="521"/>
      <c r="Y704" s="521"/>
      <c r="Z704" s="522"/>
    </row>
    <row r="705" spans="1:26" x14ac:dyDescent="0.3">
      <c r="A705" s="521"/>
      <c r="B705" s="521"/>
      <c r="C705" s="521"/>
      <c r="D705" s="521"/>
      <c r="E705" s="521"/>
      <c r="F705" s="521"/>
      <c r="G705" s="521"/>
      <c r="H705" s="521"/>
      <c r="I705" s="521"/>
      <c r="J705" s="521"/>
      <c r="K705" s="521"/>
      <c r="L705" s="521"/>
      <c r="M705" s="521"/>
      <c r="N705" s="521"/>
      <c r="O705" s="521"/>
      <c r="P705" s="521"/>
      <c r="Q705" s="521"/>
      <c r="R705" s="521"/>
      <c r="S705" s="521"/>
      <c r="T705" s="521"/>
      <c r="U705" s="521"/>
      <c r="V705" s="521"/>
      <c r="W705" s="521"/>
      <c r="X705" s="521"/>
      <c r="Y705" s="521"/>
      <c r="Z705" s="522"/>
    </row>
    <row r="706" spans="1:26" x14ac:dyDescent="0.3">
      <c r="A706" s="521"/>
      <c r="B706" s="521"/>
      <c r="C706" s="521"/>
      <c r="D706" s="521"/>
      <c r="E706" s="521"/>
      <c r="F706" s="521"/>
      <c r="G706" s="521"/>
      <c r="H706" s="521"/>
      <c r="I706" s="521"/>
      <c r="J706" s="521"/>
      <c r="K706" s="521"/>
      <c r="L706" s="521"/>
      <c r="M706" s="521"/>
      <c r="N706" s="521"/>
      <c r="O706" s="521"/>
      <c r="P706" s="521"/>
      <c r="Q706" s="521"/>
      <c r="R706" s="521"/>
      <c r="S706" s="521"/>
      <c r="T706" s="521"/>
      <c r="U706" s="521"/>
      <c r="V706" s="521"/>
      <c r="W706" s="521"/>
      <c r="X706" s="521"/>
      <c r="Y706" s="521"/>
      <c r="Z706" s="522"/>
    </row>
    <row r="707" spans="1:26" x14ac:dyDescent="0.3">
      <c r="A707" s="521"/>
      <c r="B707" s="521"/>
      <c r="C707" s="521"/>
      <c r="D707" s="521"/>
      <c r="E707" s="521"/>
      <c r="F707" s="521"/>
      <c r="G707" s="521"/>
      <c r="H707" s="521"/>
      <c r="I707" s="521"/>
      <c r="J707" s="521"/>
      <c r="K707" s="521"/>
      <c r="L707" s="521"/>
      <c r="M707" s="521"/>
      <c r="N707" s="521"/>
      <c r="O707" s="521"/>
      <c r="P707" s="521"/>
      <c r="Q707" s="521"/>
      <c r="R707" s="521"/>
      <c r="S707" s="521"/>
      <c r="T707" s="521"/>
      <c r="U707" s="521"/>
      <c r="V707" s="521"/>
      <c r="W707" s="521"/>
      <c r="X707" s="521"/>
      <c r="Y707" s="521"/>
      <c r="Z707" s="522"/>
    </row>
    <row r="708" spans="1:26" x14ac:dyDescent="0.3">
      <c r="A708" s="521"/>
      <c r="B708" s="521"/>
      <c r="C708" s="521"/>
      <c r="D708" s="521"/>
      <c r="E708" s="521"/>
      <c r="F708" s="521"/>
      <c r="G708" s="521"/>
      <c r="H708" s="521"/>
      <c r="I708" s="521"/>
      <c r="J708" s="521"/>
      <c r="K708" s="521"/>
      <c r="L708" s="521"/>
      <c r="M708" s="521"/>
      <c r="N708" s="521"/>
      <c r="O708" s="521"/>
      <c r="P708" s="521"/>
      <c r="Q708" s="521"/>
      <c r="R708" s="521"/>
      <c r="S708" s="521"/>
      <c r="T708" s="521"/>
      <c r="U708" s="521"/>
      <c r="V708" s="521"/>
      <c r="W708" s="521"/>
      <c r="X708" s="521"/>
      <c r="Y708" s="521"/>
      <c r="Z708" s="522"/>
    </row>
    <row r="709" spans="1:26" x14ac:dyDescent="0.3">
      <c r="A709" s="521"/>
      <c r="B709" s="521"/>
      <c r="C709" s="521"/>
      <c r="D709" s="521"/>
      <c r="E709" s="521"/>
      <c r="F709" s="521"/>
      <c r="G709" s="521"/>
      <c r="H709" s="521"/>
      <c r="I709" s="521"/>
      <c r="J709" s="521"/>
      <c r="K709" s="521"/>
      <c r="L709" s="521"/>
      <c r="M709" s="521"/>
      <c r="N709" s="521"/>
      <c r="O709" s="521"/>
      <c r="P709" s="521"/>
      <c r="Q709" s="521"/>
      <c r="R709" s="521"/>
      <c r="S709" s="521"/>
      <c r="T709" s="521"/>
      <c r="U709" s="521"/>
      <c r="V709" s="521"/>
      <c r="W709" s="521"/>
      <c r="X709" s="521"/>
      <c r="Y709" s="521"/>
      <c r="Z709" s="522"/>
    </row>
    <row r="710" spans="1:26" x14ac:dyDescent="0.3">
      <c r="A710" s="521"/>
      <c r="B710" s="521"/>
      <c r="C710" s="521"/>
      <c r="D710" s="521"/>
      <c r="E710" s="521"/>
      <c r="F710" s="521"/>
      <c r="G710" s="521"/>
      <c r="H710" s="521"/>
      <c r="I710" s="521"/>
      <c r="J710" s="521"/>
      <c r="K710" s="521"/>
      <c r="L710" s="521"/>
      <c r="M710" s="521"/>
      <c r="N710" s="521"/>
      <c r="O710" s="521"/>
      <c r="P710" s="521"/>
      <c r="Q710" s="521"/>
      <c r="R710" s="521"/>
      <c r="S710" s="521"/>
      <c r="T710" s="521"/>
      <c r="U710" s="521"/>
      <c r="V710" s="521"/>
      <c r="W710" s="521"/>
      <c r="X710" s="521"/>
      <c r="Y710" s="521"/>
      <c r="Z710" s="522"/>
    </row>
    <row r="711" spans="1:26" x14ac:dyDescent="0.3">
      <c r="A711" s="521"/>
      <c r="B711" s="521"/>
      <c r="C711" s="521"/>
      <c r="D711" s="521"/>
      <c r="E711" s="521"/>
      <c r="F711" s="521"/>
      <c r="G711" s="521"/>
      <c r="H711" s="521"/>
      <c r="I711" s="521"/>
      <c r="J711" s="521"/>
      <c r="K711" s="521"/>
      <c r="L711" s="521"/>
      <c r="M711" s="521"/>
      <c r="N711" s="521"/>
      <c r="O711" s="521"/>
      <c r="P711" s="521"/>
      <c r="Q711" s="521"/>
      <c r="R711" s="521"/>
      <c r="S711" s="521"/>
      <c r="T711" s="521"/>
      <c r="U711" s="521"/>
      <c r="V711" s="521"/>
      <c r="W711" s="521"/>
      <c r="X711" s="521"/>
      <c r="Y711" s="521"/>
      <c r="Z711" s="522"/>
    </row>
    <row r="712" spans="1:26" x14ac:dyDescent="0.3">
      <c r="A712" s="521"/>
      <c r="B712" s="521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2"/>
    </row>
    <row r="713" spans="1:26" x14ac:dyDescent="0.3">
      <c r="A713" s="521"/>
      <c r="B713" s="521"/>
      <c r="C713" s="521"/>
      <c r="D713" s="521"/>
      <c r="E713" s="521"/>
      <c r="F713" s="521"/>
      <c r="G713" s="521"/>
      <c r="H713" s="521"/>
      <c r="I713" s="521"/>
      <c r="J713" s="521"/>
      <c r="K713" s="521"/>
      <c r="L713" s="521"/>
      <c r="M713" s="521"/>
      <c r="N713" s="521"/>
      <c r="O713" s="521"/>
      <c r="P713" s="521"/>
      <c r="Q713" s="521"/>
      <c r="R713" s="521"/>
      <c r="S713" s="521"/>
      <c r="T713" s="521"/>
      <c r="U713" s="521"/>
      <c r="V713" s="521"/>
      <c r="W713" s="521"/>
      <c r="X713" s="521"/>
      <c r="Y713" s="521"/>
      <c r="Z713" s="522"/>
    </row>
    <row r="714" spans="1:26" x14ac:dyDescent="0.3">
      <c r="A714" s="521"/>
      <c r="B714" s="521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2"/>
    </row>
    <row r="715" spans="1:26" x14ac:dyDescent="0.3">
      <c r="A715" s="521"/>
      <c r="B715" s="521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2"/>
    </row>
    <row r="716" spans="1:26" x14ac:dyDescent="0.3">
      <c r="A716" s="521"/>
      <c r="B716" s="521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2"/>
    </row>
    <row r="717" spans="1:26" x14ac:dyDescent="0.3">
      <c r="A717" s="521"/>
      <c r="B717" s="521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2"/>
    </row>
    <row r="718" spans="1:26" x14ac:dyDescent="0.3">
      <c r="A718" s="521"/>
      <c r="B718" s="521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2"/>
    </row>
    <row r="719" spans="1:26" x14ac:dyDescent="0.3">
      <c r="A719" s="521"/>
      <c r="B719" s="521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2"/>
    </row>
    <row r="720" spans="1:26" x14ac:dyDescent="0.3">
      <c r="A720" s="521"/>
      <c r="B720" s="521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2"/>
    </row>
    <row r="721" spans="1:26" x14ac:dyDescent="0.3">
      <c r="A721" s="521"/>
      <c r="B721" s="521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2"/>
    </row>
    <row r="722" spans="1:26" x14ac:dyDescent="0.3">
      <c r="A722" s="521"/>
      <c r="B722" s="521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2"/>
    </row>
    <row r="723" spans="1:26" x14ac:dyDescent="0.3">
      <c r="A723" s="521"/>
      <c r="B723" s="521"/>
      <c r="C723" s="521"/>
      <c r="D723" s="521"/>
      <c r="E723" s="521"/>
      <c r="F723" s="521"/>
      <c r="G723" s="521"/>
      <c r="H723" s="521"/>
      <c r="I723" s="521"/>
      <c r="J723" s="521"/>
      <c r="K723" s="521"/>
      <c r="L723" s="521"/>
      <c r="M723" s="521"/>
      <c r="N723" s="521"/>
      <c r="O723" s="521"/>
      <c r="P723" s="521"/>
      <c r="Q723" s="521"/>
      <c r="R723" s="521"/>
      <c r="S723" s="521"/>
      <c r="T723" s="521"/>
      <c r="U723" s="521"/>
      <c r="V723" s="521"/>
      <c r="W723" s="521"/>
      <c r="X723" s="521"/>
      <c r="Y723" s="521"/>
      <c r="Z723" s="522"/>
    </row>
    <row r="724" spans="1:26" x14ac:dyDescent="0.3">
      <c r="A724" s="521"/>
      <c r="B724" s="521"/>
      <c r="C724" s="521"/>
      <c r="D724" s="521"/>
      <c r="E724" s="521"/>
      <c r="F724" s="521"/>
      <c r="G724" s="521"/>
      <c r="H724" s="521"/>
      <c r="I724" s="521"/>
      <c r="J724" s="521"/>
      <c r="K724" s="521"/>
      <c r="L724" s="521"/>
      <c r="M724" s="521"/>
      <c r="N724" s="521"/>
      <c r="O724" s="521"/>
      <c r="P724" s="521"/>
      <c r="Q724" s="521"/>
      <c r="R724" s="521"/>
      <c r="S724" s="521"/>
      <c r="T724" s="521"/>
      <c r="U724" s="521"/>
      <c r="V724" s="521"/>
      <c r="W724" s="521"/>
      <c r="X724" s="521"/>
      <c r="Y724" s="521"/>
      <c r="Z724" s="522"/>
    </row>
    <row r="725" spans="1:26" x14ac:dyDescent="0.3">
      <c r="A725" s="521"/>
      <c r="B725" s="521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2"/>
    </row>
    <row r="726" spans="1:26" x14ac:dyDescent="0.3">
      <c r="A726" s="521"/>
      <c r="B726" s="521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2"/>
    </row>
    <row r="727" spans="1:26" x14ac:dyDescent="0.3">
      <c r="A727" s="521"/>
      <c r="B727" s="521"/>
      <c r="C727" s="521"/>
      <c r="D727" s="521"/>
      <c r="E727" s="521"/>
      <c r="F727" s="521"/>
      <c r="G727" s="521"/>
      <c r="H727" s="521"/>
      <c r="I727" s="521"/>
      <c r="J727" s="521"/>
      <c r="K727" s="521"/>
      <c r="L727" s="521"/>
      <c r="M727" s="521"/>
      <c r="N727" s="521"/>
      <c r="O727" s="521"/>
      <c r="P727" s="521"/>
      <c r="Q727" s="521"/>
      <c r="R727" s="521"/>
      <c r="S727" s="521"/>
      <c r="T727" s="521"/>
      <c r="U727" s="521"/>
      <c r="V727" s="521"/>
      <c r="W727" s="521"/>
      <c r="X727" s="521"/>
      <c r="Y727" s="521"/>
      <c r="Z727" s="522"/>
    </row>
    <row r="728" spans="1:26" x14ac:dyDescent="0.3">
      <c r="A728" s="521"/>
      <c r="B728" s="521"/>
      <c r="C728" s="521"/>
      <c r="D728" s="521"/>
      <c r="E728" s="521"/>
      <c r="F728" s="521"/>
      <c r="G728" s="521"/>
      <c r="H728" s="521"/>
      <c r="I728" s="521"/>
      <c r="J728" s="521"/>
      <c r="K728" s="521"/>
      <c r="L728" s="521"/>
      <c r="M728" s="521"/>
      <c r="N728" s="521"/>
      <c r="O728" s="521"/>
      <c r="P728" s="521"/>
      <c r="Q728" s="521"/>
      <c r="R728" s="521"/>
      <c r="S728" s="521"/>
      <c r="T728" s="521"/>
      <c r="U728" s="521"/>
      <c r="V728" s="521"/>
      <c r="W728" s="521"/>
      <c r="X728" s="521"/>
      <c r="Y728" s="521"/>
      <c r="Z728" s="522"/>
    </row>
    <row r="729" spans="1:26" x14ac:dyDescent="0.3">
      <c r="A729" s="521"/>
      <c r="B729" s="521"/>
      <c r="C729" s="521"/>
      <c r="D729" s="521"/>
      <c r="E729" s="521"/>
      <c r="F729" s="521"/>
      <c r="G729" s="521"/>
      <c r="H729" s="521"/>
      <c r="I729" s="521"/>
      <c r="J729" s="521"/>
      <c r="K729" s="521"/>
      <c r="L729" s="521"/>
      <c r="M729" s="521"/>
      <c r="N729" s="521"/>
      <c r="O729" s="521"/>
      <c r="P729" s="521"/>
      <c r="Q729" s="521"/>
      <c r="R729" s="521"/>
      <c r="S729" s="521"/>
      <c r="T729" s="521"/>
      <c r="U729" s="521"/>
      <c r="V729" s="521"/>
      <c r="W729" s="521"/>
      <c r="X729" s="521"/>
      <c r="Y729" s="521"/>
      <c r="Z729" s="522"/>
    </row>
    <row r="730" spans="1:26" x14ac:dyDescent="0.3">
      <c r="A730" s="521"/>
      <c r="B730" s="521"/>
      <c r="C730" s="521"/>
      <c r="D730" s="521"/>
      <c r="E730" s="521"/>
      <c r="F730" s="521"/>
      <c r="G730" s="521"/>
      <c r="H730" s="521"/>
      <c r="I730" s="521"/>
      <c r="J730" s="521"/>
      <c r="K730" s="521"/>
      <c r="L730" s="521"/>
      <c r="M730" s="521"/>
      <c r="N730" s="521"/>
      <c r="O730" s="521"/>
      <c r="P730" s="521"/>
      <c r="Q730" s="521"/>
      <c r="R730" s="521"/>
      <c r="S730" s="521"/>
      <c r="T730" s="521"/>
      <c r="U730" s="521"/>
      <c r="V730" s="521"/>
      <c r="W730" s="521"/>
      <c r="X730" s="521"/>
      <c r="Y730" s="521"/>
      <c r="Z730" s="522"/>
    </row>
    <row r="731" spans="1:26" x14ac:dyDescent="0.3">
      <c r="A731" s="521"/>
      <c r="B731" s="521"/>
      <c r="C731" s="521"/>
      <c r="D731" s="521"/>
      <c r="E731" s="521"/>
      <c r="F731" s="521"/>
      <c r="G731" s="521"/>
      <c r="H731" s="521"/>
      <c r="I731" s="521"/>
      <c r="J731" s="521"/>
      <c r="K731" s="521"/>
      <c r="L731" s="521"/>
      <c r="M731" s="521"/>
      <c r="N731" s="521"/>
      <c r="O731" s="521"/>
      <c r="P731" s="521"/>
      <c r="Q731" s="521"/>
      <c r="R731" s="521"/>
      <c r="S731" s="521"/>
      <c r="T731" s="521"/>
      <c r="U731" s="521"/>
      <c r="V731" s="521"/>
      <c r="W731" s="521"/>
      <c r="X731" s="521"/>
      <c r="Y731" s="521"/>
      <c r="Z731" s="522"/>
    </row>
    <row r="732" spans="1:26" x14ac:dyDescent="0.3">
      <c r="A732" s="521"/>
      <c r="B732" s="521"/>
      <c r="C732" s="521"/>
      <c r="D732" s="521"/>
      <c r="E732" s="521"/>
      <c r="F732" s="521"/>
      <c r="G732" s="521"/>
      <c r="H732" s="521"/>
      <c r="I732" s="521"/>
      <c r="J732" s="521"/>
      <c r="K732" s="521"/>
      <c r="L732" s="521"/>
      <c r="M732" s="521"/>
      <c r="N732" s="521"/>
      <c r="O732" s="521"/>
      <c r="P732" s="521"/>
      <c r="Q732" s="521"/>
      <c r="R732" s="521"/>
      <c r="S732" s="521"/>
      <c r="T732" s="521"/>
      <c r="U732" s="521"/>
      <c r="V732" s="521"/>
      <c r="W732" s="521"/>
      <c r="X732" s="521"/>
      <c r="Y732" s="521"/>
      <c r="Z732" s="522"/>
    </row>
    <row r="733" spans="1:26" x14ac:dyDescent="0.3">
      <c r="A733" s="521"/>
      <c r="B733" s="521"/>
      <c r="C733" s="521"/>
      <c r="D733" s="521"/>
      <c r="E733" s="521"/>
      <c r="F733" s="521"/>
      <c r="G733" s="521"/>
      <c r="H733" s="521"/>
      <c r="I733" s="521"/>
      <c r="J733" s="521"/>
      <c r="K733" s="521"/>
      <c r="L733" s="521"/>
      <c r="M733" s="521"/>
      <c r="N733" s="521"/>
      <c r="O733" s="521"/>
      <c r="P733" s="521"/>
      <c r="Q733" s="521"/>
      <c r="R733" s="521"/>
      <c r="S733" s="521"/>
      <c r="T733" s="521"/>
      <c r="U733" s="521"/>
      <c r="V733" s="521"/>
      <c r="W733" s="521"/>
      <c r="X733" s="521"/>
      <c r="Y733" s="521"/>
      <c r="Z733" s="522"/>
    </row>
    <row r="734" spans="1:26" x14ac:dyDescent="0.3">
      <c r="A734" s="521"/>
      <c r="B734" s="521"/>
      <c r="C734" s="521"/>
      <c r="D734" s="521"/>
      <c r="E734" s="521"/>
      <c r="F734" s="521"/>
      <c r="G734" s="521"/>
      <c r="H734" s="521"/>
      <c r="I734" s="521"/>
      <c r="J734" s="521"/>
      <c r="K734" s="521"/>
      <c r="L734" s="521"/>
      <c r="M734" s="521"/>
      <c r="N734" s="521"/>
      <c r="O734" s="521"/>
      <c r="P734" s="521"/>
      <c r="Q734" s="521"/>
      <c r="R734" s="521"/>
      <c r="S734" s="521"/>
      <c r="T734" s="521"/>
      <c r="U734" s="521"/>
      <c r="V734" s="521"/>
      <c r="W734" s="521"/>
      <c r="X734" s="521"/>
      <c r="Y734" s="521"/>
      <c r="Z734" s="522"/>
    </row>
    <row r="735" spans="1:26" x14ac:dyDescent="0.3">
      <c r="A735" s="521"/>
      <c r="B735" s="521"/>
      <c r="C735" s="521"/>
      <c r="D735" s="521"/>
      <c r="E735" s="521"/>
      <c r="F735" s="521"/>
      <c r="G735" s="521"/>
      <c r="H735" s="521"/>
      <c r="I735" s="521"/>
      <c r="J735" s="521"/>
      <c r="K735" s="521"/>
      <c r="L735" s="521"/>
      <c r="M735" s="521"/>
      <c r="N735" s="521"/>
      <c r="O735" s="521"/>
      <c r="P735" s="521"/>
      <c r="Q735" s="521"/>
      <c r="R735" s="521"/>
      <c r="S735" s="521"/>
      <c r="T735" s="521"/>
      <c r="U735" s="521"/>
      <c r="V735" s="521"/>
      <c r="W735" s="521"/>
      <c r="X735" s="521"/>
      <c r="Y735" s="521"/>
      <c r="Z735" s="522"/>
    </row>
    <row r="736" spans="1:26" x14ac:dyDescent="0.3">
      <c r="A736" s="521"/>
      <c r="B736" s="521"/>
      <c r="C736" s="521"/>
      <c r="D736" s="521"/>
      <c r="E736" s="521"/>
      <c r="F736" s="521"/>
      <c r="G736" s="521"/>
      <c r="H736" s="521"/>
      <c r="I736" s="521"/>
      <c r="J736" s="521"/>
      <c r="K736" s="521"/>
      <c r="L736" s="521"/>
      <c r="M736" s="521"/>
      <c r="N736" s="521"/>
      <c r="O736" s="521"/>
      <c r="P736" s="521"/>
      <c r="Q736" s="521"/>
      <c r="R736" s="521"/>
      <c r="S736" s="521"/>
      <c r="T736" s="521"/>
      <c r="U736" s="521"/>
      <c r="V736" s="521"/>
      <c r="W736" s="521"/>
      <c r="X736" s="521"/>
      <c r="Y736" s="521"/>
      <c r="Z736" s="522"/>
    </row>
    <row r="737" spans="1:26" x14ac:dyDescent="0.3">
      <c r="A737" s="521"/>
      <c r="B737" s="521"/>
      <c r="C737" s="521"/>
      <c r="D737" s="521"/>
      <c r="E737" s="521"/>
      <c r="F737" s="521"/>
      <c r="G737" s="521"/>
      <c r="H737" s="521"/>
      <c r="I737" s="521"/>
      <c r="J737" s="521"/>
      <c r="K737" s="521"/>
      <c r="L737" s="521"/>
      <c r="M737" s="521"/>
      <c r="N737" s="521"/>
      <c r="O737" s="521"/>
      <c r="P737" s="521"/>
      <c r="Q737" s="521"/>
      <c r="R737" s="521"/>
      <c r="S737" s="521"/>
      <c r="T737" s="521"/>
      <c r="U737" s="521"/>
      <c r="V737" s="521"/>
      <c r="W737" s="521"/>
      <c r="X737" s="521"/>
      <c r="Y737" s="521"/>
      <c r="Z737" s="522"/>
    </row>
    <row r="738" spans="1:26" x14ac:dyDescent="0.3">
      <c r="A738" s="521"/>
      <c r="B738" s="521"/>
      <c r="C738" s="521"/>
      <c r="D738" s="521"/>
      <c r="E738" s="521"/>
      <c r="F738" s="521"/>
      <c r="G738" s="521"/>
      <c r="H738" s="521"/>
      <c r="I738" s="521"/>
      <c r="J738" s="521"/>
      <c r="K738" s="521"/>
      <c r="L738" s="521"/>
      <c r="M738" s="521"/>
      <c r="N738" s="521"/>
      <c r="O738" s="521"/>
      <c r="P738" s="521"/>
      <c r="Q738" s="521"/>
      <c r="R738" s="521"/>
      <c r="S738" s="521"/>
      <c r="T738" s="521"/>
      <c r="U738" s="521"/>
      <c r="V738" s="521"/>
      <c r="W738" s="521"/>
      <c r="X738" s="521"/>
      <c r="Y738" s="521"/>
      <c r="Z738" s="522"/>
    </row>
    <row r="739" spans="1:26" x14ac:dyDescent="0.3">
      <c r="A739" s="521"/>
      <c r="B739" s="521"/>
      <c r="C739" s="521"/>
      <c r="D739" s="521"/>
      <c r="E739" s="521"/>
      <c r="F739" s="521"/>
      <c r="G739" s="521"/>
      <c r="H739" s="521"/>
      <c r="I739" s="521"/>
      <c r="J739" s="521"/>
      <c r="K739" s="521"/>
      <c r="L739" s="521"/>
      <c r="M739" s="521"/>
      <c r="N739" s="521"/>
      <c r="O739" s="521"/>
      <c r="P739" s="521"/>
      <c r="Q739" s="521"/>
      <c r="R739" s="521"/>
      <c r="S739" s="521"/>
      <c r="T739" s="521"/>
      <c r="U739" s="521"/>
      <c r="V739" s="521"/>
      <c r="W739" s="521"/>
      <c r="X739" s="521"/>
      <c r="Y739" s="521"/>
      <c r="Z739" s="522"/>
    </row>
    <row r="740" spans="1:26" x14ac:dyDescent="0.3">
      <c r="A740" s="521"/>
      <c r="B740" s="521"/>
      <c r="C740" s="521"/>
      <c r="D740" s="521"/>
      <c r="E740" s="521"/>
      <c r="F740" s="521"/>
      <c r="G740" s="521"/>
      <c r="H740" s="521"/>
      <c r="I740" s="521"/>
      <c r="J740" s="521"/>
      <c r="K740" s="521"/>
      <c r="L740" s="521"/>
      <c r="M740" s="521"/>
      <c r="N740" s="521"/>
      <c r="O740" s="521"/>
      <c r="P740" s="521"/>
      <c r="Q740" s="521"/>
      <c r="R740" s="521"/>
      <c r="S740" s="521"/>
      <c r="T740" s="521"/>
      <c r="U740" s="521"/>
      <c r="V740" s="521"/>
      <c r="W740" s="521"/>
      <c r="X740" s="521"/>
      <c r="Y740" s="521"/>
      <c r="Z740" s="522"/>
    </row>
    <row r="741" spans="1:26" x14ac:dyDescent="0.3">
      <c r="A741" s="521"/>
      <c r="B741" s="521"/>
      <c r="C741" s="521"/>
      <c r="D741" s="521"/>
      <c r="E741" s="521"/>
      <c r="F741" s="521"/>
      <c r="G741" s="521"/>
      <c r="H741" s="521"/>
      <c r="I741" s="521"/>
      <c r="J741" s="521"/>
      <c r="K741" s="521"/>
      <c r="L741" s="521"/>
      <c r="M741" s="521"/>
      <c r="N741" s="521"/>
      <c r="O741" s="521"/>
      <c r="P741" s="521"/>
      <c r="Q741" s="521"/>
      <c r="R741" s="521"/>
      <c r="S741" s="521"/>
      <c r="T741" s="521"/>
      <c r="U741" s="521"/>
      <c r="V741" s="521"/>
      <c r="W741" s="521"/>
      <c r="X741" s="521"/>
      <c r="Y741" s="521"/>
      <c r="Z741" s="522"/>
    </row>
    <row r="742" spans="1:26" x14ac:dyDescent="0.3">
      <c r="A742" s="521"/>
      <c r="B742" s="521"/>
      <c r="C742" s="521"/>
      <c r="D742" s="521"/>
      <c r="E742" s="521"/>
      <c r="F742" s="521"/>
      <c r="G742" s="521"/>
      <c r="H742" s="521"/>
      <c r="I742" s="521"/>
      <c r="J742" s="521"/>
      <c r="K742" s="521"/>
      <c r="L742" s="521"/>
      <c r="M742" s="521"/>
      <c r="N742" s="521"/>
      <c r="O742" s="521"/>
      <c r="P742" s="521"/>
      <c r="Q742" s="521"/>
      <c r="R742" s="521"/>
      <c r="S742" s="521"/>
      <c r="T742" s="521"/>
      <c r="U742" s="521"/>
      <c r="V742" s="521"/>
      <c r="W742" s="521"/>
      <c r="X742" s="521"/>
      <c r="Y742" s="521"/>
      <c r="Z742" s="522"/>
    </row>
    <row r="743" spans="1:26" x14ac:dyDescent="0.3">
      <c r="A743" s="521"/>
      <c r="B743" s="521"/>
      <c r="C743" s="521"/>
      <c r="D743" s="521"/>
      <c r="E743" s="521"/>
      <c r="F743" s="521"/>
      <c r="G743" s="521"/>
      <c r="H743" s="521"/>
      <c r="I743" s="521"/>
      <c r="J743" s="521"/>
      <c r="K743" s="521"/>
      <c r="L743" s="521"/>
      <c r="M743" s="521"/>
      <c r="N743" s="521"/>
      <c r="O743" s="521"/>
      <c r="P743" s="521"/>
      <c r="Q743" s="521"/>
      <c r="R743" s="521"/>
      <c r="S743" s="521"/>
      <c r="T743" s="521"/>
      <c r="U743" s="521"/>
      <c r="V743" s="521"/>
      <c r="W743" s="521"/>
      <c r="X743" s="521"/>
      <c r="Y743" s="521"/>
      <c r="Z743" s="522"/>
    </row>
    <row r="744" spans="1:26" x14ac:dyDescent="0.3">
      <c r="A744" s="521"/>
      <c r="B744" s="521"/>
      <c r="C744" s="521"/>
      <c r="D744" s="521"/>
      <c r="E744" s="521"/>
      <c r="F744" s="521"/>
      <c r="G744" s="521"/>
      <c r="H744" s="521"/>
      <c r="I744" s="521"/>
      <c r="J744" s="521"/>
      <c r="K744" s="521"/>
      <c r="L744" s="521"/>
      <c r="M744" s="521"/>
      <c r="N744" s="521"/>
      <c r="O744" s="521"/>
      <c r="P744" s="521"/>
      <c r="Q744" s="521"/>
      <c r="R744" s="521"/>
      <c r="S744" s="521"/>
      <c r="T744" s="521"/>
      <c r="U744" s="521"/>
      <c r="V744" s="521"/>
      <c r="W744" s="521"/>
      <c r="X744" s="521"/>
      <c r="Y744" s="521"/>
      <c r="Z744" s="522"/>
    </row>
    <row r="745" spans="1:26" x14ac:dyDescent="0.3">
      <c r="A745" s="521"/>
      <c r="B745" s="521"/>
      <c r="C745" s="521"/>
      <c r="D745" s="521"/>
      <c r="E745" s="521"/>
      <c r="F745" s="521"/>
      <c r="G745" s="521"/>
      <c r="H745" s="521"/>
      <c r="I745" s="521"/>
      <c r="J745" s="521"/>
      <c r="K745" s="521"/>
      <c r="L745" s="521"/>
      <c r="M745" s="521"/>
      <c r="N745" s="521"/>
      <c r="O745" s="521"/>
      <c r="P745" s="521"/>
      <c r="Q745" s="521"/>
      <c r="R745" s="521"/>
      <c r="S745" s="521"/>
      <c r="T745" s="521"/>
      <c r="U745" s="521"/>
      <c r="V745" s="521"/>
      <c r="W745" s="521"/>
      <c r="X745" s="521"/>
      <c r="Y745" s="521"/>
      <c r="Z745" s="522"/>
    </row>
    <row r="746" spans="1:26" x14ac:dyDescent="0.3">
      <c r="A746" s="521"/>
      <c r="B746" s="521"/>
      <c r="C746" s="521"/>
      <c r="D746" s="521"/>
      <c r="E746" s="521"/>
      <c r="F746" s="521"/>
      <c r="G746" s="521"/>
      <c r="H746" s="521"/>
      <c r="I746" s="521"/>
      <c r="J746" s="521"/>
      <c r="K746" s="521"/>
      <c r="L746" s="521"/>
      <c r="M746" s="521"/>
      <c r="N746" s="521"/>
      <c r="O746" s="521"/>
      <c r="P746" s="521"/>
      <c r="Q746" s="521"/>
      <c r="R746" s="521"/>
      <c r="S746" s="521"/>
      <c r="T746" s="521"/>
      <c r="U746" s="521"/>
      <c r="V746" s="521"/>
      <c r="W746" s="521"/>
      <c r="X746" s="521"/>
      <c r="Y746" s="521"/>
      <c r="Z746" s="522"/>
    </row>
    <row r="747" spans="1:26" x14ac:dyDescent="0.3">
      <c r="A747" s="521"/>
      <c r="B747" s="521"/>
      <c r="C747" s="521"/>
      <c r="D747" s="521"/>
      <c r="E747" s="521"/>
      <c r="F747" s="521"/>
      <c r="G747" s="521"/>
      <c r="H747" s="521"/>
      <c r="I747" s="521"/>
      <c r="J747" s="521"/>
      <c r="K747" s="521"/>
      <c r="L747" s="521"/>
      <c r="M747" s="521"/>
      <c r="N747" s="521"/>
      <c r="O747" s="521"/>
      <c r="P747" s="521"/>
      <c r="Q747" s="521"/>
      <c r="R747" s="521"/>
      <c r="S747" s="521"/>
      <c r="T747" s="521"/>
      <c r="U747" s="521"/>
      <c r="V747" s="521"/>
      <c r="W747" s="521"/>
      <c r="X747" s="521"/>
      <c r="Y747" s="521"/>
      <c r="Z747" s="522"/>
    </row>
    <row r="748" spans="1:26" x14ac:dyDescent="0.3">
      <c r="A748" s="521"/>
      <c r="B748" s="521"/>
      <c r="C748" s="521"/>
      <c r="D748" s="521"/>
      <c r="E748" s="521"/>
      <c r="F748" s="521"/>
      <c r="G748" s="521"/>
      <c r="H748" s="521"/>
      <c r="I748" s="521"/>
      <c r="J748" s="521"/>
      <c r="K748" s="521"/>
      <c r="L748" s="521"/>
      <c r="M748" s="521"/>
      <c r="N748" s="521"/>
      <c r="O748" s="521"/>
      <c r="P748" s="521"/>
      <c r="Q748" s="521"/>
      <c r="R748" s="521"/>
      <c r="S748" s="521"/>
      <c r="T748" s="521"/>
      <c r="U748" s="521"/>
      <c r="V748" s="521"/>
      <c r="W748" s="521"/>
      <c r="X748" s="521"/>
      <c r="Y748" s="521"/>
      <c r="Z748" s="522"/>
    </row>
    <row r="749" spans="1:26" x14ac:dyDescent="0.3">
      <c r="A749" s="521"/>
      <c r="B749" s="521"/>
      <c r="C749" s="521"/>
      <c r="D749" s="521"/>
      <c r="E749" s="521"/>
      <c r="F749" s="521"/>
      <c r="G749" s="521"/>
      <c r="H749" s="521"/>
      <c r="I749" s="521"/>
      <c r="J749" s="521"/>
      <c r="K749" s="521"/>
      <c r="L749" s="521"/>
      <c r="M749" s="521"/>
      <c r="N749" s="521"/>
      <c r="O749" s="521"/>
      <c r="P749" s="521"/>
      <c r="Q749" s="521"/>
      <c r="R749" s="521"/>
      <c r="S749" s="521"/>
      <c r="T749" s="521"/>
      <c r="U749" s="521"/>
      <c r="V749" s="521"/>
      <c r="W749" s="521"/>
      <c r="X749" s="521"/>
      <c r="Y749" s="521"/>
      <c r="Z749" s="522"/>
    </row>
    <row r="750" spans="1:26" x14ac:dyDescent="0.3">
      <c r="A750" s="521"/>
      <c r="B750" s="521"/>
      <c r="C750" s="521"/>
      <c r="D750" s="521"/>
      <c r="E750" s="521"/>
      <c r="F750" s="521"/>
      <c r="G750" s="521"/>
      <c r="H750" s="521"/>
      <c r="I750" s="521"/>
      <c r="J750" s="521"/>
      <c r="K750" s="521"/>
      <c r="L750" s="521"/>
      <c r="M750" s="521"/>
      <c r="N750" s="521"/>
      <c r="O750" s="521"/>
      <c r="P750" s="521"/>
      <c r="Q750" s="521"/>
      <c r="R750" s="521"/>
      <c r="S750" s="521"/>
      <c r="T750" s="521"/>
      <c r="U750" s="521"/>
      <c r="V750" s="521"/>
      <c r="W750" s="521"/>
      <c r="X750" s="521"/>
      <c r="Y750" s="521"/>
      <c r="Z750" s="522"/>
    </row>
    <row r="751" spans="1:26" x14ac:dyDescent="0.3">
      <c r="A751" s="521"/>
      <c r="B751" s="521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2"/>
    </row>
    <row r="752" spans="1:26" x14ac:dyDescent="0.3">
      <c r="A752" s="521"/>
      <c r="B752" s="521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2"/>
    </row>
    <row r="753" spans="1:26" x14ac:dyDescent="0.3">
      <c r="A753" s="521"/>
      <c r="B753" s="521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2"/>
    </row>
    <row r="754" spans="1:26" x14ac:dyDescent="0.3">
      <c r="A754" s="521"/>
      <c r="B754" s="521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2"/>
    </row>
    <row r="755" spans="1:26" x14ac:dyDescent="0.3">
      <c r="A755" s="521"/>
      <c r="B755" s="521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2"/>
    </row>
    <row r="756" spans="1:26" x14ac:dyDescent="0.3">
      <c r="A756" s="521"/>
      <c r="B756" s="521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2"/>
    </row>
    <row r="757" spans="1:26" x14ac:dyDescent="0.3">
      <c r="A757" s="521"/>
      <c r="B757" s="521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2"/>
    </row>
    <row r="758" spans="1:26" x14ac:dyDescent="0.3">
      <c r="A758" s="521"/>
      <c r="B758" s="521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2"/>
    </row>
    <row r="759" spans="1:26" x14ac:dyDescent="0.3">
      <c r="A759" s="521"/>
      <c r="B759" s="521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2"/>
    </row>
    <row r="760" spans="1:26" x14ac:dyDescent="0.3">
      <c r="A760" s="521"/>
      <c r="B760" s="521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2"/>
    </row>
    <row r="761" spans="1:26" x14ac:dyDescent="0.3">
      <c r="A761" s="521"/>
      <c r="B761" s="521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2"/>
    </row>
    <row r="762" spans="1:26" x14ac:dyDescent="0.3">
      <c r="A762" s="521"/>
      <c r="B762" s="521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2"/>
    </row>
    <row r="763" spans="1:26" x14ac:dyDescent="0.3">
      <c r="A763" s="521"/>
      <c r="B763" s="521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2"/>
    </row>
    <row r="764" spans="1:26" x14ac:dyDescent="0.3">
      <c r="A764" s="521"/>
      <c r="B764" s="521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2"/>
    </row>
    <row r="765" spans="1:26" x14ac:dyDescent="0.3">
      <c r="A765" s="521"/>
      <c r="B765" s="521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2"/>
    </row>
    <row r="766" spans="1:26" x14ac:dyDescent="0.3">
      <c r="A766" s="521"/>
      <c r="B766" s="521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2"/>
    </row>
    <row r="767" spans="1:26" x14ac:dyDescent="0.3">
      <c r="A767" s="521"/>
      <c r="B767" s="521"/>
      <c r="C767" s="521"/>
      <c r="D767" s="521"/>
      <c r="E767" s="521"/>
      <c r="F767" s="521"/>
      <c r="G767" s="521"/>
      <c r="H767" s="521"/>
      <c r="I767" s="521"/>
      <c r="J767" s="521"/>
      <c r="K767" s="521"/>
      <c r="L767" s="521"/>
      <c r="M767" s="521"/>
      <c r="N767" s="521"/>
      <c r="O767" s="521"/>
      <c r="P767" s="521"/>
      <c r="Q767" s="521"/>
      <c r="R767" s="521"/>
      <c r="S767" s="521"/>
      <c r="T767" s="521"/>
      <c r="U767" s="521"/>
      <c r="V767" s="521"/>
      <c r="W767" s="521"/>
      <c r="X767" s="521"/>
      <c r="Y767" s="521"/>
      <c r="Z767" s="522"/>
    </row>
    <row r="768" spans="1:26" x14ac:dyDescent="0.3">
      <c r="A768" s="521"/>
      <c r="B768" s="521"/>
      <c r="C768" s="521"/>
      <c r="D768" s="521"/>
      <c r="E768" s="521"/>
      <c r="F768" s="521"/>
      <c r="G768" s="521"/>
      <c r="H768" s="521"/>
      <c r="I768" s="521"/>
      <c r="J768" s="521"/>
      <c r="K768" s="521"/>
      <c r="L768" s="521"/>
      <c r="M768" s="521"/>
      <c r="N768" s="521"/>
      <c r="O768" s="521"/>
      <c r="P768" s="521"/>
      <c r="Q768" s="521"/>
      <c r="R768" s="521"/>
      <c r="S768" s="521"/>
      <c r="T768" s="521"/>
      <c r="U768" s="521"/>
      <c r="V768" s="521"/>
      <c r="W768" s="521"/>
      <c r="X768" s="521"/>
      <c r="Y768" s="521"/>
      <c r="Z768" s="522"/>
    </row>
    <row r="769" spans="1:26" x14ac:dyDescent="0.3">
      <c r="A769" s="521"/>
      <c r="B769" s="521"/>
      <c r="C769" s="521"/>
      <c r="D769" s="521"/>
      <c r="E769" s="521"/>
      <c r="F769" s="521"/>
      <c r="G769" s="521"/>
      <c r="H769" s="521"/>
      <c r="I769" s="521"/>
      <c r="J769" s="521"/>
      <c r="K769" s="521"/>
      <c r="L769" s="521"/>
      <c r="M769" s="521"/>
      <c r="N769" s="521"/>
      <c r="O769" s="521"/>
      <c r="P769" s="521"/>
      <c r="Q769" s="521"/>
      <c r="R769" s="521"/>
      <c r="S769" s="521"/>
      <c r="T769" s="521"/>
      <c r="U769" s="521"/>
      <c r="V769" s="521"/>
      <c r="W769" s="521"/>
      <c r="X769" s="521"/>
      <c r="Y769" s="521"/>
      <c r="Z769" s="522"/>
    </row>
    <row r="770" spans="1:26" x14ac:dyDescent="0.3">
      <c r="A770" s="521"/>
      <c r="B770" s="521"/>
      <c r="C770" s="521"/>
      <c r="D770" s="521"/>
      <c r="E770" s="521"/>
      <c r="F770" s="521"/>
      <c r="G770" s="521"/>
      <c r="H770" s="521"/>
      <c r="I770" s="521"/>
      <c r="J770" s="521"/>
      <c r="K770" s="521"/>
      <c r="L770" s="521"/>
      <c r="M770" s="521"/>
      <c r="N770" s="521"/>
      <c r="O770" s="521"/>
      <c r="P770" s="521"/>
      <c r="Q770" s="521"/>
      <c r="R770" s="521"/>
      <c r="S770" s="521"/>
      <c r="T770" s="521"/>
      <c r="U770" s="521"/>
      <c r="V770" s="521"/>
      <c r="W770" s="521"/>
      <c r="X770" s="521"/>
      <c r="Y770" s="521"/>
      <c r="Z770" s="522"/>
    </row>
    <row r="771" spans="1:26" x14ac:dyDescent="0.3">
      <c r="A771" s="521"/>
      <c r="B771" s="521"/>
      <c r="C771" s="521"/>
      <c r="D771" s="521"/>
      <c r="E771" s="521"/>
      <c r="F771" s="521"/>
      <c r="G771" s="521"/>
      <c r="H771" s="521"/>
      <c r="I771" s="521"/>
      <c r="J771" s="521"/>
      <c r="K771" s="521"/>
      <c r="L771" s="521"/>
      <c r="M771" s="521"/>
      <c r="N771" s="521"/>
      <c r="O771" s="521"/>
      <c r="P771" s="521"/>
      <c r="Q771" s="521"/>
      <c r="R771" s="521"/>
      <c r="S771" s="521"/>
      <c r="T771" s="521"/>
      <c r="U771" s="521"/>
      <c r="V771" s="521"/>
      <c r="W771" s="521"/>
      <c r="X771" s="521"/>
      <c r="Y771" s="521"/>
      <c r="Z771" s="522"/>
    </row>
    <row r="772" spans="1:26" x14ac:dyDescent="0.3">
      <c r="A772" s="521"/>
      <c r="B772" s="521"/>
      <c r="C772" s="521"/>
      <c r="D772" s="521"/>
      <c r="E772" s="521"/>
      <c r="F772" s="521"/>
      <c r="G772" s="521"/>
      <c r="H772" s="521"/>
      <c r="I772" s="521"/>
      <c r="J772" s="521"/>
      <c r="K772" s="521"/>
      <c r="L772" s="521"/>
      <c r="M772" s="521"/>
      <c r="N772" s="521"/>
      <c r="O772" s="521"/>
      <c r="P772" s="521"/>
      <c r="Q772" s="521"/>
      <c r="R772" s="521"/>
      <c r="S772" s="521"/>
      <c r="T772" s="521"/>
      <c r="U772" s="521"/>
      <c r="V772" s="521"/>
      <c r="W772" s="521"/>
      <c r="X772" s="521"/>
      <c r="Y772" s="521"/>
      <c r="Z772" s="522"/>
    </row>
    <row r="773" spans="1:26" x14ac:dyDescent="0.3">
      <c r="A773" s="521"/>
      <c r="B773" s="521"/>
      <c r="C773" s="521"/>
      <c r="D773" s="521"/>
      <c r="E773" s="521"/>
      <c r="F773" s="521"/>
      <c r="G773" s="521"/>
      <c r="H773" s="521"/>
      <c r="I773" s="521"/>
      <c r="J773" s="521"/>
      <c r="K773" s="521"/>
      <c r="L773" s="521"/>
      <c r="M773" s="521"/>
      <c r="N773" s="521"/>
      <c r="O773" s="521"/>
      <c r="P773" s="521"/>
      <c r="Q773" s="521"/>
      <c r="R773" s="521"/>
      <c r="S773" s="521"/>
      <c r="T773" s="521"/>
      <c r="U773" s="521"/>
      <c r="V773" s="521"/>
      <c r="W773" s="521"/>
      <c r="X773" s="521"/>
      <c r="Y773" s="521"/>
      <c r="Z773" s="522"/>
    </row>
    <row r="774" spans="1:26" x14ac:dyDescent="0.3">
      <c r="A774" s="521"/>
      <c r="B774" s="521"/>
      <c r="C774" s="521"/>
      <c r="D774" s="521"/>
      <c r="E774" s="521"/>
      <c r="F774" s="521"/>
      <c r="G774" s="521"/>
      <c r="H774" s="521"/>
      <c r="I774" s="521"/>
      <c r="J774" s="521"/>
      <c r="K774" s="521"/>
      <c r="L774" s="521"/>
      <c r="M774" s="521"/>
      <c r="N774" s="521"/>
      <c r="O774" s="521"/>
      <c r="P774" s="521"/>
      <c r="Q774" s="521"/>
      <c r="R774" s="521"/>
      <c r="S774" s="521"/>
      <c r="T774" s="521"/>
      <c r="U774" s="521"/>
      <c r="V774" s="521"/>
      <c r="W774" s="521"/>
      <c r="X774" s="521"/>
      <c r="Y774" s="521"/>
      <c r="Z774" s="522"/>
    </row>
    <row r="775" spans="1:26" x14ac:dyDescent="0.3">
      <c r="A775" s="521"/>
      <c r="B775" s="521"/>
      <c r="C775" s="521"/>
      <c r="D775" s="521"/>
      <c r="E775" s="521"/>
      <c r="F775" s="521"/>
      <c r="G775" s="521"/>
      <c r="H775" s="521"/>
      <c r="I775" s="521"/>
      <c r="J775" s="521"/>
      <c r="K775" s="521"/>
      <c r="L775" s="521"/>
      <c r="M775" s="521"/>
      <c r="N775" s="521"/>
      <c r="O775" s="521"/>
      <c r="P775" s="521"/>
      <c r="Q775" s="521"/>
      <c r="R775" s="521"/>
      <c r="S775" s="521"/>
      <c r="T775" s="521"/>
      <c r="U775" s="521"/>
      <c r="V775" s="521"/>
      <c r="W775" s="521"/>
      <c r="X775" s="521"/>
      <c r="Y775" s="521"/>
      <c r="Z775" s="522"/>
    </row>
    <row r="776" spans="1:26" x14ac:dyDescent="0.3">
      <c r="A776" s="521"/>
      <c r="B776" s="521"/>
      <c r="C776" s="521"/>
      <c r="D776" s="521"/>
      <c r="E776" s="521"/>
      <c r="F776" s="521"/>
      <c r="G776" s="521"/>
      <c r="H776" s="521"/>
      <c r="I776" s="521"/>
      <c r="J776" s="521"/>
      <c r="K776" s="521"/>
      <c r="L776" s="521"/>
      <c r="M776" s="521"/>
      <c r="N776" s="521"/>
      <c r="O776" s="521"/>
      <c r="P776" s="521"/>
      <c r="Q776" s="521"/>
      <c r="R776" s="521"/>
      <c r="S776" s="521"/>
      <c r="T776" s="521"/>
      <c r="U776" s="521"/>
      <c r="V776" s="521"/>
      <c r="W776" s="521"/>
      <c r="X776" s="521"/>
      <c r="Y776" s="521"/>
      <c r="Z776" s="522"/>
    </row>
    <row r="777" spans="1:26" x14ac:dyDescent="0.3">
      <c r="A777" s="521"/>
      <c r="B777" s="521"/>
      <c r="C777" s="521"/>
      <c r="D777" s="521"/>
      <c r="E777" s="521"/>
      <c r="F777" s="521"/>
      <c r="G777" s="521"/>
      <c r="H777" s="521"/>
      <c r="I777" s="521"/>
      <c r="J777" s="521"/>
      <c r="K777" s="521"/>
      <c r="L777" s="521"/>
      <c r="M777" s="521"/>
      <c r="N777" s="521"/>
      <c r="O777" s="521"/>
      <c r="P777" s="521"/>
      <c r="Q777" s="521"/>
      <c r="R777" s="521"/>
      <c r="S777" s="521"/>
      <c r="T777" s="521"/>
      <c r="U777" s="521"/>
      <c r="V777" s="521"/>
      <c r="W777" s="521"/>
      <c r="X777" s="521"/>
      <c r="Y777" s="521"/>
      <c r="Z777" s="522"/>
    </row>
    <row r="778" spans="1:26" x14ac:dyDescent="0.3">
      <c r="A778" s="521"/>
      <c r="B778" s="521"/>
      <c r="C778" s="521"/>
      <c r="D778" s="521"/>
      <c r="E778" s="521"/>
      <c r="F778" s="521"/>
      <c r="G778" s="521"/>
      <c r="H778" s="521"/>
      <c r="I778" s="521"/>
      <c r="J778" s="521"/>
      <c r="K778" s="521"/>
      <c r="L778" s="521"/>
      <c r="M778" s="521"/>
      <c r="N778" s="521"/>
      <c r="O778" s="521"/>
      <c r="P778" s="521"/>
      <c r="Q778" s="521"/>
      <c r="R778" s="521"/>
      <c r="S778" s="521"/>
      <c r="T778" s="521"/>
      <c r="U778" s="521"/>
      <c r="V778" s="521"/>
      <c r="W778" s="521"/>
      <c r="X778" s="521"/>
      <c r="Y778" s="521"/>
      <c r="Z778" s="522"/>
    </row>
    <row r="779" spans="1:26" x14ac:dyDescent="0.3">
      <c r="A779" s="521"/>
      <c r="B779" s="521"/>
      <c r="C779" s="521"/>
      <c r="D779" s="521"/>
      <c r="E779" s="521"/>
      <c r="F779" s="521"/>
      <c r="G779" s="521"/>
      <c r="H779" s="521"/>
      <c r="I779" s="521"/>
      <c r="J779" s="521"/>
      <c r="K779" s="521"/>
      <c r="L779" s="521"/>
      <c r="M779" s="521"/>
      <c r="N779" s="521"/>
      <c r="O779" s="521"/>
      <c r="P779" s="521"/>
      <c r="Q779" s="521"/>
      <c r="R779" s="521"/>
      <c r="S779" s="521"/>
      <c r="T779" s="521"/>
      <c r="U779" s="521"/>
      <c r="V779" s="521"/>
      <c r="W779" s="521"/>
      <c r="X779" s="521"/>
      <c r="Y779" s="521"/>
      <c r="Z779" s="522"/>
    </row>
    <row r="780" spans="1:26" x14ac:dyDescent="0.3">
      <c r="A780" s="521"/>
      <c r="B780" s="521"/>
      <c r="C780" s="521"/>
      <c r="D780" s="521"/>
      <c r="E780" s="521"/>
      <c r="F780" s="521"/>
      <c r="G780" s="521"/>
      <c r="H780" s="521"/>
      <c r="I780" s="521"/>
      <c r="J780" s="521"/>
      <c r="K780" s="521"/>
      <c r="L780" s="521"/>
      <c r="M780" s="521"/>
      <c r="N780" s="521"/>
      <c r="O780" s="521"/>
      <c r="P780" s="521"/>
      <c r="Q780" s="521"/>
      <c r="R780" s="521"/>
      <c r="S780" s="521"/>
      <c r="T780" s="521"/>
      <c r="U780" s="521"/>
      <c r="V780" s="521"/>
      <c r="W780" s="521"/>
      <c r="X780" s="521"/>
      <c r="Y780" s="521"/>
      <c r="Z780" s="522"/>
    </row>
    <row r="781" spans="1:26" x14ac:dyDescent="0.3">
      <c r="A781" s="521"/>
      <c r="B781" s="521"/>
      <c r="C781" s="521"/>
      <c r="D781" s="521"/>
      <c r="E781" s="521"/>
      <c r="F781" s="521"/>
      <c r="G781" s="521"/>
      <c r="H781" s="521"/>
      <c r="I781" s="521"/>
      <c r="J781" s="521"/>
      <c r="K781" s="521"/>
      <c r="L781" s="521"/>
      <c r="M781" s="521"/>
      <c r="N781" s="521"/>
      <c r="O781" s="521"/>
      <c r="P781" s="521"/>
      <c r="Q781" s="521"/>
      <c r="R781" s="521"/>
      <c r="S781" s="521"/>
      <c r="T781" s="521"/>
      <c r="U781" s="521"/>
      <c r="V781" s="521"/>
      <c r="W781" s="521"/>
      <c r="X781" s="521"/>
      <c r="Y781" s="521"/>
      <c r="Z781" s="522"/>
    </row>
    <row r="782" spans="1:26" x14ac:dyDescent="0.3">
      <c r="A782" s="521"/>
      <c r="B782" s="521"/>
      <c r="C782" s="521"/>
      <c r="D782" s="521"/>
      <c r="E782" s="521"/>
      <c r="F782" s="521"/>
      <c r="G782" s="521"/>
      <c r="H782" s="521"/>
      <c r="I782" s="521"/>
      <c r="J782" s="521"/>
      <c r="K782" s="521"/>
      <c r="L782" s="521"/>
      <c r="M782" s="521"/>
      <c r="N782" s="521"/>
      <c r="O782" s="521"/>
      <c r="P782" s="521"/>
      <c r="Q782" s="521"/>
      <c r="R782" s="521"/>
      <c r="S782" s="521"/>
      <c r="T782" s="521"/>
      <c r="U782" s="521"/>
      <c r="V782" s="521"/>
      <c r="W782" s="521"/>
      <c r="X782" s="521"/>
      <c r="Y782" s="521"/>
      <c r="Z782" s="522"/>
    </row>
    <row r="783" spans="1:26" x14ac:dyDescent="0.3">
      <c r="A783" s="521"/>
      <c r="B783" s="521"/>
      <c r="C783" s="521"/>
      <c r="D783" s="521"/>
      <c r="E783" s="521"/>
      <c r="F783" s="521"/>
      <c r="G783" s="521"/>
      <c r="H783" s="521"/>
      <c r="I783" s="521"/>
      <c r="J783" s="521"/>
      <c r="K783" s="521"/>
      <c r="L783" s="521"/>
      <c r="M783" s="521"/>
      <c r="N783" s="521"/>
      <c r="O783" s="521"/>
      <c r="P783" s="521"/>
      <c r="Q783" s="521"/>
      <c r="R783" s="521"/>
      <c r="S783" s="521"/>
      <c r="T783" s="521"/>
      <c r="U783" s="521"/>
      <c r="V783" s="521"/>
      <c r="W783" s="521"/>
      <c r="X783" s="521"/>
      <c r="Y783" s="521"/>
      <c r="Z783" s="522"/>
    </row>
    <row r="784" spans="1:26" x14ac:dyDescent="0.3">
      <c r="A784" s="521"/>
      <c r="B784" s="521"/>
      <c r="C784" s="521"/>
      <c r="D784" s="521"/>
      <c r="E784" s="521"/>
      <c r="F784" s="521"/>
      <c r="G784" s="521"/>
      <c r="H784" s="521"/>
      <c r="I784" s="521"/>
      <c r="J784" s="521"/>
      <c r="K784" s="521"/>
      <c r="L784" s="521"/>
      <c r="M784" s="521"/>
      <c r="N784" s="521"/>
      <c r="O784" s="521"/>
      <c r="P784" s="521"/>
      <c r="Q784" s="521"/>
      <c r="R784" s="521"/>
      <c r="S784" s="521"/>
      <c r="T784" s="521"/>
      <c r="U784" s="521"/>
      <c r="V784" s="521"/>
      <c r="W784" s="521"/>
      <c r="X784" s="521"/>
      <c r="Y784" s="521"/>
      <c r="Z784" s="522"/>
    </row>
    <row r="785" spans="1:26" x14ac:dyDescent="0.3">
      <c r="A785" s="521"/>
      <c r="B785" s="521"/>
      <c r="C785" s="521"/>
      <c r="D785" s="521"/>
      <c r="E785" s="521"/>
      <c r="F785" s="521"/>
      <c r="G785" s="521"/>
      <c r="H785" s="521"/>
      <c r="I785" s="521"/>
      <c r="J785" s="521"/>
      <c r="K785" s="521"/>
      <c r="L785" s="521"/>
      <c r="M785" s="521"/>
      <c r="N785" s="521"/>
      <c r="O785" s="521"/>
      <c r="P785" s="521"/>
      <c r="Q785" s="521"/>
      <c r="R785" s="521"/>
      <c r="S785" s="521"/>
      <c r="T785" s="521"/>
      <c r="U785" s="521"/>
      <c r="V785" s="521"/>
      <c r="W785" s="521"/>
      <c r="X785" s="521"/>
      <c r="Y785" s="521"/>
      <c r="Z785" s="522"/>
    </row>
    <row r="786" spans="1:26" x14ac:dyDescent="0.3">
      <c r="A786" s="521"/>
      <c r="B786" s="521"/>
      <c r="C786" s="521"/>
      <c r="D786" s="521"/>
      <c r="E786" s="521"/>
      <c r="F786" s="521"/>
      <c r="G786" s="521"/>
      <c r="H786" s="521"/>
      <c r="I786" s="521"/>
      <c r="J786" s="521"/>
      <c r="K786" s="521"/>
      <c r="L786" s="521"/>
      <c r="M786" s="521"/>
      <c r="N786" s="521"/>
      <c r="O786" s="521"/>
      <c r="P786" s="521"/>
      <c r="Q786" s="521"/>
      <c r="R786" s="521"/>
      <c r="S786" s="521"/>
      <c r="T786" s="521"/>
      <c r="U786" s="521"/>
      <c r="V786" s="521"/>
      <c r="W786" s="521"/>
      <c r="X786" s="521"/>
      <c r="Y786" s="521"/>
      <c r="Z786" s="522"/>
    </row>
    <row r="787" spans="1:26" x14ac:dyDescent="0.3">
      <c r="A787" s="521"/>
      <c r="B787" s="521"/>
      <c r="C787" s="521"/>
      <c r="D787" s="521"/>
      <c r="E787" s="521"/>
      <c r="F787" s="521"/>
      <c r="G787" s="521"/>
      <c r="H787" s="521"/>
      <c r="I787" s="521"/>
      <c r="J787" s="521"/>
      <c r="K787" s="521"/>
      <c r="L787" s="521"/>
      <c r="M787" s="521"/>
      <c r="N787" s="521"/>
      <c r="O787" s="521"/>
      <c r="P787" s="521"/>
      <c r="Q787" s="521"/>
      <c r="R787" s="521"/>
      <c r="S787" s="521"/>
      <c r="T787" s="521"/>
      <c r="U787" s="521"/>
      <c r="V787" s="521"/>
      <c r="W787" s="521"/>
      <c r="X787" s="521"/>
      <c r="Y787" s="521"/>
      <c r="Z787" s="522"/>
    </row>
    <row r="788" spans="1:26" x14ac:dyDescent="0.3">
      <c r="A788" s="521"/>
      <c r="B788" s="521"/>
      <c r="C788" s="521"/>
      <c r="D788" s="521"/>
      <c r="E788" s="521"/>
      <c r="F788" s="521"/>
      <c r="G788" s="521"/>
      <c r="H788" s="521"/>
      <c r="I788" s="521"/>
      <c r="J788" s="521"/>
      <c r="K788" s="521"/>
      <c r="L788" s="521"/>
      <c r="M788" s="521"/>
      <c r="N788" s="521"/>
      <c r="O788" s="521"/>
      <c r="P788" s="521"/>
      <c r="Q788" s="521"/>
      <c r="R788" s="521"/>
      <c r="S788" s="521"/>
      <c r="T788" s="521"/>
      <c r="U788" s="521"/>
      <c r="V788" s="521"/>
      <c r="W788" s="521"/>
      <c r="X788" s="521"/>
      <c r="Y788" s="521"/>
      <c r="Z788" s="522"/>
    </row>
    <row r="789" spans="1:26" x14ac:dyDescent="0.3">
      <c r="A789" s="521"/>
      <c r="B789" s="521"/>
      <c r="C789" s="521"/>
      <c r="D789" s="521"/>
      <c r="E789" s="521"/>
      <c r="F789" s="521"/>
      <c r="G789" s="521"/>
      <c r="H789" s="521"/>
      <c r="I789" s="521"/>
      <c r="J789" s="521"/>
      <c r="K789" s="521"/>
      <c r="L789" s="521"/>
      <c r="M789" s="521"/>
      <c r="N789" s="521"/>
      <c r="O789" s="521"/>
      <c r="P789" s="521"/>
      <c r="Q789" s="521"/>
      <c r="R789" s="521"/>
      <c r="S789" s="521"/>
      <c r="T789" s="521"/>
      <c r="U789" s="521"/>
      <c r="V789" s="521"/>
      <c r="W789" s="521"/>
      <c r="X789" s="521"/>
      <c r="Y789" s="521"/>
      <c r="Z789" s="522"/>
    </row>
    <row r="790" spans="1:26" x14ac:dyDescent="0.3">
      <c r="A790" s="521"/>
      <c r="B790" s="521"/>
      <c r="C790" s="521"/>
      <c r="D790" s="521"/>
      <c r="E790" s="521"/>
      <c r="F790" s="521"/>
      <c r="G790" s="521"/>
      <c r="H790" s="521"/>
      <c r="I790" s="521"/>
      <c r="J790" s="521"/>
      <c r="K790" s="521"/>
      <c r="L790" s="521"/>
      <c r="M790" s="521"/>
      <c r="N790" s="521"/>
      <c r="O790" s="521"/>
      <c r="P790" s="521"/>
      <c r="Q790" s="521"/>
      <c r="R790" s="521"/>
      <c r="S790" s="521"/>
      <c r="T790" s="521"/>
      <c r="U790" s="521"/>
      <c r="V790" s="521"/>
      <c r="W790" s="521"/>
      <c r="X790" s="521"/>
      <c r="Y790" s="521"/>
      <c r="Z790" s="522"/>
    </row>
    <row r="791" spans="1:26" x14ac:dyDescent="0.3">
      <c r="A791" s="521"/>
      <c r="B791" s="521"/>
      <c r="C791" s="521"/>
      <c r="D791" s="521"/>
      <c r="E791" s="521"/>
      <c r="F791" s="521"/>
      <c r="G791" s="521"/>
      <c r="H791" s="521"/>
      <c r="I791" s="521"/>
      <c r="J791" s="521"/>
      <c r="K791" s="521"/>
      <c r="L791" s="521"/>
      <c r="M791" s="521"/>
      <c r="N791" s="521"/>
      <c r="O791" s="521"/>
      <c r="P791" s="521"/>
      <c r="Q791" s="521"/>
      <c r="R791" s="521"/>
      <c r="S791" s="521"/>
      <c r="T791" s="521"/>
      <c r="U791" s="521"/>
      <c r="V791" s="521"/>
      <c r="W791" s="521"/>
      <c r="X791" s="521"/>
      <c r="Y791" s="521"/>
      <c r="Z791" s="522"/>
    </row>
    <row r="792" spans="1:26" x14ac:dyDescent="0.3">
      <c r="A792" s="521"/>
      <c r="B792" s="521"/>
      <c r="C792" s="521"/>
      <c r="D792" s="521"/>
      <c r="E792" s="521"/>
      <c r="F792" s="521"/>
      <c r="G792" s="521"/>
      <c r="H792" s="521"/>
      <c r="I792" s="521"/>
      <c r="J792" s="521"/>
      <c r="K792" s="521"/>
      <c r="L792" s="521"/>
      <c r="M792" s="521"/>
      <c r="N792" s="521"/>
      <c r="O792" s="521"/>
      <c r="P792" s="521"/>
      <c r="Q792" s="521"/>
      <c r="R792" s="521"/>
      <c r="S792" s="521"/>
      <c r="T792" s="521"/>
      <c r="U792" s="521"/>
      <c r="V792" s="521"/>
      <c r="W792" s="521"/>
      <c r="X792" s="521"/>
      <c r="Y792" s="521"/>
      <c r="Z792" s="522"/>
    </row>
    <row r="793" spans="1:26" x14ac:dyDescent="0.3">
      <c r="A793" s="521"/>
      <c r="B793" s="521"/>
      <c r="C793" s="521"/>
      <c r="D793" s="521"/>
      <c r="E793" s="521"/>
      <c r="F793" s="521"/>
      <c r="G793" s="521"/>
      <c r="H793" s="521"/>
      <c r="I793" s="521"/>
      <c r="J793" s="521"/>
      <c r="K793" s="521"/>
      <c r="L793" s="521"/>
      <c r="M793" s="521"/>
      <c r="N793" s="521"/>
      <c r="O793" s="521"/>
      <c r="P793" s="521"/>
      <c r="Q793" s="521"/>
      <c r="R793" s="521"/>
      <c r="S793" s="521"/>
      <c r="T793" s="521"/>
      <c r="U793" s="521"/>
      <c r="V793" s="521"/>
      <c r="W793" s="521"/>
      <c r="X793" s="521"/>
      <c r="Y793" s="521"/>
      <c r="Z793" s="522"/>
    </row>
    <row r="794" spans="1:26" x14ac:dyDescent="0.3">
      <c r="A794" s="521"/>
      <c r="B794" s="521"/>
      <c r="C794" s="521"/>
      <c r="D794" s="521"/>
      <c r="E794" s="521"/>
      <c r="F794" s="521"/>
      <c r="G794" s="521"/>
      <c r="H794" s="521"/>
      <c r="I794" s="521"/>
      <c r="J794" s="521"/>
      <c r="K794" s="521"/>
      <c r="L794" s="521"/>
      <c r="M794" s="521"/>
      <c r="N794" s="521"/>
      <c r="O794" s="521"/>
      <c r="P794" s="521"/>
      <c r="Q794" s="521"/>
      <c r="R794" s="521"/>
      <c r="S794" s="521"/>
      <c r="T794" s="521"/>
      <c r="U794" s="521"/>
      <c r="V794" s="521"/>
      <c r="W794" s="521"/>
      <c r="X794" s="521"/>
      <c r="Y794" s="521"/>
      <c r="Z794" s="522"/>
    </row>
    <row r="795" spans="1:26" x14ac:dyDescent="0.3">
      <c r="A795" s="521"/>
      <c r="B795" s="521"/>
      <c r="C795" s="521"/>
      <c r="D795" s="521"/>
      <c r="E795" s="521"/>
      <c r="F795" s="521"/>
      <c r="G795" s="521"/>
      <c r="H795" s="521"/>
      <c r="I795" s="521"/>
      <c r="J795" s="521"/>
      <c r="K795" s="521"/>
      <c r="L795" s="521"/>
      <c r="M795" s="521"/>
      <c r="N795" s="521"/>
      <c r="O795" s="521"/>
      <c r="P795" s="521"/>
      <c r="Q795" s="521"/>
      <c r="R795" s="521"/>
      <c r="S795" s="521"/>
      <c r="T795" s="521"/>
      <c r="U795" s="521"/>
      <c r="V795" s="521"/>
      <c r="W795" s="521"/>
      <c r="X795" s="521"/>
      <c r="Y795" s="521"/>
      <c r="Z795" s="522"/>
    </row>
    <row r="796" spans="1:26" x14ac:dyDescent="0.3">
      <c r="A796" s="521"/>
      <c r="B796" s="521"/>
      <c r="C796" s="521"/>
      <c r="D796" s="521"/>
      <c r="E796" s="521"/>
      <c r="F796" s="521"/>
      <c r="G796" s="521"/>
      <c r="H796" s="521"/>
      <c r="I796" s="521"/>
      <c r="J796" s="521"/>
      <c r="K796" s="521"/>
      <c r="L796" s="521"/>
      <c r="M796" s="521"/>
      <c r="N796" s="521"/>
      <c r="O796" s="521"/>
      <c r="P796" s="521"/>
      <c r="Q796" s="521"/>
      <c r="R796" s="521"/>
      <c r="S796" s="521"/>
      <c r="T796" s="521"/>
      <c r="U796" s="521"/>
      <c r="V796" s="521"/>
      <c r="W796" s="521"/>
      <c r="X796" s="521"/>
      <c r="Y796" s="521"/>
      <c r="Z796" s="522"/>
    </row>
    <row r="797" spans="1:26" x14ac:dyDescent="0.3">
      <c r="A797" s="521"/>
      <c r="B797" s="521"/>
      <c r="C797" s="521"/>
      <c r="D797" s="521"/>
      <c r="E797" s="521"/>
      <c r="F797" s="521"/>
      <c r="G797" s="521"/>
      <c r="H797" s="521"/>
      <c r="I797" s="521"/>
      <c r="J797" s="521"/>
      <c r="K797" s="521"/>
      <c r="L797" s="521"/>
      <c r="M797" s="521"/>
      <c r="N797" s="521"/>
      <c r="O797" s="521"/>
      <c r="P797" s="521"/>
      <c r="Q797" s="521"/>
      <c r="R797" s="521"/>
      <c r="S797" s="521"/>
      <c r="T797" s="521"/>
      <c r="U797" s="521"/>
      <c r="V797" s="521"/>
      <c r="W797" s="521"/>
      <c r="X797" s="521"/>
      <c r="Y797" s="521"/>
      <c r="Z797" s="522"/>
    </row>
    <row r="798" spans="1:26" x14ac:dyDescent="0.3">
      <c r="A798" s="521"/>
      <c r="B798" s="521"/>
      <c r="C798" s="521"/>
      <c r="D798" s="521"/>
      <c r="E798" s="521"/>
      <c r="F798" s="521"/>
      <c r="G798" s="521"/>
      <c r="H798" s="521"/>
      <c r="I798" s="521"/>
      <c r="J798" s="521"/>
      <c r="K798" s="521"/>
      <c r="L798" s="521"/>
      <c r="M798" s="521"/>
      <c r="N798" s="521"/>
      <c r="O798" s="521"/>
      <c r="P798" s="521"/>
      <c r="Q798" s="521"/>
      <c r="R798" s="521"/>
      <c r="S798" s="521"/>
      <c r="T798" s="521"/>
      <c r="U798" s="521"/>
      <c r="V798" s="521"/>
      <c r="W798" s="521"/>
      <c r="X798" s="521"/>
      <c r="Y798" s="521"/>
      <c r="Z798" s="522"/>
    </row>
    <row r="799" spans="1:26" x14ac:dyDescent="0.3">
      <c r="A799" s="521"/>
      <c r="B799" s="521"/>
      <c r="C799" s="521"/>
      <c r="D799" s="521"/>
      <c r="E799" s="521"/>
      <c r="F799" s="521"/>
      <c r="G799" s="521"/>
      <c r="H799" s="521"/>
      <c r="I799" s="521"/>
      <c r="J799" s="521"/>
      <c r="K799" s="521"/>
      <c r="L799" s="521"/>
      <c r="M799" s="521"/>
      <c r="N799" s="521"/>
      <c r="O799" s="521"/>
      <c r="P799" s="521"/>
      <c r="Q799" s="521"/>
      <c r="R799" s="521"/>
      <c r="S799" s="521"/>
      <c r="T799" s="521"/>
      <c r="U799" s="521"/>
      <c r="V799" s="521"/>
      <c r="W799" s="521"/>
      <c r="X799" s="521"/>
      <c r="Y799" s="521"/>
      <c r="Z799" s="522"/>
    </row>
    <row r="800" spans="1:26" x14ac:dyDescent="0.3">
      <c r="A800" s="521"/>
      <c r="B800" s="521"/>
      <c r="C800" s="521"/>
      <c r="D800" s="521"/>
      <c r="E800" s="521"/>
      <c r="F800" s="521"/>
      <c r="G800" s="521"/>
      <c r="H800" s="521"/>
      <c r="I800" s="521"/>
      <c r="J800" s="521"/>
      <c r="K800" s="521"/>
      <c r="L800" s="521"/>
      <c r="M800" s="521"/>
      <c r="N800" s="521"/>
      <c r="O800" s="521"/>
      <c r="P800" s="521"/>
      <c r="Q800" s="521"/>
      <c r="R800" s="521"/>
      <c r="S800" s="521"/>
      <c r="T800" s="521"/>
      <c r="U800" s="521"/>
      <c r="V800" s="521"/>
      <c r="W800" s="521"/>
      <c r="X800" s="521"/>
      <c r="Y800" s="521"/>
      <c r="Z800" s="522"/>
    </row>
    <row r="801" spans="1:26" x14ac:dyDescent="0.3">
      <c r="A801" s="521"/>
      <c r="B801" s="521"/>
      <c r="C801" s="521"/>
      <c r="D801" s="521"/>
      <c r="E801" s="521"/>
      <c r="F801" s="521"/>
      <c r="G801" s="521"/>
      <c r="H801" s="521"/>
      <c r="I801" s="521"/>
      <c r="J801" s="521"/>
      <c r="K801" s="521"/>
      <c r="L801" s="521"/>
      <c r="M801" s="521"/>
      <c r="N801" s="521"/>
      <c r="O801" s="521"/>
      <c r="P801" s="521"/>
      <c r="Q801" s="521"/>
      <c r="R801" s="521"/>
      <c r="S801" s="521"/>
      <c r="T801" s="521"/>
      <c r="U801" s="521"/>
      <c r="V801" s="521"/>
      <c r="W801" s="521"/>
      <c r="X801" s="521"/>
      <c r="Y801" s="521"/>
      <c r="Z801" s="522"/>
    </row>
    <row r="802" spans="1:26" x14ac:dyDescent="0.3">
      <c r="A802" s="521"/>
      <c r="B802" s="521"/>
      <c r="C802" s="521"/>
      <c r="D802" s="521"/>
      <c r="E802" s="521"/>
      <c r="F802" s="521"/>
      <c r="G802" s="521"/>
      <c r="H802" s="521"/>
      <c r="I802" s="521"/>
      <c r="J802" s="521"/>
      <c r="K802" s="521"/>
      <c r="L802" s="521"/>
      <c r="M802" s="521"/>
      <c r="N802" s="521"/>
      <c r="O802" s="521"/>
      <c r="P802" s="521"/>
      <c r="Q802" s="521"/>
      <c r="R802" s="521"/>
      <c r="S802" s="521"/>
      <c r="T802" s="521"/>
      <c r="U802" s="521"/>
      <c r="V802" s="521"/>
      <c r="W802" s="521"/>
      <c r="X802" s="521"/>
      <c r="Y802" s="521"/>
      <c r="Z802" s="522"/>
    </row>
    <row r="803" spans="1:26" x14ac:dyDescent="0.3">
      <c r="A803" s="521"/>
      <c r="B803" s="521"/>
      <c r="C803" s="521"/>
      <c r="D803" s="521"/>
      <c r="E803" s="521"/>
      <c r="F803" s="521"/>
      <c r="G803" s="521"/>
      <c r="H803" s="521"/>
      <c r="I803" s="521"/>
      <c r="J803" s="521"/>
      <c r="K803" s="521"/>
      <c r="L803" s="521"/>
      <c r="M803" s="521"/>
      <c r="N803" s="521"/>
      <c r="O803" s="521"/>
      <c r="P803" s="521"/>
      <c r="Q803" s="521"/>
      <c r="R803" s="521"/>
      <c r="S803" s="521"/>
      <c r="T803" s="521"/>
      <c r="U803" s="521"/>
      <c r="V803" s="521"/>
      <c r="W803" s="521"/>
      <c r="X803" s="521"/>
      <c r="Y803" s="521"/>
      <c r="Z803" s="522"/>
    </row>
    <row r="804" spans="1:26" x14ac:dyDescent="0.3">
      <c r="A804" s="521"/>
      <c r="B804" s="521"/>
      <c r="C804" s="521"/>
      <c r="D804" s="521"/>
      <c r="E804" s="521"/>
      <c r="F804" s="521"/>
      <c r="G804" s="521"/>
      <c r="H804" s="521"/>
      <c r="I804" s="521"/>
      <c r="J804" s="521"/>
      <c r="K804" s="521"/>
      <c r="L804" s="521"/>
      <c r="M804" s="521"/>
      <c r="N804" s="521"/>
      <c r="O804" s="521"/>
      <c r="P804" s="521"/>
      <c r="Q804" s="521"/>
      <c r="R804" s="521"/>
      <c r="S804" s="521"/>
      <c r="T804" s="521"/>
      <c r="U804" s="521"/>
      <c r="V804" s="521"/>
      <c r="W804" s="521"/>
      <c r="X804" s="521"/>
      <c r="Y804" s="521"/>
      <c r="Z804" s="522"/>
    </row>
    <row r="805" spans="1:26" x14ac:dyDescent="0.3">
      <c r="A805" s="521"/>
      <c r="B805" s="521"/>
      <c r="C805" s="521"/>
      <c r="D805" s="521"/>
      <c r="E805" s="521"/>
      <c r="F805" s="521"/>
      <c r="G805" s="521"/>
      <c r="H805" s="521"/>
      <c r="I805" s="521"/>
      <c r="J805" s="521"/>
      <c r="K805" s="521"/>
      <c r="L805" s="521"/>
      <c r="M805" s="521"/>
      <c r="N805" s="521"/>
      <c r="O805" s="521"/>
      <c r="P805" s="521"/>
      <c r="Q805" s="521"/>
      <c r="R805" s="521"/>
      <c r="S805" s="521"/>
      <c r="T805" s="521"/>
      <c r="U805" s="521"/>
      <c r="V805" s="521"/>
      <c r="W805" s="521"/>
      <c r="X805" s="521"/>
      <c r="Y805" s="521"/>
      <c r="Z805" s="522"/>
    </row>
    <row r="806" spans="1:26" x14ac:dyDescent="0.3">
      <c r="A806" s="521"/>
      <c r="B806" s="521"/>
      <c r="C806" s="521"/>
      <c r="D806" s="521"/>
      <c r="E806" s="521"/>
      <c r="F806" s="521"/>
      <c r="G806" s="521"/>
      <c r="H806" s="521"/>
      <c r="I806" s="521"/>
      <c r="J806" s="521"/>
      <c r="K806" s="521"/>
      <c r="L806" s="521"/>
      <c r="M806" s="521"/>
      <c r="N806" s="521"/>
      <c r="O806" s="521"/>
      <c r="P806" s="521"/>
      <c r="Q806" s="521"/>
      <c r="R806" s="521"/>
      <c r="S806" s="521"/>
      <c r="T806" s="521"/>
      <c r="U806" s="521"/>
      <c r="V806" s="521"/>
      <c r="W806" s="521"/>
      <c r="X806" s="521"/>
      <c r="Y806" s="521"/>
      <c r="Z806" s="522"/>
    </row>
    <row r="807" spans="1:26" x14ac:dyDescent="0.3">
      <c r="A807" s="521"/>
      <c r="B807" s="521"/>
      <c r="C807" s="521"/>
      <c r="D807" s="521"/>
      <c r="E807" s="521"/>
      <c r="F807" s="521"/>
      <c r="G807" s="521"/>
      <c r="H807" s="521"/>
      <c r="I807" s="521"/>
      <c r="J807" s="521"/>
      <c r="K807" s="521"/>
      <c r="L807" s="521"/>
      <c r="M807" s="521"/>
      <c r="N807" s="521"/>
      <c r="O807" s="521"/>
      <c r="P807" s="521"/>
      <c r="Q807" s="521"/>
      <c r="R807" s="521"/>
      <c r="S807" s="521"/>
      <c r="T807" s="521"/>
      <c r="U807" s="521"/>
      <c r="V807" s="521"/>
      <c r="W807" s="521"/>
      <c r="X807" s="521"/>
      <c r="Y807" s="521"/>
      <c r="Z807" s="522"/>
    </row>
    <row r="808" spans="1:26" x14ac:dyDescent="0.3">
      <c r="A808" s="521"/>
      <c r="B808" s="521"/>
      <c r="C808" s="521"/>
      <c r="D808" s="521"/>
      <c r="E808" s="521"/>
      <c r="F808" s="521"/>
      <c r="G808" s="521"/>
      <c r="H808" s="521"/>
      <c r="I808" s="521"/>
      <c r="J808" s="521"/>
      <c r="K808" s="521"/>
      <c r="L808" s="521"/>
      <c r="M808" s="521"/>
      <c r="N808" s="521"/>
      <c r="O808" s="521"/>
      <c r="P808" s="521"/>
      <c r="Q808" s="521"/>
      <c r="R808" s="521"/>
      <c r="S808" s="521"/>
      <c r="T808" s="521"/>
      <c r="U808" s="521"/>
      <c r="V808" s="521"/>
      <c r="W808" s="521"/>
      <c r="X808" s="521"/>
      <c r="Y808" s="521"/>
      <c r="Z808" s="522"/>
    </row>
    <row r="809" spans="1:26" x14ac:dyDescent="0.3">
      <c r="A809" s="521"/>
      <c r="B809" s="521"/>
      <c r="C809" s="521"/>
      <c r="D809" s="521"/>
      <c r="E809" s="521"/>
      <c r="F809" s="521"/>
      <c r="G809" s="521"/>
      <c r="H809" s="521"/>
      <c r="I809" s="521"/>
      <c r="J809" s="521"/>
      <c r="K809" s="521"/>
      <c r="L809" s="521"/>
      <c r="M809" s="521"/>
      <c r="N809" s="521"/>
      <c r="O809" s="521"/>
      <c r="P809" s="521"/>
      <c r="Q809" s="521"/>
      <c r="R809" s="521"/>
      <c r="S809" s="521"/>
      <c r="T809" s="521"/>
      <c r="U809" s="521"/>
      <c r="V809" s="521"/>
      <c r="W809" s="521"/>
      <c r="X809" s="521"/>
      <c r="Y809" s="521"/>
      <c r="Z809" s="522"/>
    </row>
    <row r="810" spans="1:26" x14ac:dyDescent="0.3">
      <c r="A810" s="521"/>
      <c r="B810" s="521"/>
      <c r="C810" s="521"/>
      <c r="D810" s="521"/>
      <c r="E810" s="521"/>
      <c r="F810" s="521"/>
      <c r="G810" s="521"/>
      <c r="H810" s="521"/>
      <c r="I810" s="521"/>
      <c r="J810" s="521"/>
      <c r="K810" s="521"/>
      <c r="L810" s="521"/>
      <c r="M810" s="521"/>
      <c r="N810" s="521"/>
      <c r="O810" s="521"/>
      <c r="P810" s="521"/>
      <c r="Q810" s="521"/>
      <c r="R810" s="521"/>
      <c r="S810" s="521"/>
      <c r="T810" s="521"/>
      <c r="U810" s="521"/>
      <c r="V810" s="521"/>
      <c r="W810" s="521"/>
      <c r="X810" s="521"/>
      <c r="Y810" s="521"/>
      <c r="Z810" s="522"/>
    </row>
    <row r="811" spans="1:26" x14ac:dyDescent="0.3">
      <c r="A811" s="521"/>
      <c r="B811" s="521"/>
      <c r="C811" s="521"/>
      <c r="D811" s="521"/>
      <c r="E811" s="521"/>
      <c r="F811" s="521"/>
      <c r="G811" s="521"/>
      <c r="H811" s="521"/>
      <c r="I811" s="521"/>
      <c r="J811" s="521"/>
      <c r="K811" s="521"/>
      <c r="L811" s="521"/>
      <c r="M811" s="521"/>
      <c r="N811" s="521"/>
      <c r="O811" s="521"/>
      <c r="P811" s="521"/>
      <c r="Q811" s="521"/>
      <c r="R811" s="521"/>
      <c r="S811" s="521"/>
      <c r="T811" s="521"/>
      <c r="U811" s="521"/>
      <c r="V811" s="521"/>
      <c r="W811" s="521"/>
      <c r="X811" s="521"/>
      <c r="Y811" s="521"/>
      <c r="Z811" s="522"/>
    </row>
    <row r="812" spans="1:26" x14ac:dyDescent="0.3">
      <c r="A812" s="521"/>
      <c r="B812" s="521"/>
      <c r="C812" s="521"/>
      <c r="D812" s="521"/>
      <c r="E812" s="521"/>
      <c r="F812" s="521"/>
      <c r="G812" s="521"/>
      <c r="H812" s="521"/>
      <c r="I812" s="521"/>
      <c r="J812" s="521"/>
      <c r="K812" s="521"/>
      <c r="L812" s="521"/>
      <c r="M812" s="521"/>
      <c r="N812" s="521"/>
      <c r="O812" s="521"/>
      <c r="P812" s="521"/>
      <c r="Q812" s="521"/>
      <c r="R812" s="521"/>
      <c r="S812" s="521"/>
      <c r="T812" s="521"/>
      <c r="U812" s="521"/>
      <c r="V812" s="521"/>
      <c r="W812" s="521"/>
      <c r="X812" s="521"/>
      <c r="Y812" s="521"/>
      <c r="Z812" s="522"/>
    </row>
    <row r="813" spans="1:26" x14ac:dyDescent="0.3">
      <c r="A813" s="521"/>
      <c r="B813" s="521"/>
      <c r="C813" s="521"/>
      <c r="D813" s="521"/>
      <c r="E813" s="521"/>
      <c r="F813" s="521"/>
      <c r="G813" s="521"/>
      <c r="H813" s="521"/>
      <c r="I813" s="521"/>
      <c r="J813" s="521"/>
      <c r="K813" s="521"/>
      <c r="L813" s="521"/>
      <c r="M813" s="521"/>
      <c r="N813" s="521"/>
      <c r="O813" s="521"/>
      <c r="P813" s="521"/>
      <c r="Q813" s="521"/>
      <c r="R813" s="521"/>
      <c r="S813" s="521"/>
      <c r="T813" s="521"/>
      <c r="U813" s="521"/>
      <c r="V813" s="521"/>
      <c r="W813" s="521"/>
      <c r="X813" s="521"/>
      <c r="Y813" s="521"/>
      <c r="Z813" s="522"/>
    </row>
    <row r="814" spans="1:26" x14ac:dyDescent="0.3">
      <c r="A814" s="521"/>
      <c r="B814" s="521"/>
      <c r="C814" s="521"/>
      <c r="D814" s="521"/>
      <c r="E814" s="521"/>
      <c r="F814" s="521"/>
      <c r="G814" s="521"/>
      <c r="H814" s="521"/>
      <c r="I814" s="521"/>
      <c r="J814" s="521"/>
      <c r="K814" s="521"/>
      <c r="L814" s="521"/>
      <c r="M814" s="521"/>
      <c r="N814" s="521"/>
      <c r="O814" s="521"/>
      <c r="P814" s="521"/>
      <c r="Q814" s="521"/>
      <c r="R814" s="521"/>
      <c r="S814" s="521"/>
      <c r="T814" s="521"/>
      <c r="U814" s="521"/>
      <c r="V814" s="521"/>
      <c r="W814" s="521"/>
      <c r="X814" s="521"/>
      <c r="Y814" s="521"/>
      <c r="Z814" s="522"/>
    </row>
    <row r="815" spans="1:26" x14ac:dyDescent="0.3">
      <c r="A815" s="521"/>
      <c r="B815" s="521"/>
      <c r="C815" s="521"/>
      <c r="D815" s="521"/>
      <c r="E815" s="521"/>
      <c r="F815" s="521"/>
      <c r="G815" s="521"/>
      <c r="H815" s="521"/>
      <c r="I815" s="521"/>
      <c r="J815" s="521"/>
      <c r="K815" s="521"/>
      <c r="L815" s="521"/>
      <c r="M815" s="521"/>
      <c r="N815" s="521"/>
      <c r="O815" s="521"/>
      <c r="P815" s="521"/>
      <c r="Q815" s="521"/>
      <c r="R815" s="521"/>
      <c r="S815" s="521"/>
      <c r="T815" s="521"/>
      <c r="U815" s="521"/>
      <c r="V815" s="521"/>
      <c r="W815" s="521"/>
      <c r="X815" s="521"/>
      <c r="Y815" s="521"/>
      <c r="Z815" s="522"/>
    </row>
    <row r="816" spans="1:26" x14ac:dyDescent="0.3">
      <c r="A816" s="521"/>
      <c r="B816" s="521"/>
      <c r="C816" s="521"/>
      <c r="D816" s="521"/>
      <c r="E816" s="521"/>
      <c r="F816" s="521"/>
      <c r="G816" s="521"/>
      <c r="H816" s="521"/>
      <c r="I816" s="521"/>
      <c r="J816" s="521"/>
      <c r="K816" s="521"/>
      <c r="L816" s="521"/>
      <c r="M816" s="521"/>
      <c r="N816" s="521"/>
      <c r="O816" s="521"/>
      <c r="P816" s="521"/>
      <c r="Q816" s="521"/>
      <c r="R816" s="521"/>
      <c r="S816" s="521"/>
      <c r="T816" s="521"/>
      <c r="U816" s="521"/>
      <c r="V816" s="521"/>
      <c r="W816" s="521"/>
      <c r="X816" s="521"/>
      <c r="Y816" s="521"/>
      <c r="Z816" s="522"/>
    </row>
    <row r="817" spans="1:26" x14ac:dyDescent="0.3">
      <c r="A817" s="521"/>
      <c r="B817" s="521"/>
      <c r="C817" s="521"/>
      <c r="D817" s="521"/>
      <c r="E817" s="521"/>
      <c r="F817" s="521"/>
      <c r="G817" s="521"/>
      <c r="H817" s="521"/>
      <c r="I817" s="521"/>
      <c r="J817" s="521"/>
      <c r="K817" s="521"/>
      <c r="L817" s="521"/>
      <c r="M817" s="521"/>
      <c r="N817" s="521"/>
      <c r="O817" s="521"/>
      <c r="P817" s="521"/>
      <c r="Q817" s="521"/>
      <c r="R817" s="521"/>
      <c r="S817" s="521"/>
      <c r="T817" s="521"/>
      <c r="U817" s="521"/>
      <c r="V817" s="521"/>
      <c r="W817" s="521"/>
      <c r="X817" s="521"/>
      <c r="Y817" s="521"/>
      <c r="Z817" s="522"/>
    </row>
    <row r="818" spans="1:26" x14ac:dyDescent="0.3">
      <c r="A818" s="521"/>
      <c r="B818" s="521"/>
      <c r="C818" s="521"/>
      <c r="D818" s="521"/>
      <c r="E818" s="521"/>
      <c r="F818" s="521"/>
      <c r="G818" s="521"/>
      <c r="H818" s="521"/>
      <c r="I818" s="521"/>
      <c r="J818" s="521"/>
      <c r="K818" s="521"/>
      <c r="L818" s="521"/>
      <c r="M818" s="521"/>
      <c r="N818" s="521"/>
      <c r="O818" s="521"/>
      <c r="P818" s="521"/>
      <c r="Q818" s="521"/>
      <c r="R818" s="521"/>
      <c r="S818" s="521"/>
      <c r="T818" s="521"/>
      <c r="U818" s="521"/>
      <c r="V818" s="521"/>
      <c r="W818" s="521"/>
      <c r="X818" s="521"/>
      <c r="Y818" s="521"/>
      <c r="Z818" s="522"/>
    </row>
    <row r="819" spans="1:26" x14ac:dyDescent="0.3">
      <c r="A819" s="521"/>
      <c r="B819" s="521"/>
      <c r="C819" s="521"/>
      <c r="D819" s="521"/>
      <c r="E819" s="521"/>
      <c r="F819" s="521"/>
      <c r="G819" s="521"/>
      <c r="H819" s="521"/>
      <c r="I819" s="521"/>
      <c r="J819" s="521"/>
      <c r="K819" s="521"/>
      <c r="L819" s="521"/>
      <c r="M819" s="521"/>
      <c r="N819" s="521"/>
      <c r="O819" s="521"/>
      <c r="P819" s="521"/>
      <c r="Q819" s="521"/>
      <c r="R819" s="521"/>
      <c r="S819" s="521"/>
      <c r="T819" s="521"/>
      <c r="U819" s="521"/>
      <c r="V819" s="521"/>
      <c r="W819" s="521"/>
      <c r="X819" s="521"/>
      <c r="Y819" s="521"/>
      <c r="Z819" s="522"/>
    </row>
    <row r="820" spans="1:26" x14ac:dyDescent="0.3">
      <c r="A820" s="521"/>
      <c r="B820" s="521"/>
      <c r="C820" s="521"/>
      <c r="D820" s="521"/>
      <c r="E820" s="521"/>
      <c r="F820" s="521"/>
      <c r="G820" s="521"/>
      <c r="H820" s="521"/>
      <c r="I820" s="521"/>
      <c r="J820" s="521"/>
      <c r="K820" s="521"/>
      <c r="L820" s="521"/>
      <c r="M820" s="521"/>
      <c r="N820" s="521"/>
      <c r="O820" s="521"/>
      <c r="P820" s="521"/>
      <c r="Q820" s="521"/>
      <c r="R820" s="521"/>
      <c r="S820" s="521"/>
      <c r="T820" s="521"/>
      <c r="U820" s="521"/>
      <c r="V820" s="521"/>
      <c r="W820" s="521"/>
      <c r="X820" s="521"/>
      <c r="Y820" s="521"/>
      <c r="Z820" s="522"/>
    </row>
    <row r="821" spans="1:26" x14ac:dyDescent="0.3">
      <c r="A821" s="521"/>
      <c r="B821" s="521"/>
      <c r="C821" s="521"/>
      <c r="D821" s="521"/>
      <c r="E821" s="521"/>
      <c r="F821" s="521"/>
      <c r="G821" s="521"/>
      <c r="H821" s="521"/>
      <c r="I821" s="521"/>
      <c r="J821" s="521"/>
      <c r="K821" s="521"/>
      <c r="L821" s="521"/>
      <c r="M821" s="521"/>
      <c r="N821" s="521"/>
      <c r="O821" s="521"/>
      <c r="P821" s="521"/>
      <c r="Q821" s="521"/>
      <c r="R821" s="521"/>
      <c r="S821" s="521"/>
      <c r="T821" s="521"/>
      <c r="U821" s="521"/>
      <c r="V821" s="521"/>
      <c r="W821" s="521"/>
      <c r="X821" s="521"/>
      <c r="Y821" s="521"/>
      <c r="Z821" s="522"/>
    </row>
    <row r="822" spans="1:26" x14ac:dyDescent="0.3">
      <c r="A822" s="521"/>
      <c r="B822" s="521"/>
      <c r="C822" s="521"/>
      <c r="D822" s="521"/>
      <c r="E822" s="521"/>
      <c r="F822" s="521"/>
      <c r="G822" s="521"/>
      <c r="H822" s="521"/>
      <c r="I822" s="521"/>
      <c r="J822" s="521"/>
      <c r="K822" s="521"/>
      <c r="L822" s="521"/>
      <c r="M822" s="521"/>
      <c r="N822" s="521"/>
      <c r="O822" s="521"/>
      <c r="P822" s="521"/>
      <c r="Q822" s="521"/>
      <c r="R822" s="521"/>
      <c r="S822" s="521"/>
      <c r="T822" s="521"/>
      <c r="U822" s="521"/>
      <c r="V822" s="521"/>
      <c r="W822" s="521"/>
      <c r="X822" s="521"/>
      <c r="Y822" s="521"/>
      <c r="Z822" s="522"/>
    </row>
    <row r="823" spans="1:26" x14ac:dyDescent="0.3">
      <c r="A823" s="521"/>
      <c r="B823" s="521"/>
      <c r="C823" s="521"/>
      <c r="D823" s="521"/>
      <c r="E823" s="521"/>
      <c r="F823" s="521"/>
      <c r="G823" s="521"/>
      <c r="H823" s="521"/>
      <c r="I823" s="521"/>
      <c r="J823" s="521"/>
      <c r="K823" s="521"/>
      <c r="L823" s="521"/>
      <c r="M823" s="521"/>
      <c r="N823" s="521"/>
      <c r="O823" s="521"/>
      <c r="P823" s="521"/>
      <c r="Q823" s="521"/>
      <c r="R823" s="521"/>
      <c r="S823" s="521"/>
      <c r="T823" s="521"/>
      <c r="U823" s="521"/>
      <c r="V823" s="521"/>
      <c r="W823" s="521"/>
      <c r="X823" s="521"/>
      <c r="Y823" s="521"/>
      <c r="Z823" s="522"/>
    </row>
    <row r="824" spans="1:26" x14ac:dyDescent="0.3">
      <c r="A824" s="521"/>
      <c r="B824" s="521"/>
      <c r="C824" s="521"/>
      <c r="D824" s="521"/>
      <c r="E824" s="521"/>
      <c r="F824" s="521"/>
      <c r="G824" s="521"/>
      <c r="H824" s="521"/>
      <c r="I824" s="521"/>
      <c r="J824" s="521"/>
      <c r="K824" s="521"/>
      <c r="L824" s="521"/>
      <c r="M824" s="521"/>
      <c r="N824" s="521"/>
      <c r="O824" s="521"/>
      <c r="P824" s="521"/>
      <c r="Q824" s="521"/>
      <c r="R824" s="521"/>
      <c r="S824" s="521"/>
      <c r="T824" s="521"/>
      <c r="U824" s="521"/>
      <c r="V824" s="521"/>
      <c r="W824" s="521"/>
      <c r="X824" s="521"/>
      <c r="Y824" s="521"/>
      <c r="Z824" s="522"/>
    </row>
    <row r="825" spans="1:26" x14ac:dyDescent="0.3">
      <c r="A825" s="521"/>
      <c r="B825" s="521"/>
      <c r="C825" s="521"/>
      <c r="D825" s="521"/>
      <c r="E825" s="521"/>
      <c r="F825" s="521"/>
      <c r="G825" s="521"/>
      <c r="H825" s="521"/>
      <c r="I825" s="521"/>
      <c r="J825" s="521"/>
      <c r="K825" s="521"/>
      <c r="L825" s="521"/>
      <c r="M825" s="521"/>
      <c r="N825" s="521"/>
      <c r="O825" s="521"/>
      <c r="P825" s="521"/>
      <c r="Q825" s="521"/>
      <c r="R825" s="521"/>
      <c r="S825" s="521"/>
      <c r="T825" s="521"/>
      <c r="U825" s="521"/>
      <c r="V825" s="521"/>
      <c r="W825" s="521"/>
      <c r="X825" s="521"/>
      <c r="Y825" s="521"/>
      <c r="Z825" s="522"/>
    </row>
    <row r="826" spans="1:26" x14ac:dyDescent="0.3">
      <c r="A826" s="521"/>
      <c r="B826" s="521"/>
      <c r="C826" s="521"/>
      <c r="D826" s="521"/>
      <c r="E826" s="521"/>
      <c r="F826" s="521"/>
      <c r="G826" s="521"/>
      <c r="H826" s="521"/>
      <c r="I826" s="521"/>
      <c r="J826" s="521"/>
      <c r="K826" s="521"/>
      <c r="L826" s="521"/>
      <c r="M826" s="521"/>
      <c r="N826" s="521"/>
      <c r="O826" s="521"/>
      <c r="P826" s="521"/>
      <c r="Q826" s="521"/>
      <c r="R826" s="521"/>
      <c r="S826" s="521"/>
      <c r="T826" s="521"/>
      <c r="U826" s="521"/>
      <c r="V826" s="521"/>
      <c r="W826" s="521"/>
      <c r="X826" s="521"/>
      <c r="Y826" s="521"/>
      <c r="Z826" s="522"/>
    </row>
    <row r="827" spans="1:26" x14ac:dyDescent="0.3">
      <c r="A827" s="521"/>
      <c r="B827" s="521"/>
      <c r="C827" s="521"/>
      <c r="D827" s="521"/>
      <c r="E827" s="521"/>
      <c r="F827" s="521"/>
      <c r="G827" s="521"/>
      <c r="H827" s="521"/>
      <c r="I827" s="521"/>
      <c r="J827" s="521"/>
      <c r="K827" s="521"/>
      <c r="L827" s="521"/>
      <c r="M827" s="521"/>
      <c r="N827" s="521"/>
      <c r="O827" s="521"/>
      <c r="P827" s="521"/>
      <c r="Q827" s="521"/>
      <c r="R827" s="521"/>
      <c r="S827" s="521"/>
      <c r="T827" s="521"/>
      <c r="U827" s="521"/>
      <c r="V827" s="521"/>
      <c r="W827" s="521"/>
      <c r="X827" s="521"/>
      <c r="Y827" s="521"/>
      <c r="Z827" s="522"/>
    </row>
    <row r="828" spans="1:26" x14ac:dyDescent="0.3">
      <c r="A828" s="521"/>
      <c r="B828" s="521"/>
      <c r="C828" s="521"/>
      <c r="D828" s="521"/>
      <c r="E828" s="521"/>
      <c r="F828" s="521"/>
      <c r="G828" s="521"/>
      <c r="H828" s="521"/>
      <c r="I828" s="521"/>
      <c r="J828" s="521"/>
      <c r="K828" s="521"/>
      <c r="L828" s="521"/>
      <c r="M828" s="521"/>
      <c r="N828" s="521"/>
      <c r="O828" s="521"/>
      <c r="P828" s="521"/>
      <c r="Q828" s="521"/>
      <c r="R828" s="521"/>
      <c r="S828" s="521"/>
      <c r="T828" s="521"/>
      <c r="U828" s="521"/>
      <c r="V828" s="521"/>
      <c r="W828" s="521"/>
      <c r="X828" s="521"/>
      <c r="Y828" s="521"/>
      <c r="Z828" s="522"/>
    </row>
    <row r="829" spans="1:26" x14ac:dyDescent="0.3">
      <c r="A829" s="521"/>
      <c r="B829" s="521"/>
      <c r="C829" s="521"/>
      <c r="D829" s="521"/>
      <c r="E829" s="521"/>
      <c r="F829" s="521"/>
      <c r="G829" s="521"/>
      <c r="H829" s="521"/>
      <c r="I829" s="521"/>
      <c r="J829" s="521"/>
      <c r="K829" s="521"/>
      <c r="L829" s="521"/>
      <c r="M829" s="521"/>
      <c r="N829" s="521"/>
      <c r="O829" s="521"/>
      <c r="P829" s="521"/>
      <c r="Q829" s="521"/>
      <c r="R829" s="521"/>
      <c r="S829" s="521"/>
      <c r="T829" s="521"/>
      <c r="U829" s="521"/>
      <c r="V829" s="521"/>
      <c r="W829" s="521"/>
      <c r="X829" s="521"/>
      <c r="Y829" s="521"/>
      <c r="Z829" s="522"/>
    </row>
    <row r="830" spans="1:26" x14ac:dyDescent="0.3">
      <c r="A830" s="521"/>
      <c r="B830" s="521"/>
      <c r="C830" s="521"/>
      <c r="D830" s="521"/>
      <c r="E830" s="521"/>
      <c r="F830" s="521"/>
      <c r="G830" s="521"/>
      <c r="H830" s="521"/>
      <c r="I830" s="521"/>
      <c r="J830" s="521"/>
      <c r="K830" s="521"/>
      <c r="L830" s="521"/>
      <c r="M830" s="521"/>
      <c r="N830" s="521"/>
      <c r="O830" s="521"/>
      <c r="P830" s="521"/>
      <c r="Q830" s="521"/>
      <c r="R830" s="521"/>
      <c r="S830" s="521"/>
      <c r="T830" s="521"/>
      <c r="U830" s="521"/>
      <c r="V830" s="521"/>
      <c r="W830" s="521"/>
      <c r="X830" s="521"/>
      <c r="Y830" s="521"/>
      <c r="Z830" s="522"/>
    </row>
    <row r="831" spans="1:26" x14ac:dyDescent="0.3">
      <c r="A831" s="521"/>
      <c r="B831" s="521"/>
      <c r="C831" s="521"/>
      <c r="D831" s="521"/>
      <c r="E831" s="521"/>
      <c r="F831" s="521"/>
      <c r="G831" s="521"/>
      <c r="H831" s="521"/>
      <c r="I831" s="521"/>
      <c r="J831" s="521"/>
      <c r="K831" s="521"/>
      <c r="L831" s="521"/>
      <c r="M831" s="521"/>
      <c r="N831" s="521"/>
      <c r="O831" s="521"/>
      <c r="P831" s="521"/>
      <c r="Q831" s="521"/>
      <c r="R831" s="521"/>
      <c r="S831" s="521"/>
      <c r="T831" s="521"/>
      <c r="U831" s="521"/>
      <c r="V831" s="521"/>
      <c r="W831" s="521"/>
      <c r="X831" s="521"/>
      <c r="Y831" s="521"/>
      <c r="Z831" s="522"/>
    </row>
    <row r="832" spans="1:26" x14ac:dyDescent="0.3">
      <c r="A832" s="521"/>
      <c r="B832" s="521"/>
      <c r="C832" s="521"/>
      <c r="D832" s="521"/>
      <c r="E832" s="521"/>
      <c r="F832" s="521"/>
      <c r="G832" s="521"/>
      <c r="H832" s="521"/>
      <c r="I832" s="521"/>
      <c r="J832" s="521"/>
      <c r="K832" s="521"/>
      <c r="L832" s="521"/>
      <c r="M832" s="521"/>
      <c r="N832" s="521"/>
      <c r="O832" s="521"/>
      <c r="P832" s="521"/>
      <c r="Q832" s="521"/>
      <c r="R832" s="521"/>
      <c r="S832" s="521"/>
      <c r="T832" s="521"/>
      <c r="U832" s="521"/>
      <c r="V832" s="521"/>
      <c r="W832" s="521"/>
      <c r="X832" s="521"/>
      <c r="Y832" s="521"/>
      <c r="Z832" s="522"/>
    </row>
    <row r="833" spans="1:26" x14ac:dyDescent="0.3">
      <c r="A833" s="521"/>
      <c r="B833" s="521"/>
      <c r="C833" s="521"/>
      <c r="D833" s="521"/>
      <c r="E833" s="521"/>
      <c r="F833" s="521"/>
      <c r="G833" s="521"/>
      <c r="H833" s="521"/>
      <c r="I833" s="521"/>
      <c r="J833" s="521"/>
      <c r="K833" s="521"/>
      <c r="L833" s="521"/>
      <c r="M833" s="521"/>
      <c r="N833" s="521"/>
      <c r="O833" s="521"/>
      <c r="P833" s="521"/>
      <c r="Q833" s="521"/>
      <c r="R833" s="521"/>
      <c r="S833" s="521"/>
      <c r="T833" s="521"/>
      <c r="U833" s="521"/>
      <c r="V833" s="521"/>
      <c r="W833" s="521"/>
      <c r="X833" s="521"/>
      <c r="Y833" s="521"/>
      <c r="Z833" s="522"/>
    </row>
    <row r="834" spans="1:26" x14ac:dyDescent="0.3">
      <c r="A834" s="521"/>
      <c r="B834" s="521"/>
      <c r="C834" s="521"/>
      <c r="D834" s="521"/>
      <c r="E834" s="521"/>
      <c r="F834" s="521"/>
      <c r="G834" s="521"/>
      <c r="H834" s="521"/>
      <c r="I834" s="521"/>
      <c r="J834" s="521"/>
      <c r="K834" s="521"/>
      <c r="L834" s="521"/>
      <c r="M834" s="521"/>
      <c r="N834" s="521"/>
      <c r="O834" s="521"/>
      <c r="P834" s="521"/>
      <c r="Q834" s="521"/>
      <c r="R834" s="521"/>
      <c r="S834" s="521"/>
      <c r="T834" s="521"/>
      <c r="U834" s="521"/>
      <c r="V834" s="521"/>
      <c r="W834" s="521"/>
      <c r="X834" s="521"/>
      <c r="Y834" s="521"/>
      <c r="Z834" s="522"/>
    </row>
    <row r="835" spans="1:26" x14ac:dyDescent="0.3">
      <c r="A835" s="521"/>
      <c r="B835" s="521"/>
      <c r="C835" s="521"/>
      <c r="D835" s="521"/>
      <c r="E835" s="521"/>
      <c r="F835" s="521"/>
      <c r="G835" s="521"/>
      <c r="H835" s="521"/>
      <c r="I835" s="521"/>
      <c r="J835" s="521"/>
      <c r="K835" s="521"/>
      <c r="L835" s="521"/>
      <c r="M835" s="521"/>
      <c r="N835" s="521"/>
      <c r="O835" s="521"/>
      <c r="P835" s="521"/>
      <c r="Q835" s="521"/>
      <c r="R835" s="521"/>
      <c r="S835" s="521"/>
      <c r="T835" s="521"/>
      <c r="U835" s="521"/>
      <c r="V835" s="521"/>
      <c r="W835" s="521"/>
      <c r="X835" s="521"/>
      <c r="Y835" s="521"/>
      <c r="Z835" s="522"/>
    </row>
    <row r="836" spans="1:26" x14ac:dyDescent="0.3">
      <c r="A836" s="521"/>
      <c r="B836" s="521"/>
      <c r="C836" s="521"/>
      <c r="D836" s="521"/>
      <c r="E836" s="521"/>
      <c r="F836" s="521"/>
      <c r="G836" s="521"/>
      <c r="H836" s="521"/>
      <c r="I836" s="521"/>
      <c r="J836" s="521"/>
      <c r="K836" s="521"/>
      <c r="L836" s="521"/>
      <c r="M836" s="521"/>
      <c r="N836" s="521"/>
      <c r="O836" s="521"/>
      <c r="P836" s="521"/>
      <c r="Q836" s="521"/>
      <c r="R836" s="521"/>
      <c r="S836" s="521"/>
      <c r="T836" s="521"/>
      <c r="U836" s="521"/>
      <c r="V836" s="521"/>
      <c r="W836" s="521"/>
      <c r="X836" s="521"/>
      <c r="Y836" s="521"/>
      <c r="Z836" s="522"/>
    </row>
    <row r="837" spans="1:26" x14ac:dyDescent="0.3">
      <c r="A837" s="521"/>
      <c r="B837" s="521"/>
      <c r="C837" s="521"/>
      <c r="D837" s="521"/>
      <c r="E837" s="521"/>
      <c r="F837" s="521"/>
      <c r="G837" s="521"/>
      <c r="H837" s="521"/>
      <c r="I837" s="521"/>
      <c r="J837" s="521"/>
      <c r="K837" s="521"/>
      <c r="L837" s="521"/>
      <c r="M837" s="521"/>
      <c r="N837" s="521"/>
      <c r="O837" s="521"/>
      <c r="P837" s="521"/>
      <c r="Q837" s="521"/>
      <c r="R837" s="521"/>
      <c r="S837" s="521"/>
      <c r="T837" s="521"/>
      <c r="U837" s="521"/>
      <c r="V837" s="521"/>
      <c r="W837" s="521"/>
      <c r="X837" s="521"/>
      <c r="Y837" s="521"/>
      <c r="Z837" s="522"/>
    </row>
    <row r="838" spans="1:26" x14ac:dyDescent="0.3">
      <c r="A838" s="521"/>
      <c r="B838" s="521"/>
      <c r="C838" s="521"/>
      <c r="D838" s="521"/>
      <c r="E838" s="521"/>
      <c r="F838" s="521"/>
      <c r="G838" s="521"/>
      <c r="H838" s="521"/>
      <c r="I838" s="521"/>
      <c r="J838" s="521"/>
      <c r="K838" s="521"/>
      <c r="L838" s="521"/>
      <c r="M838" s="521"/>
      <c r="N838" s="521"/>
      <c r="O838" s="521"/>
      <c r="P838" s="521"/>
      <c r="Q838" s="521"/>
      <c r="R838" s="521"/>
      <c r="S838" s="521"/>
      <c r="T838" s="521"/>
      <c r="U838" s="521"/>
      <c r="V838" s="521"/>
      <c r="W838" s="521"/>
      <c r="X838" s="521"/>
      <c r="Y838" s="521"/>
      <c r="Z838" s="522"/>
    </row>
    <row r="839" spans="1:26" x14ac:dyDescent="0.3">
      <c r="A839" s="521"/>
      <c r="B839" s="521"/>
      <c r="C839" s="521"/>
      <c r="D839" s="521"/>
      <c r="E839" s="521"/>
      <c r="F839" s="521"/>
      <c r="G839" s="521"/>
      <c r="H839" s="521"/>
      <c r="I839" s="521"/>
      <c r="J839" s="521"/>
      <c r="K839" s="521"/>
      <c r="L839" s="521"/>
      <c r="M839" s="521"/>
      <c r="N839" s="521"/>
      <c r="O839" s="521"/>
      <c r="P839" s="521"/>
      <c r="Q839" s="521"/>
      <c r="R839" s="521"/>
      <c r="S839" s="521"/>
      <c r="T839" s="521"/>
      <c r="U839" s="521"/>
      <c r="V839" s="521"/>
      <c r="W839" s="521"/>
      <c r="X839" s="521"/>
      <c r="Y839" s="521"/>
      <c r="Z839" s="522"/>
    </row>
    <row r="840" spans="1:26" x14ac:dyDescent="0.3">
      <c r="A840" s="521"/>
      <c r="B840" s="521"/>
      <c r="C840" s="521"/>
      <c r="D840" s="521"/>
      <c r="E840" s="521"/>
      <c r="F840" s="521"/>
      <c r="G840" s="521"/>
      <c r="H840" s="521"/>
      <c r="I840" s="521"/>
      <c r="J840" s="521"/>
      <c r="K840" s="521"/>
      <c r="L840" s="521"/>
      <c r="M840" s="521"/>
      <c r="N840" s="521"/>
      <c r="O840" s="521"/>
      <c r="P840" s="521"/>
      <c r="Q840" s="521"/>
      <c r="R840" s="521"/>
      <c r="S840" s="521"/>
      <c r="T840" s="521"/>
      <c r="U840" s="521"/>
      <c r="V840" s="521"/>
      <c r="W840" s="521"/>
      <c r="X840" s="521"/>
      <c r="Y840" s="521"/>
      <c r="Z840" s="522"/>
    </row>
    <row r="841" spans="1:26" x14ac:dyDescent="0.3">
      <c r="A841" s="521"/>
      <c r="B841" s="521"/>
      <c r="C841" s="521"/>
      <c r="D841" s="521"/>
      <c r="E841" s="521"/>
      <c r="F841" s="521"/>
      <c r="G841" s="521"/>
      <c r="H841" s="521"/>
      <c r="I841" s="521"/>
      <c r="J841" s="521"/>
      <c r="K841" s="521"/>
      <c r="L841" s="521"/>
      <c r="M841" s="521"/>
      <c r="N841" s="521"/>
      <c r="O841" s="521"/>
      <c r="P841" s="521"/>
      <c r="Q841" s="521"/>
      <c r="R841" s="521"/>
      <c r="S841" s="521"/>
      <c r="T841" s="521"/>
      <c r="U841" s="521"/>
      <c r="V841" s="521"/>
      <c r="W841" s="521"/>
      <c r="X841" s="521"/>
      <c r="Y841" s="521"/>
      <c r="Z841" s="522"/>
    </row>
    <row r="842" spans="1:26" x14ac:dyDescent="0.3">
      <c r="A842" s="521"/>
      <c r="B842" s="521"/>
      <c r="C842" s="521"/>
      <c r="D842" s="521"/>
      <c r="E842" s="521"/>
      <c r="F842" s="521"/>
      <c r="G842" s="521"/>
      <c r="H842" s="521"/>
      <c r="I842" s="521"/>
      <c r="J842" s="521"/>
      <c r="K842" s="521"/>
      <c r="L842" s="521"/>
      <c r="M842" s="521"/>
      <c r="N842" s="521"/>
      <c r="O842" s="521"/>
      <c r="P842" s="521"/>
      <c r="Q842" s="521"/>
      <c r="R842" s="521"/>
      <c r="S842" s="521"/>
      <c r="T842" s="521"/>
      <c r="U842" s="521"/>
      <c r="V842" s="521"/>
      <c r="W842" s="521"/>
      <c r="X842" s="521"/>
      <c r="Y842" s="521"/>
      <c r="Z842" s="522"/>
    </row>
    <row r="843" spans="1:26" x14ac:dyDescent="0.3">
      <c r="A843" s="521"/>
      <c r="B843" s="521"/>
      <c r="C843" s="521"/>
      <c r="D843" s="521"/>
      <c r="E843" s="521"/>
      <c r="F843" s="521"/>
      <c r="G843" s="521"/>
      <c r="H843" s="521"/>
      <c r="I843" s="521"/>
      <c r="J843" s="521"/>
      <c r="K843" s="521"/>
      <c r="L843" s="521"/>
      <c r="M843" s="521"/>
      <c r="N843" s="521"/>
      <c r="O843" s="521"/>
      <c r="P843" s="521"/>
      <c r="Q843" s="521"/>
      <c r="R843" s="521"/>
      <c r="S843" s="521"/>
      <c r="T843" s="521"/>
      <c r="U843" s="521"/>
      <c r="V843" s="521"/>
      <c r="W843" s="521"/>
      <c r="X843" s="521"/>
      <c r="Y843" s="521"/>
      <c r="Z843" s="522"/>
    </row>
    <row r="844" spans="1:26" x14ac:dyDescent="0.3">
      <c r="A844" s="521"/>
      <c r="B844" s="521"/>
      <c r="C844" s="521"/>
      <c r="D844" s="521"/>
      <c r="E844" s="521"/>
      <c r="F844" s="521"/>
      <c r="G844" s="521"/>
      <c r="H844" s="521"/>
      <c r="I844" s="521"/>
      <c r="J844" s="521"/>
      <c r="K844" s="521"/>
      <c r="L844" s="521"/>
      <c r="M844" s="521"/>
      <c r="N844" s="521"/>
      <c r="O844" s="521"/>
      <c r="P844" s="521"/>
      <c r="Q844" s="521"/>
      <c r="R844" s="521"/>
      <c r="S844" s="521"/>
      <c r="T844" s="521"/>
      <c r="U844" s="521"/>
      <c r="V844" s="521"/>
      <c r="W844" s="521"/>
      <c r="X844" s="521"/>
      <c r="Y844" s="521"/>
      <c r="Z844" s="522"/>
    </row>
    <row r="845" spans="1:26" x14ac:dyDescent="0.3">
      <c r="A845" s="521"/>
      <c r="B845" s="521"/>
      <c r="C845" s="521"/>
      <c r="D845" s="521"/>
      <c r="E845" s="521"/>
      <c r="F845" s="521"/>
      <c r="G845" s="521"/>
      <c r="H845" s="521"/>
      <c r="I845" s="521"/>
      <c r="J845" s="521"/>
      <c r="K845" s="521"/>
      <c r="L845" s="521"/>
      <c r="M845" s="521"/>
      <c r="N845" s="521"/>
      <c r="O845" s="521"/>
      <c r="P845" s="521"/>
      <c r="Q845" s="521"/>
      <c r="R845" s="521"/>
      <c r="S845" s="521"/>
      <c r="T845" s="521"/>
      <c r="U845" s="521"/>
      <c r="V845" s="521"/>
      <c r="W845" s="521"/>
      <c r="X845" s="521"/>
      <c r="Y845" s="521"/>
      <c r="Z845" s="522"/>
    </row>
    <row r="846" spans="1:26" x14ac:dyDescent="0.3">
      <c r="A846" s="521"/>
      <c r="B846" s="521"/>
      <c r="C846" s="521"/>
      <c r="D846" s="521"/>
      <c r="E846" s="521"/>
      <c r="F846" s="521"/>
      <c r="G846" s="521"/>
      <c r="H846" s="521"/>
      <c r="I846" s="521"/>
      <c r="J846" s="521"/>
      <c r="K846" s="521"/>
      <c r="L846" s="521"/>
      <c r="M846" s="521"/>
      <c r="N846" s="521"/>
      <c r="O846" s="521"/>
      <c r="P846" s="521"/>
      <c r="Q846" s="521"/>
      <c r="R846" s="521"/>
      <c r="S846" s="521"/>
      <c r="T846" s="521"/>
      <c r="U846" s="521"/>
      <c r="V846" s="521"/>
      <c r="W846" s="521"/>
      <c r="X846" s="521"/>
      <c r="Y846" s="521"/>
      <c r="Z846" s="522"/>
    </row>
    <row r="847" spans="1:26" x14ac:dyDescent="0.3">
      <c r="A847" s="521"/>
      <c r="B847" s="521"/>
      <c r="C847" s="521"/>
      <c r="D847" s="521"/>
      <c r="E847" s="521"/>
      <c r="F847" s="521"/>
      <c r="G847" s="521"/>
      <c r="H847" s="521"/>
      <c r="I847" s="521"/>
      <c r="J847" s="521"/>
      <c r="K847" s="521"/>
      <c r="L847" s="521"/>
      <c r="M847" s="521"/>
      <c r="N847" s="521"/>
      <c r="O847" s="521"/>
      <c r="P847" s="521"/>
      <c r="Q847" s="521"/>
      <c r="R847" s="521"/>
      <c r="S847" s="521"/>
      <c r="T847" s="521"/>
      <c r="U847" s="521"/>
      <c r="V847" s="521"/>
      <c r="W847" s="521"/>
      <c r="X847" s="521"/>
      <c r="Y847" s="521"/>
      <c r="Z847" s="522"/>
    </row>
    <row r="848" spans="1:26" x14ac:dyDescent="0.3">
      <c r="A848" s="521"/>
      <c r="B848" s="521"/>
      <c r="C848" s="521"/>
      <c r="D848" s="521"/>
      <c r="E848" s="521"/>
      <c r="F848" s="521"/>
      <c r="G848" s="521"/>
      <c r="H848" s="521"/>
      <c r="I848" s="521"/>
      <c r="J848" s="521"/>
      <c r="K848" s="521"/>
      <c r="L848" s="521"/>
      <c r="M848" s="521"/>
      <c r="N848" s="521"/>
      <c r="O848" s="521"/>
      <c r="P848" s="521"/>
      <c r="Q848" s="521"/>
      <c r="R848" s="521"/>
      <c r="S848" s="521"/>
      <c r="T848" s="521"/>
      <c r="U848" s="521"/>
      <c r="V848" s="521"/>
      <c r="W848" s="521"/>
      <c r="X848" s="521"/>
      <c r="Y848" s="521"/>
      <c r="Z848" s="522"/>
    </row>
    <row r="849" spans="1:26" x14ac:dyDescent="0.3">
      <c r="A849" s="521"/>
      <c r="B849" s="521"/>
      <c r="C849" s="521"/>
      <c r="D849" s="521"/>
      <c r="E849" s="521"/>
      <c r="F849" s="521"/>
      <c r="G849" s="521"/>
      <c r="H849" s="521"/>
      <c r="I849" s="521"/>
      <c r="J849" s="521"/>
      <c r="K849" s="521"/>
      <c r="L849" s="521"/>
      <c r="M849" s="521"/>
      <c r="N849" s="521"/>
      <c r="O849" s="521"/>
      <c r="P849" s="521"/>
      <c r="Q849" s="521"/>
      <c r="R849" s="521"/>
      <c r="S849" s="521"/>
      <c r="T849" s="521"/>
      <c r="U849" s="521"/>
      <c r="V849" s="521"/>
      <c r="W849" s="521"/>
      <c r="X849" s="521"/>
      <c r="Y849" s="521"/>
      <c r="Z849" s="522"/>
    </row>
    <row r="850" spans="1:26" x14ac:dyDescent="0.3">
      <c r="A850" s="521"/>
      <c r="B850" s="521"/>
      <c r="C850" s="521"/>
      <c r="D850" s="521"/>
      <c r="E850" s="521"/>
      <c r="F850" s="521"/>
      <c r="G850" s="521"/>
      <c r="H850" s="521"/>
      <c r="I850" s="521"/>
      <c r="J850" s="521"/>
      <c r="K850" s="521"/>
      <c r="L850" s="521"/>
      <c r="M850" s="521"/>
      <c r="N850" s="521"/>
      <c r="O850" s="521"/>
      <c r="P850" s="521"/>
      <c r="Q850" s="521"/>
      <c r="R850" s="521"/>
      <c r="S850" s="521"/>
      <c r="T850" s="521"/>
      <c r="U850" s="521"/>
      <c r="V850" s="521"/>
      <c r="W850" s="521"/>
      <c r="X850" s="521"/>
      <c r="Y850" s="521"/>
      <c r="Z850" s="522"/>
    </row>
    <row r="851" spans="1:26" x14ac:dyDescent="0.3">
      <c r="A851" s="521"/>
      <c r="B851" s="521"/>
      <c r="C851" s="521"/>
      <c r="D851" s="521"/>
      <c r="E851" s="521"/>
      <c r="F851" s="521"/>
      <c r="G851" s="521"/>
      <c r="H851" s="521"/>
      <c r="I851" s="521"/>
      <c r="J851" s="521"/>
      <c r="K851" s="521"/>
      <c r="L851" s="521"/>
      <c r="M851" s="521"/>
      <c r="N851" s="521"/>
      <c r="O851" s="521"/>
      <c r="P851" s="521"/>
      <c r="Q851" s="521"/>
      <c r="R851" s="521"/>
      <c r="S851" s="521"/>
      <c r="T851" s="521"/>
      <c r="U851" s="521"/>
      <c r="V851" s="521"/>
      <c r="W851" s="521"/>
      <c r="X851" s="521"/>
      <c r="Y851" s="521"/>
      <c r="Z851" s="522"/>
    </row>
    <row r="852" spans="1:26" x14ac:dyDescent="0.3">
      <c r="A852" s="521"/>
      <c r="B852" s="521"/>
      <c r="C852" s="521"/>
      <c r="D852" s="521"/>
      <c r="E852" s="521"/>
      <c r="F852" s="521"/>
      <c r="G852" s="521"/>
      <c r="H852" s="521"/>
      <c r="I852" s="521"/>
      <c r="J852" s="521"/>
      <c r="K852" s="521"/>
      <c r="L852" s="521"/>
      <c r="M852" s="521"/>
      <c r="N852" s="521"/>
      <c r="O852" s="521"/>
      <c r="P852" s="521"/>
      <c r="Q852" s="521"/>
      <c r="R852" s="521"/>
      <c r="S852" s="521"/>
      <c r="T852" s="521"/>
      <c r="U852" s="521"/>
      <c r="V852" s="521"/>
      <c r="W852" s="521"/>
      <c r="X852" s="521"/>
      <c r="Y852" s="521"/>
      <c r="Z852" s="522"/>
    </row>
    <row r="853" spans="1:26" x14ac:dyDescent="0.3">
      <c r="A853" s="521"/>
      <c r="B853" s="521"/>
      <c r="C853" s="521"/>
      <c r="D853" s="521"/>
      <c r="E853" s="521"/>
      <c r="F853" s="521"/>
      <c r="G853" s="521"/>
      <c r="H853" s="521"/>
      <c r="I853" s="521"/>
      <c r="J853" s="521"/>
      <c r="K853" s="521"/>
      <c r="L853" s="521"/>
      <c r="M853" s="521"/>
      <c r="N853" s="521"/>
      <c r="O853" s="521"/>
      <c r="P853" s="521"/>
      <c r="Q853" s="521"/>
      <c r="R853" s="521"/>
      <c r="S853" s="521"/>
      <c r="T853" s="521"/>
      <c r="U853" s="521"/>
      <c r="V853" s="521"/>
      <c r="W853" s="521"/>
      <c r="X853" s="521"/>
      <c r="Y853" s="521"/>
      <c r="Z853" s="522"/>
    </row>
    <row r="854" spans="1:26" x14ac:dyDescent="0.3">
      <c r="A854" s="521"/>
      <c r="B854" s="521"/>
      <c r="C854" s="521"/>
      <c r="D854" s="521"/>
      <c r="E854" s="521"/>
      <c r="F854" s="521"/>
      <c r="G854" s="521"/>
      <c r="H854" s="521"/>
      <c r="I854" s="521"/>
      <c r="J854" s="521"/>
      <c r="K854" s="521"/>
      <c r="L854" s="521"/>
      <c r="M854" s="521"/>
      <c r="N854" s="521"/>
      <c r="O854" s="521"/>
      <c r="P854" s="521"/>
      <c r="Q854" s="521"/>
      <c r="R854" s="521"/>
      <c r="S854" s="521"/>
      <c r="T854" s="521"/>
      <c r="U854" s="521"/>
      <c r="V854" s="521"/>
      <c r="W854" s="521"/>
      <c r="X854" s="521"/>
      <c r="Y854" s="521"/>
      <c r="Z854" s="522"/>
    </row>
    <row r="855" spans="1:26" x14ac:dyDescent="0.3">
      <c r="A855" s="521"/>
      <c r="B855" s="521"/>
      <c r="C855" s="521"/>
      <c r="D855" s="521"/>
      <c r="E855" s="521"/>
      <c r="F855" s="521"/>
      <c r="G855" s="521"/>
      <c r="H855" s="521"/>
      <c r="I855" s="521"/>
      <c r="J855" s="521"/>
      <c r="K855" s="521"/>
      <c r="L855" s="521"/>
      <c r="M855" s="521"/>
      <c r="N855" s="521"/>
      <c r="O855" s="521"/>
      <c r="P855" s="521"/>
      <c r="Q855" s="521"/>
      <c r="R855" s="521"/>
      <c r="S855" s="521"/>
      <c r="T855" s="521"/>
      <c r="U855" s="521"/>
      <c r="V855" s="521"/>
      <c r="W855" s="521"/>
      <c r="X855" s="521"/>
      <c r="Y855" s="521"/>
      <c r="Z855" s="522"/>
    </row>
    <row r="856" spans="1:26" x14ac:dyDescent="0.3">
      <c r="A856" s="521"/>
      <c r="B856" s="521"/>
      <c r="C856" s="521"/>
      <c r="D856" s="521"/>
      <c r="E856" s="521"/>
      <c r="F856" s="521"/>
      <c r="G856" s="521"/>
      <c r="H856" s="521"/>
      <c r="I856" s="521"/>
      <c r="J856" s="521"/>
      <c r="K856" s="521"/>
      <c r="L856" s="521"/>
      <c r="M856" s="521"/>
      <c r="N856" s="521"/>
      <c r="O856" s="521"/>
      <c r="P856" s="521"/>
      <c r="Q856" s="521"/>
      <c r="R856" s="521"/>
      <c r="S856" s="521"/>
      <c r="T856" s="521"/>
      <c r="U856" s="521"/>
      <c r="V856" s="521"/>
      <c r="W856" s="521"/>
      <c r="X856" s="521"/>
      <c r="Y856" s="521"/>
      <c r="Z856" s="522"/>
    </row>
    <row r="857" spans="1:26" x14ac:dyDescent="0.3">
      <c r="A857" s="521"/>
      <c r="B857" s="521"/>
      <c r="C857" s="521"/>
      <c r="D857" s="521"/>
      <c r="E857" s="521"/>
      <c r="F857" s="521"/>
      <c r="G857" s="521"/>
      <c r="H857" s="521"/>
      <c r="I857" s="521"/>
      <c r="J857" s="521"/>
      <c r="K857" s="521"/>
      <c r="L857" s="521"/>
      <c r="M857" s="521"/>
      <c r="N857" s="521"/>
      <c r="O857" s="521"/>
      <c r="P857" s="521"/>
      <c r="Q857" s="521"/>
      <c r="R857" s="521"/>
      <c r="S857" s="521"/>
      <c r="T857" s="521"/>
      <c r="U857" s="521"/>
      <c r="V857" s="521"/>
      <c r="W857" s="521"/>
      <c r="X857" s="521"/>
      <c r="Y857" s="521"/>
      <c r="Z857" s="522"/>
    </row>
    <row r="858" spans="1:26" x14ac:dyDescent="0.3">
      <c r="A858" s="521"/>
      <c r="B858" s="521"/>
      <c r="C858" s="521"/>
      <c r="D858" s="521"/>
      <c r="E858" s="521"/>
      <c r="F858" s="521"/>
      <c r="G858" s="521"/>
      <c r="H858" s="521"/>
      <c r="I858" s="521"/>
      <c r="J858" s="521"/>
      <c r="K858" s="521"/>
      <c r="L858" s="521"/>
      <c r="M858" s="521"/>
      <c r="N858" s="521"/>
      <c r="O858" s="521"/>
      <c r="P858" s="521"/>
      <c r="Q858" s="521"/>
      <c r="R858" s="521"/>
      <c r="S858" s="521"/>
      <c r="T858" s="521"/>
      <c r="U858" s="521"/>
      <c r="V858" s="521"/>
      <c r="W858" s="521"/>
      <c r="X858" s="521"/>
      <c r="Y858" s="521"/>
      <c r="Z858" s="522"/>
    </row>
    <row r="859" spans="1:26" x14ac:dyDescent="0.3">
      <c r="A859" s="521"/>
      <c r="B859" s="521"/>
      <c r="C859" s="521"/>
      <c r="D859" s="521"/>
      <c r="E859" s="521"/>
      <c r="F859" s="521"/>
      <c r="G859" s="521"/>
      <c r="H859" s="521"/>
      <c r="I859" s="521"/>
      <c r="J859" s="521"/>
      <c r="K859" s="521"/>
      <c r="L859" s="521"/>
      <c r="M859" s="521"/>
      <c r="N859" s="521"/>
      <c r="O859" s="521"/>
      <c r="P859" s="521"/>
      <c r="Q859" s="521"/>
      <c r="R859" s="521"/>
      <c r="S859" s="521"/>
      <c r="T859" s="521"/>
      <c r="U859" s="521"/>
      <c r="V859" s="521"/>
      <c r="W859" s="521"/>
      <c r="X859" s="521"/>
      <c r="Y859" s="521"/>
      <c r="Z859" s="522"/>
    </row>
    <row r="860" spans="1:26" x14ac:dyDescent="0.3">
      <c r="A860" s="521"/>
      <c r="B860" s="521"/>
      <c r="C860" s="521"/>
      <c r="D860" s="521"/>
      <c r="E860" s="521"/>
      <c r="F860" s="521"/>
      <c r="G860" s="521"/>
      <c r="H860" s="521"/>
      <c r="I860" s="521"/>
      <c r="J860" s="521"/>
      <c r="K860" s="521"/>
      <c r="L860" s="521"/>
      <c r="M860" s="521"/>
      <c r="N860" s="521"/>
      <c r="O860" s="521"/>
      <c r="P860" s="521"/>
      <c r="Q860" s="521"/>
      <c r="R860" s="521"/>
      <c r="S860" s="521"/>
      <c r="T860" s="521"/>
      <c r="U860" s="521"/>
      <c r="V860" s="521"/>
      <c r="W860" s="521"/>
      <c r="X860" s="521"/>
      <c r="Y860" s="521"/>
      <c r="Z860" s="522"/>
    </row>
    <row r="861" spans="1:26" x14ac:dyDescent="0.3">
      <c r="A861" s="521"/>
      <c r="B861" s="521"/>
      <c r="C861" s="521"/>
      <c r="D861" s="521"/>
      <c r="E861" s="521"/>
      <c r="F861" s="521"/>
      <c r="G861" s="521"/>
      <c r="H861" s="521"/>
      <c r="I861" s="521"/>
      <c r="J861" s="521"/>
      <c r="K861" s="521"/>
      <c r="L861" s="521"/>
      <c r="M861" s="521"/>
      <c r="N861" s="521"/>
      <c r="O861" s="521"/>
      <c r="P861" s="521"/>
      <c r="Q861" s="521"/>
      <c r="R861" s="521"/>
      <c r="S861" s="521"/>
      <c r="T861" s="521"/>
      <c r="U861" s="521"/>
      <c r="V861" s="521"/>
      <c r="W861" s="521"/>
      <c r="X861" s="521"/>
      <c r="Y861" s="521"/>
      <c r="Z861" s="522"/>
    </row>
    <row r="862" spans="1:26" x14ac:dyDescent="0.3">
      <c r="A862" s="521"/>
      <c r="B862" s="521"/>
      <c r="C862" s="521"/>
      <c r="D862" s="521"/>
      <c r="E862" s="521"/>
      <c r="F862" s="521"/>
      <c r="G862" s="521"/>
      <c r="H862" s="521"/>
      <c r="I862" s="521"/>
      <c r="J862" s="521"/>
      <c r="K862" s="521"/>
      <c r="L862" s="521"/>
      <c r="M862" s="521"/>
      <c r="N862" s="521"/>
      <c r="O862" s="521"/>
      <c r="P862" s="521"/>
      <c r="Q862" s="521"/>
      <c r="R862" s="521"/>
      <c r="S862" s="521"/>
      <c r="T862" s="521"/>
      <c r="U862" s="521"/>
      <c r="V862" s="521"/>
      <c r="W862" s="521"/>
      <c r="X862" s="521"/>
      <c r="Y862" s="521"/>
      <c r="Z862" s="522"/>
    </row>
    <row r="863" spans="1:26" x14ac:dyDescent="0.3">
      <c r="A863" s="521"/>
      <c r="B863" s="521"/>
      <c r="C863" s="521"/>
      <c r="D863" s="521"/>
      <c r="E863" s="521"/>
      <c r="F863" s="521"/>
      <c r="G863" s="521"/>
      <c r="H863" s="521"/>
      <c r="I863" s="521"/>
      <c r="J863" s="521"/>
      <c r="K863" s="521"/>
      <c r="L863" s="521"/>
      <c r="M863" s="521"/>
      <c r="N863" s="521"/>
      <c r="O863" s="521"/>
      <c r="P863" s="521"/>
      <c r="Q863" s="521"/>
      <c r="R863" s="521"/>
      <c r="S863" s="521"/>
      <c r="T863" s="521"/>
      <c r="U863" s="521"/>
      <c r="V863" s="521"/>
      <c r="W863" s="521"/>
      <c r="X863" s="521"/>
      <c r="Y863" s="521"/>
      <c r="Z863" s="522"/>
    </row>
    <row r="864" spans="1:26" x14ac:dyDescent="0.3">
      <c r="A864" s="521"/>
      <c r="B864" s="521"/>
      <c r="C864" s="521"/>
      <c r="D864" s="521"/>
      <c r="E864" s="521"/>
      <c r="F864" s="521"/>
      <c r="G864" s="521"/>
      <c r="H864" s="521"/>
      <c r="I864" s="521"/>
      <c r="J864" s="521"/>
      <c r="K864" s="521"/>
      <c r="L864" s="521"/>
      <c r="M864" s="521"/>
      <c r="N864" s="521"/>
      <c r="O864" s="521"/>
      <c r="P864" s="521"/>
      <c r="Q864" s="521"/>
      <c r="R864" s="521"/>
      <c r="S864" s="521"/>
      <c r="T864" s="521"/>
      <c r="U864" s="521"/>
      <c r="V864" s="521"/>
      <c r="W864" s="521"/>
      <c r="X864" s="521"/>
      <c r="Y864" s="521"/>
      <c r="Z864" s="522"/>
    </row>
    <row r="865" spans="1:26" x14ac:dyDescent="0.3">
      <c r="A865" s="521"/>
      <c r="B865" s="521"/>
      <c r="C865" s="521"/>
      <c r="D865" s="521"/>
      <c r="E865" s="521"/>
      <c r="F865" s="521"/>
      <c r="G865" s="521"/>
      <c r="H865" s="521"/>
      <c r="I865" s="521"/>
      <c r="J865" s="521"/>
      <c r="K865" s="521"/>
      <c r="L865" s="521"/>
      <c r="M865" s="521"/>
      <c r="N865" s="521"/>
      <c r="O865" s="521"/>
      <c r="P865" s="521"/>
      <c r="Q865" s="521"/>
      <c r="R865" s="521"/>
      <c r="S865" s="521"/>
      <c r="T865" s="521"/>
      <c r="U865" s="521"/>
      <c r="V865" s="521"/>
      <c r="W865" s="521"/>
      <c r="X865" s="521"/>
      <c r="Y865" s="521"/>
      <c r="Z865" s="522"/>
    </row>
    <row r="866" spans="1:26" x14ac:dyDescent="0.3">
      <c r="A866" s="521"/>
      <c r="B866" s="521"/>
      <c r="C866" s="521"/>
      <c r="D866" s="521"/>
      <c r="E866" s="521"/>
      <c r="F866" s="521"/>
      <c r="G866" s="521"/>
      <c r="H866" s="521"/>
      <c r="I866" s="521"/>
      <c r="J866" s="521"/>
      <c r="K866" s="521"/>
      <c r="L866" s="521"/>
      <c r="M866" s="521"/>
      <c r="N866" s="521"/>
      <c r="O866" s="521"/>
      <c r="P866" s="521"/>
      <c r="Q866" s="521"/>
      <c r="R866" s="521"/>
      <c r="S866" s="521"/>
      <c r="T866" s="521"/>
      <c r="U866" s="521"/>
      <c r="V866" s="521"/>
      <c r="W866" s="521"/>
      <c r="X866" s="521"/>
      <c r="Y866" s="521"/>
      <c r="Z866" s="522"/>
    </row>
    <row r="867" spans="1:26" x14ac:dyDescent="0.3">
      <c r="A867" s="521"/>
      <c r="B867" s="521"/>
      <c r="C867" s="521"/>
      <c r="D867" s="521"/>
      <c r="E867" s="521"/>
      <c r="F867" s="521"/>
      <c r="G867" s="521"/>
      <c r="H867" s="521"/>
      <c r="I867" s="521"/>
      <c r="J867" s="521"/>
      <c r="K867" s="521"/>
      <c r="L867" s="521"/>
      <c r="M867" s="521"/>
      <c r="N867" s="521"/>
      <c r="O867" s="521"/>
      <c r="P867" s="521"/>
      <c r="Q867" s="521"/>
      <c r="R867" s="521"/>
      <c r="S867" s="521"/>
      <c r="T867" s="521"/>
      <c r="U867" s="521"/>
      <c r="V867" s="521"/>
      <c r="W867" s="521"/>
      <c r="X867" s="521"/>
      <c r="Y867" s="521"/>
      <c r="Z867" s="522"/>
    </row>
    <row r="868" spans="1:26" x14ac:dyDescent="0.3">
      <c r="A868" s="521"/>
      <c r="B868" s="521"/>
      <c r="C868" s="521"/>
      <c r="D868" s="521"/>
      <c r="E868" s="521"/>
      <c r="F868" s="521"/>
      <c r="G868" s="521"/>
      <c r="H868" s="521"/>
      <c r="I868" s="521"/>
      <c r="J868" s="521"/>
      <c r="K868" s="521"/>
      <c r="L868" s="521"/>
      <c r="M868" s="521"/>
      <c r="N868" s="521"/>
      <c r="O868" s="521"/>
      <c r="P868" s="521"/>
      <c r="Q868" s="521"/>
      <c r="R868" s="521"/>
      <c r="S868" s="521"/>
      <c r="T868" s="521"/>
      <c r="U868" s="521"/>
      <c r="V868" s="521"/>
      <c r="W868" s="521"/>
      <c r="X868" s="521"/>
      <c r="Y868" s="521"/>
      <c r="Z868" s="522"/>
    </row>
    <row r="869" spans="1:26" x14ac:dyDescent="0.3">
      <c r="A869" s="521"/>
      <c r="B869" s="521"/>
      <c r="C869" s="521"/>
      <c r="D869" s="521"/>
      <c r="E869" s="521"/>
      <c r="F869" s="521"/>
      <c r="G869" s="521"/>
      <c r="H869" s="521"/>
      <c r="I869" s="521"/>
      <c r="J869" s="521"/>
      <c r="K869" s="521"/>
      <c r="L869" s="521"/>
      <c r="M869" s="521"/>
      <c r="N869" s="521"/>
      <c r="O869" s="521"/>
      <c r="P869" s="521"/>
      <c r="Q869" s="521"/>
      <c r="R869" s="521"/>
      <c r="S869" s="521"/>
      <c r="T869" s="521"/>
      <c r="U869" s="521"/>
      <c r="V869" s="521"/>
      <c r="W869" s="521"/>
      <c r="X869" s="521"/>
      <c r="Y869" s="521"/>
      <c r="Z869" s="522"/>
    </row>
    <row r="870" spans="1:26" x14ac:dyDescent="0.3">
      <c r="A870" s="521"/>
      <c r="B870" s="521"/>
      <c r="C870" s="521"/>
      <c r="D870" s="521"/>
      <c r="E870" s="521"/>
      <c r="F870" s="521"/>
      <c r="G870" s="521"/>
      <c r="H870" s="521"/>
      <c r="I870" s="521"/>
      <c r="J870" s="521"/>
      <c r="K870" s="521"/>
      <c r="L870" s="521"/>
      <c r="M870" s="521"/>
      <c r="N870" s="521"/>
      <c r="O870" s="521"/>
      <c r="P870" s="521"/>
      <c r="Q870" s="521"/>
      <c r="R870" s="521"/>
      <c r="S870" s="521"/>
      <c r="T870" s="521"/>
      <c r="U870" s="521"/>
      <c r="V870" s="521"/>
      <c r="W870" s="521"/>
      <c r="X870" s="521"/>
      <c r="Y870" s="521"/>
      <c r="Z870" s="522"/>
    </row>
    <row r="871" spans="1:26" x14ac:dyDescent="0.3">
      <c r="A871" s="521"/>
      <c r="B871" s="521"/>
      <c r="C871" s="521"/>
      <c r="D871" s="521"/>
      <c r="E871" s="521"/>
      <c r="F871" s="521"/>
      <c r="G871" s="521"/>
      <c r="H871" s="521"/>
      <c r="I871" s="521"/>
      <c r="J871" s="521"/>
      <c r="K871" s="521"/>
      <c r="L871" s="521"/>
      <c r="M871" s="521"/>
      <c r="N871" s="521"/>
      <c r="O871" s="521"/>
      <c r="P871" s="521"/>
      <c r="Q871" s="521"/>
      <c r="R871" s="521"/>
      <c r="S871" s="521"/>
      <c r="T871" s="521"/>
      <c r="U871" s="521"/>
      <c r="V871" s="521"/>
      <c r="W871" s="521"/>
      <c r="X871" s="521"/>
      <c r="Y871" s="521"/>
      <c r="Z871" s="522"/>
    </row>
    <row r="872" spans="1:26" x14ac:dyDescent="0.3">
      <c r="A872" s="521"/>
      <c r="B872" s="521"/>
      <c r="C872" s="521"/>
      <c r="D872" s="521"/>
      <c r="E872" s="521"/>
      <c r="F872" s="521"/>
      <c r="G872" s="521"/>
      <c r="H872" s="521"/>
      <c r="I872" s="521"/>
      <c r="J872" s="521"/>
      <c r="K872" s="521"/>
      <c r="L872" s="521"/>
      <c r="M872" s="521"/>
      <c r="N872" s="521"/>
      <c r="O872" s="521"/>
      <c r="P872" s="521"/>
      <c r="Q872" s="521"/>
      <c r="R872" s="521"/>
      <c r="S872" s="521"/>
      <c r="T872" s="521"/>
      <c r="U872" s="521"/>
      <c r="V872" s="521"/>
      <c r="W872" s="521"/>
      <c r="X872" s="521"/>
      <c r="Y872" s="521"/>
      <c r="Z872" s="522"/>
    </row>
    <row r="873" spans="1:26" x14ac:dyDescent="0.3">
      <c r="A873" s="521"/>
      <c r="B873" s="521"/>
      <c r="C873" s="521"/>
      <c r="D873" s="521"/>
      <c r="E873" s="521"/>
      <c r="F873" s="521"/>
      <c r="G873" s="521"/>
      <c r="H873" s="521"/>
      <c r="I873" s="521"/>
      <c r="J873" s="521"/>
      <c r="K873" s="521"/>
      <c r="L873" s="521"/>
      <c r="M873" s="521"/>
      <c r="N873" s="521"/>
      <c r="O873" s="521"/>
      <c r="P873" s="521"/>
      <c r="Q873" s="521"/>
      <c r="R873" s="521"/>
      <c r="S873" s="521"/>
      <c r="T873" s="521"/>
      <c r="U873" s="521"/>
      <c r="V873" s="521"/>
      <c r="W873" s="521"/>
      <c r="X873" s="521"/>
      <c r="Y873" s="521"/>
      <c r="Z873" s="522"/>
    </row>
    <row r="874" spans="1:26" x14ac:dyDescent="0.3">
      <c r="A874" s="521"/>
      <c r="B874" s="521"/>
      <c r="C874" s="521"/>
      <c r="D874" s="521"/>
      <c r="E874" s="521"/>
      <c r="F874" s="521"/>
      <c r="G874" s="521"/>
      <c r="H874" s="521"/>
      <c r="I874" s="521"/>
      <c r="J874" s="521"/>
      <c r="K874" s="521"/>
      <c r="L874" s="521"/>
      <c r="M874" s="521"/>
      <c r="N874" s="521"/>
      <c r="O874" s="521"/>
      <c r="P874" s="521"/>
      <c r="Q874" s="521"/>
      <c r="R874" s="521"/>
      <c r="S874" s="521"/>
      <c r="T874" s="521"/>
      <c r="U874" s="521"/>
      <c r="V874" s="521"/>
      <c r="W874" s="521"/>
      <c r="X874" s="521"/>
      <c r="Y874" s="521"/>
      <c r="Z874" s="522"/>
    </row>
    <row r="875" spans="1:26" x14ac:dyDescent="0.3">
      <c r="A875" s="521"/>
      <c r="B875" s="521"/>
      <c r="C875" s="521"/>
      <c r="D875" s="521"/>
      <c r="E875" s="521"/>
      <c r="F875" s="521"/>
      <c r="G875" s="521"/>
      <c r="H875" s="521"/>
      <c r="I875" s="521"/>
      <c r="J875" s="521"/>
      <c r="K875" s="521"/>
      <c r="L875" s="521"/>
      <c r="M875" s="521"/>
      <c r="N875" s="521"/>
      <c r="O875" s="521"/>
      <c r="P875" s="521"/>
      <c r="Q875" s="521"/>
      <c r="R875" s="521"/>
      <c r="S875" s="521"/>
      <c r="T875" s="521"/>
      <c r="U875" s="521"/>
      <c r="V875" s="521"/>
      <c r="W875" s="521"/>
      <c r="X875" s="521"/>
      <c r="Y875" s="521"/>
      <c r="Z875" s="522"/>
    </row>
    <row r="876" spans="1:26" x14ac:dyDescent="0.3">
      <c r="A876" s="521"/>
      <c r="B876" s="521"/>
      <c r="C876" s="521"/>
      <c r="D876" s="521"/>
      <c r="E876" s="521"/>
      <c r="F876" s="521"/>
      <c r="G876" s="521"/>
      <c r="H876" s="521"/>
      <c r="I876" s="521"/>
      <c r="J876" s="521"/>
      <c r="K876" s="521"/>
      <c r="L876" s="521"/>
      <c r="M876" s="521"/>
      <c r="N876" s="521"/>
      <c r="O876" s="521"/>
      <c r="P876" s="521"/>
      <c r="Q876" s="521"/>
      <c r="R876" s="521"/>
      <c r="S876" s="521"/>
      <c r="T876" s="521"/>
      <c r="U876" s="521"/>
      <c r="V876" s="521"/>
      <c r="W876" s="521"/>
      <c r="X876" s="521"/>
      <c r="Y876" s="521"/>
      <c r="Z876" s="522"/>
    </row>
    <row r="877" spans="1:26" x14ac:dyDescent="0.3">
      <c r="A877" s="521"/>
      <c r="B877" s="521"/>
      <c r="C877" s="521"/>
      <c r="D877" s="521"/>
      <c r="E877" s="521"/>
      <c r="F877" s="521"/>
      <c r="G877" s="521"/>
      <c r="H877" s="521"/>
      <c r="I877" s="521"/>
      <c r="J877" s="521"/>
      <c r="K877" s="521"/>
      <c r="L877" s="521"/>
      <c r="M877" s="521"/>
      <c r="N877" s="521"/>
      <c r="O877" s="521"/>
      <c r="P877" s="521"/>
      <c r="Q877" s="521"/>
      <c r="R877" s="521"/>
      <c r="S877" s="521"/>
      <c r="T877" s="521"/>
      <c r="U877" s="521"/>
      <c r="V877" s="521"/>
      <c r="W877" s="521"/>
      <c r="X877" s="521"/>
      <c r="Y877" s="521"/>
      <c r="Z877" s="522"/>
    </row>
    <row r="878" spans="1:26" x14ac:dyDescent="0.3">
      <c r="A878" s="521"/>
      <c r="B878" s="521"/>
      <c r="C878" s="521"/>
      <c r="D878" s="521"/>
      <c r="E878" s="521"/>
      <c r="F878" s="521"/>
      <c r="G878" s="521"/>
      <c r="H878" s="521"/>
      <c r="I878" s="521"/>
      <c r="J878" s="521"/>
      <c r="K878" s="521"/>
      <c r="L878" s="521"/>
      <c r="M878" s="521"/>
      <c r="N878" s="521"/>
      <c r="O878" s="521"/>
      <c r="P878" s="521"/>
      <c r="Q878" s="521"/>
      <c r="R878" s="521"/>
      <c r="S878" s="521"/>
      <c r="T878" s="521"/>
      <c r="U878" s="521"/>
      <c r="V878" s="521"/>
      <c r="W878" s="521"/>
      <c r="X878" s="521"/>
      <c r="Y878" s="521"/>
      <c r="Z878" s="522"/>
    </row>
    <row r="879" spans="1:26" x14ac:dyDescent="0.3">
      <c r="A879" s="521"/>
      <c r="B879" s="521"/>
      <c r="C879" s="521"/>
      <c r="D879" s="521"/>
      <c r="E879" s="521"/>
      <c r="F879" s="521"/>
      <c r="G879" s="521"/>
      <c r="H879" s="521"/>
      <c r="I879" s="521"/>
      <c r="J879" s="521"/>
      <c r="K879" s="521"/>
      <c r="L879" s="521"/>
      <c r="M879" s="521"/>
      <c r="N879" s="521"/>
      <c r="O879" s="521"/>
      <c r="P879" s="521"/>
      <c r="Q879" s="521"/>
      <c r="R879" s="521"/>
      <c r="S879" s="521"/>
      <c r="T879" s="521"/>
      <c r="U879" s="521"/>
      <c r="V879" s="521"/>
      <c r="W879" s="521"/>
      <c r="X879" s="521"/>
      <c r="Y879" s="521"/>
      <c r="Z879" s="522"/>
    </row>
    <row r="880" spans="1:26" x14ac:dyDescent="0.3">
      <c r="A880" s="521"/>
      <c r="B880" s="521"/>
      <c r="C880" s="521"/>
      <c r="D880" s="521"/>
      <c r="E880" s="521"/>
      <c r="F880" s="521"/>
      <c r="G880" s="521"/>
      <c r="H880" s="521"/>
      <c r="I880" s="521"/>
      <c r="J880" s="521"/>
      <c r="K880" s="521"/>
      <c r="L880" s="521"/>
      <c r="M880" s="521"/>
      <c r="N880" s="521"/>
      <c r="O880" s="521"/>
      <c r="P880" s="521"/>
      <c r="Q880" s="521"/>
      <c r="R880" s="521"/>
      <c r="S880" s="521"/>
      <c r="T880" s="521"/>
      <c r="U880" s="521"/>
      <c r="V880" s="521"/>
      <c r="W880" s="521"/>
      <c r="X880" s="521"/>
      <c r="Y880" s="521"/>
      <c r="Z880" s="522"/>
    </row>
    <row r="881" spans="1:26" x14ac:dyDescent="0.3">
      <c r="A881" s="521"/>
      <c r="B881" s="521"/>
      <c r="C881" s="521"/>
      <c r="D881" s="521"/>
      <c r="E881" s="521"/>
      <c r="F881" s="521"/>
      <c r="G881" s="521"/>
      <c r="H881" s="521"/>
      <c r="I881" s="521"/>
      <c r="J881" s="521"/>
      <c r="K881" s="521"/>
      <c r="L881" s="521"/>
      <c r="M881" s="521"/>
      <c r="N881" s="521"/>
      <c r="O881" s="521"/>
      <c r="P881" s="521"/>
      <c r="Q881" s="521"/>
      <c r="R881" s="521"/>
      <c r="S881" s="521"/>
      <c r="T881" s="521"/>
      <c r="U881" s="521"/>
      <c r="V881" s="521"/>
      <c r="W881" s="521"/>
      <c r="X881" s="521"/>
      <c r="Y881" s="521"/>
      <c r="Z881" s="522"/>
    </row>
    <row r="882" spans="1:26" x14ac:dyDescent="0.3">
      <c r="A882" s="521"/>
      <c r="B882" s="521"/>
      <c r="C882" s="521"/>
      <c r="D882" s="521"/>
      <c r="E882" s="521"/>
      <c r="F882" s="521"/>
      <c r="G882" s="521"/>
      <c r="H882" s="521"/>
      <c r="I882" s="521"/>
      <c r="J882" s="521"/>
      <c r="K882" s="521"/>
      <c r="L882" s="521"/>
      <c r="M882" s="521"/>
      <c r="N882" s="521"/>
      <c r="O882" s="521"/>
      <c r="P882" s="521"/>
      <c r="Q882" s="521"/>
      <c r="R882" s="521"/>
      <c r="S882" s="521"/>
      <c r="T882" s="521"/>
      <c r="U882" s="521"/>
      <c r="V882" s="521"/>
      <c r="W882" s="521"/>
      <c r="X882" s="521"/>
      <c r="Y882" s="521"/>
      <c r="Z882" s="522"/>
    </row>
    <row r="883" spans="1:26" x14ac:dyDescent="0.3">
      <c r="A883" s="521"/>
      <c r="B883" s="521"/>
      <c r="C883" s="521"/>
      <c r="D883" s="521"/>
      <c r="E883" s="521"/>
      <c r="F883" s="521"/>
      <c r="G883" s="521"/>
      <c r="H883" s="521"/>
      <c r="I883" s="521"/>
      <c r="J883" s="521"/>
      <c r="K883" s="521"/>
      <c r="L883" s="521"/>
      <c r="M883" s="521"/>
      <c r="N883" s="521"/>
      <c r="O883" s="521"/>
      <c r="P883" s="521"/>
      <c r="Q883" s="521"/>
      <c r="R883" s="521"/>
      <c r="S883" s="521"/>
      <c r="T883" s="521"/>
      <c r="U883" s="521"/>
      <c r="V883" s="521"/>
      <c r="W883" s="521"/>
      <c r="X883" s="521"/>
      <c r="Y883" s="521"/>
      <c r="Z883" s="522"/>
    </row>
    <row r="884" spans="1:26" x14ac:dyDescent="0.3">
      <c r="A884" s="521"/>
      <c r="B884" s="521"/>
      <c r="C884" s="521"/>
      <c r="D884" s="521"/>
      <c r="E884" s="521"/>
      <c r="F884" s="521"/>
      <c r="G884" s="521"/>
      <c r="H884" s="521"/>
      <c r="I884" s="521"/>
      <c r="J884" s="521"/>
      <c r="K884" s="521"/>
      <c r="L884" s="521"/>
      <c r="M884" s="521"/>
      <c r="N884" s="521"/>
      <c r="O884" s="521"/>
      <c r="P884" s="521"/>
      <c r="Q884" s="521"/>
      <c r="R884" s="521"/>
      <c r="S884" s="521"/>
      <c r="T884" s="521"/>
      <c r="U884" s="521"/>
      <c r="V884" s="521"/>
      <c r="W884" s="521"/>
      <c r="X884" s="521"/>
      <c r="Y884" s="521"/>
      <c r="Z884" s="522"/>
    </row>
    <row r="885" spans="1:26" x14ac:dyDescent="0.3">
      <c r="A885" s="521"/>
      <c r="B885" s="521"/>
      <c r="C885" s="521"/>
      <c r="D885" s="521"/>
      <c r="E885" s="521"/>
      <c r="F885" s="521"/>
      <c r="G885" s="521"/>
      <c r="H885" s="521"/>
      <c r="I885" s="521"/>
      <c r="J885" s="521"/>
      <c r="K885" s="521"/>
      <c r="L885" s="521"/>
      <c r="M885" s="521"/>
      <c r="N885" s="521"/>
      <c r="O885" s="521"/>
      <c r="P885" s="521"/>
      <c r="Q885" s="521"/>
      <c r="R885" s="521"/>
      <c r="S885" s="521"/>
      <c r="T885" s="521"/>
      <c r="U885" s="521"/>
      <c r="V885" s="521"/>
      <c r="W885" s="521"/>
      <c r="X885" s="521"/>
      <c r="Y885" s="521"/>
      <c r="Z885" s="522"/>
    </row>
    <row r="886" spans="1:26" x14ac:dyDescent="0.3">
      <c r="A886" s="521"/>
      <c r="B886" s="521"/>
      <c r="C886" s="521"/>
      <c r="D886" s="521"/>
      <c r="E886" s="521"/>
      <c r="F886" s="521"/>
      <c r="G886" s="521"/>
      <c r="H886" s="521"/>
      <c r="I886" s="521"/>
      <c r="J886" s="521"/>
      <c r="K886" s="521"/>
      <c r="L886" s="521"/>
      <c r="M886" s="521"/>
      <c r="N886" s="521"/>
      <c r="O886" s="521"/>
      <c r="P886" s="521"/>
      <c r="Q886" s="521"/>
      <c r="R886" s="521"/>
      <c r="S886" s="521"/>
      <c r="T886" s="521"/>
      <c r="U886" s="521"/>
      <c r="V886" s="521"/>
      <c r="W886" s="521"/>
      <c r="X886" s="521"/>
      <c r="Y886" s="521"/>
      <c r="Z886" s="522"/>
    </row>
    <row r="887" spans="1:26" x14ac:dyDescent="0.3">
      <c r="A887" s="521"/>
      <c r="B887" s="521"/>
      <c r="C887" s="521"/>
      <c r="D887" s="521"/>
      <c r="E887" s="521"/>
      <c r="F887" s="521"/>
      <c r="G887" s="521"/>
      <c r="H887" s="521"/>
      <c r="I887" s="521"/>
      <c r="J887" s="521"/>
      <c r="K887" s="521"/>
      <c r="L887" s="521"/>
      <c r="M887" s="521"/>
      <c r="N887" s="521"/>
      <c r="O887" s="521"/>
      <c r="P887" s="521"/>
      <c r="Q887" s="521"/>
      <c r="R887" s="521"/>
      <c r="S887" s="521"/>
      <c r="T887" s="521"/>
      <c r="U887" s="521"/>
      <c r="V887" s="521"/>
      <c r="W887" s="521"/>
      <c r="X887" s="521"/>
      <c r="Y887" s="521"/>
      <c r="Z887" s="522"/>
    </row>
    <row r="888" spans="1:26" x14ac:dyDescent="0.3">
      <c r="A888" s="521"/>
      <c r="B888" s="521"/>
      <c r="C888" s="521"/>
      <c r="D888" s="521"/>
      <c r="E888" s="521"/>
      <c r="F888" s="521"/>
      <c r="G888" s="521"/>
      <c r="H888" s="521"/>
      <c r="I888" s="521"/>
      <c r="J888" s="521"/>
      <c r="K888" s="521"/>
      <c r="L888" s="521"/>
      <c r="M888" s="521"/>
      <c r="N888" s="521"/>
      <c r="O888" s="521"/>
      <c r="P888" s="521"/>
      <c r="Q888" s="521"/>
      <c r="R888" s="521"/>
      <c r="S888" s="521"/>
      <c r="T888" s="521"/>
      <c r="U888" s="521"/>
      <c r="V888" s="521"/>
      <c r="W888" s="521"/>
      <c r="X888" s="521"/>
      <c r="Y888" s="521"/>
      <c r="Z888" s="522"/>
    </row>
    <row r="889" spans="1:26" x14ac:dyDescent="0.3">
      <c r="A889" s="521"/>
      <c r="B889" s="521"/>
      <c r="C889" s="521"/>
      <c r="D889" s="521"/>
      <c r="E889" s="521"/>
      <c r="F889" s="521"/>
      <c r="G889" s="521"/>
      <c r="H889" s="521"/>
      <c r="I889" s="521"/>
      <c r="J889" s="521"/>
      <c r="K889" s="521"/>
      <c r="L889" s="521"/>
      <c r="M889" s="521"/>
      <c r="N889" s="521"/>
      <c r="O889" s="521"/>
      <c r="P889" s="521"/>
      <c r="Q889" s="521"/>
      <c r="R889" s="521"/>
      <c r="S889" s="521"/>
      <c r="T889" s="521"/>
      <c r="U889" s="521"/>
      <c r="V889" s="521"/>
      <c r="W889" s="521"/>
      <c r="X889" s="521"/>
      <c r="Y889" s="521"/>
      <c r="Z889" s="522"/>
    </row>
    <row r="890" spans="1:26" x14ac:dyDescent="0.3">
      <c r="A890" s="521"/>
      <c r="B890" s="521"/>
      <c r="C890" s="521"/>
      <c r="D890" s="521"/>
      <c r="E890" s="521"/>
      <c r="F890" s="521"/>
      <c r="G890" s="521"/>
      <c r="H890" s="521"/>
      <c r="I890" s="521"/>
      <c r="J890" s="521"/>
      <c r="K890" s="521"/>
      <c r="L890" s="521"/>
      <c r="M890" s="521"/>
      <c r="N890" s="521"/>
      <c r="O890" s="521"/>
      <c r="P890" s="521"/>
      <c r="Q890" s="521"/>
      <c r="R890" s="521"/>
      <c r="S890" s="521"/>
      <c r="T890" s="521"/>
      <c r="U890" s="521"/>
      <c r="V890" s="521"/>
      <c r="W890" s="521"/>
      <c r="X890" s="521"/>
      <c r="Y890" s="521"/>
      <c r="Z890" s="522"/>
    </row>
    <row r="891" spans="1:26" x14ac:dyDescent="0.3">
      <c r="A891" s="521"/>
      <c r="B891" s="521"/>
      <c r="C891" s="521"/>
      <c r="D891" s="521"/>
      <c r="E891" s="521"/>
      <c r="F891" s="521"/>
      <c r="G891" s="521"/>
      <c r="H891" s="521"/>
      <c r="I891" s="521"/>
      <c r="J891" s="521"/>
      <c r="K891" s="521"/>
      <c r="L891" s="521"/>
      <c r="M891" s="521"/>
      <c r="N891" s="521"/>
      <c r="O891" s="521"/>
      <c r="P891" s="521"/>
      <c r="Q891" s="521"/>
      <c r="R891" s="521"/>
      <c r="S891" s="521"/>
      <c r="T891" s="521"/>
      <c r="U891" s="521"/>
      <c r="V891" s="521"/>
      <c r="W891" s="521"/>
      <c r="X891" s="521"/>
      <c r="Y891" s="521"/>
      <c r="Z891" s="522"/>
    </row>
    <row r="892" spans="1:26" x14ac:dyDescent="0.3">
      <c r="A892" s="521"/>
      <c r="B892" s="521"/>
      <c r="C892" s="521"/>
      <c r="D892" s="521"/>
      <c r="E892" s="521"/>
      <c r="F892" s="521"/>
      <c r="G892" s="521"/>
      <c r="H892" s="521"/>
      <c r="I892" s="521"/>
      <c r="J892" s="521"/>
      <c r="K892" s="521"/>
      <c r="L892" s="521"/>
      <c r="M892" s="521"/>
      <c r="N892" s="521"/>
      <c r="O892" s="521"/>
      <c r="P892" s="521"/>
      <c r="Q892" s="521"/>
      <c r="R892" s="521"/>
      <c r="S892" s="521"/>
      <c r="T892" s="521"/>
      <c r="U892" s="521"/>
      <c r="V892" s="521"/>
      <c r="W892" s="521"/>
      <c r="X892" s="521"/>
      <c r="Y892" s="521"/>
      <c r="Z892" s="522"/>
    </row>
    <row r="893" spans="1:26" x14ac:dyDescent="0.3">
      <c r="A893" s="521"/>
      <c r="B893" s="521"/>
      <c r="C893" s="521"/>
      <c r="D893" s="521"/>
      <c r="E893" s="521"/>
      <c r="F893" s="521"/>
      <c r="G893" s="521"/>
      <c r="H893" s="521"/>
      <c r="I893" s="521"/>
      <c r="J893" s="521"/>
      <c r="K893" s="521"/>
      <c r="L893" s="521"/>
      <c r="M893" s="521"/>
      <c r="N893" s="521"/>
      <c r="O893" s="521"/>
      <c r="P893" s="521"/>
      <c r="Q893" s="521"/>
      <c r="R893" s="521"/>
      <c r="S893" s="521"/>
      <c r="T893" s="521"/>
      <c r="U893" s="521"/>
      <c r="V893" s="521"/>
      <c r="W893" s="521"/>
      <c r="X893" s="521"/>
      <c r="Y893" s="521"/>
      <c r="Z893" s="522"/>
    </row>
    <row r="894" spans="1:26" x14ac:dyDescent="0.3">
      <c r="A894" s="521"/>
      <c r="B894" s="521"/>
      <c r="C894" s="521"/>
      <c r="D894" s="521"/>
      <c r="E894" s="521"/>
      <c r="F894" s="521"/>
      <c r="G894" s="521"/>
      <c r="H894" s="521"/>
      <c r="I894" s="521"/>
      <c r="J894" s="521"/>
      <c r="K894" s="521"/>
      <c r="L894" s="521"/>
      <c r="M894" s="521"/>
      <c r="N894" s="521"/>
      <c r="O894" s="521"/>
      <c r="P894" s="521"/>
      <c r="Q894" s="521"/>
      <c r="R894" s="521"/>
      <c r="S894" s="521"/>
      <c r="T894" s="521"/>
      <c r="U894" s="521"/>
      <c r="V894" s="521"/>
      <c r="W894" s="521"/>
      <c r="X894" s="521"/>
      <c r="Y894" s="521"/>
      <c r="Z894" s="522"/>
    </row>
    <row r="895" spans="1:26" x14ac:dyDescent="0.3">
      <c r="A895" s="521"/>
      <c r="B895" s="521"/>
      <c r="C895" s="521"/>
      <c r="D895" s="521"/>
      <c r="E895" s="521"/>
      <c r="F895" s="521"/>
      <c r="G895" s="521"/>
      <c r="H895" s="521"/>
      <c r="I895" s="521"/>
      <c r="J895" s="521"/>
      <c r="K895" s="521"/>
      <c r="L895" s="521"/>
      <c r="M895" s="521"/>
      <c r="N895" s="521"/>
      <c r="O895" s="521"/>
      <c r="P895" s="521"/>
      <c r="Q895" s="521"/>
      <c r="R895" s="521"/>
      <c r="S895" s="521"/>
      <c r="T895" s="521"/>
      <c r="U895" s="521"/>
      <c r="V895" s="521"/>
      <c r="W895" s="521"/>
      <c r="X895" s="521"/>
      <c r="Y895" s="521"/>
      <c r="Z895" s="522"/>
    </row>
    <row r="896" spans="1:26" x14ac:dyDescent="0.3">
      <c r="A896" s="521"/>
      <c r="B896" s="521"/>
      <c r="C896" s="521"/>
      <c r="D896" s="521"/>
      <c r="E896" s="521"/>
      <c r="F896" s="521"/>
      <c r="G896" s="521"/>
      <c r="H896" s="521"/>
      <c r="I896" s="521"/>
      <c r="J896" s="521"/>
      <c r="K896" s="521"/>
      <c r="L896" s="521"/>
      <c r="M896" s="521"/>
      <c r="N896" s="521"/>
      <c r="O896" s="521"/>
      <c r="P896" s="521"/>
      <c r="Q896" s="521"/>
      <c r="R896" s="521"/>
      <c r="S896" s="521"/>
      <c r="T896" s="521"/>
      <c r="U896" s="521"/>
      <c r="V896" s="521"/>
      <c r="W896" s="521"/>
      <c r="X896" s="521"/>
      <c r="Y896" s="521"/>
      <c r="Z896" s="522"/>
    </row>
    <row r="897" spans="1:26" x14ac:dyDescent="0.3">
      <c r="A897" s="521"/>
      <c r="B897" s="521"/>
      <c r="C897" s="521"/>
      <c r="D897" s="521"/>
      <c r="E897" s="521"/>
      <c r="F897" s="521"/>
      <c r="G897" s="521"/>
      <c r="H897" s="521"/>
      <c r="I897" s="521"/>
      <c r="J897" s="521"/>
      <c r="K897" s="521"/>
      <c r="L897" s="521"/>
      <c r="M897" s="521"/>
      <c r="N897" s="521"/>
      <c r="O897" s="521"/>
      <c r="P897" s="521"/>
      <c r="Q897" s="521"/>
      <c r="R897" s="521"/>
      <c r="S897" s="521"/>
      <c r="T897" s="521"/>
      <c r="U897" s="521"/>
      <c r="V897" s="521"/>
      <c r="W897" s="521"/>
      <c r="X897" s="521"/>
      <c r="Y897" s="521"/>
      <c r="Z897" s="522"/>
    </row>
    <row r="898" spans="1:26" x14ac:dyDescent="0.3">
      <c r="A898" s="521"/>
      <c r="B898" s="521"/>
      <c r="C898" s="521"/>
      <c r="D898" s="521"/>
      <c r="E898" s="521"/>
      <c r="F898" s="521"/>
      <c r="G898" s="521"/>
      <c r="H898" s="521"/>
      <c r="I898" s="521"/>
      <c r="J898" s="521"/>
      <c r="K898" s="521"/>
      <c r="L898" s="521"/>
      <c r="M898" s="521"/>
      <c r="N898" s="521"/>
      <c r="O898" s="521"/>
      <c r="P898" s="521"/>
      <c r="Q898" s="521"/>
      <c r="R898" s="521"/>
      <c r="S898" s="521"/>
      <c r="T898" s="521"/>
      <c r="U898" s="521"/>
      <c r="V898" s="521"/>
      <c r="W898" s="521"/>
      <c r="X898" s="521"/>
      <c r="Y898" s="521"/>
      <c r="Z898" s="522"/>
    </row>
    <row r="899" spans="1:26" x14ac:dyDescent="0.3">
      <c r="A899" s="521"/>
      <c r="B899" s="521"/>
      <c r="C899" s="521"/>
      <c r="D899" s="521"/>
      <c r="E899" s="521"/>
      <c r="F899" s="521"/>
      <c r="G899" s="521"/>
      <c r="H899" s="521"/>
      <c r="I899" s="521"/>
      <c r="J899" s="521"/>
      <c r="K899" s="521"/>
      <c r="L899" s="521"/>
      <c r="M899" s="521"/>
      <c r="N899" s="521"/>
      <c r="O899" s="521"/>
      <c r="P899" s="521"/>
      <c r="Q899" s="521"/>
      <c r="R899" s="521"/>
      <c r="S899" s="521"/>
      <c r="T899" s="521"/>
      <c r="U899" s="521"/>
      <c r="V899" s="521"/>
      <c r="W899" s="521"/>
      <c r="X899" s="521"/>
      <c r="Y899" s="521"/>
      <c r="Z899" s="522"/>
    </row>
    <row r="900" spans="1:26" x14ac:dyDescent="0.3">
      <c r="A900" s="521"/>
      <c r="B900" s="521"/>
      <c r="C900" s="521"/>
      <c r="D900" s="521"/>
      <c r="E900" s="521"/>
      <c r="F900" s="521"/>
      <c r="G900" s="521"/>
      <c r="H900" s="521"/>
      <c r="I900" s="521"/>
      <c r="J900" s="521"/>
      <c r="K900" s="521"/>
      <c r="L900" s="521"/>
      <c r="M900" s="521"/>
      <c r="N900" s="521"/>
      <c r="O900" s="521"/>
      <c r="P900" s="521"/>
      <c r="Q900" s="521"/>
      <c r="R900" s="521"/>
      <c r="S900" s="521"/>
      <c r="T900" s="521"/>
      <c r="U900" s="521"/>
      <c r="V900" s="521"/>
      <c r="W900" s="521"/>
      <c r="X900" s="521"/>
      <c r="Y900" s="521"/>
      <c r="Z900" s="522"/>
    </row>
    <row r="901" spans="1:26" x14ac:dyDescent="0.3">
      <c r="A901" s="521"/>
      <c r="B901" s="521"/>
      <c r="C901" s="521"/>
      <c r="D901" s="521"/>
      <c r="E901" s="521"/>
      <c r="F901" s="521"/>
      <c r="G901" s="521"/>
      <c r="H901" s="521"/>
      <c r="I901" s="521"/>
      <c r="J901" s="521"/>
      <c r="K901" s="521"/>
      <c r="L901" s="521"/>
      <c r="M901" s="521"/>
      <c r="N901" s="521"/>
      <c r="O901" s="521"/>
      <c r="P901" s="521"/>
      <c r="Q901" s="521"/>
      <c r="R901" s="521"/>
      <c r="S901" s="521"/>
      <c r="T901" s="521"/>
      <c r="U901" s="521"/>
      <c r="V901" s="521"/>
      <c r="W901" s="521"/>
      <c r="X901" s="521"/>
      <c r="Y901" s="521"/>
      <c r="Z901" s="522"/>
    </row>
    <row r="902" spans="1:26" x14ac:dyDescent="0.3">
      <c r="A902" s="521"/>
      <c r="B902" s="521"/>
      <c r="C902" s="521"/>
      <c r="D902" s="521"/>
      <c r="E902" s="521"/>
      <c r="F902" s="521"/>
      <c r="G902" s="521"/>
      <c r="H902" s="521"/>
      <c r="I902" s="521"/>
      <c r="J902" s="521"/>
      <c r="K902" s="521"/>
      <c r="L902" s="521"/>
      <c r="M902" s="521"/>
      <c r="N902" s="521"/>
      <c r="O902" s="521"/>
      <c r="P902" s="521"/>
      <c r="Q902" s="521"/>
      <c r="R902" s="521"/>
      <c r="S902" s="521"/>
      <c r="T902" s="521"/>
      <c r="U902" s="521"/>
      <c r="V902" s="521"/>
      <c r="W902" s="521"/>
      <c r="X902" s="521"/>
      <c r="Y902" s="521"/>
      <c r="Z902" s="522"/>
    </row>
    <row r="903" spans="1:26" x14ac:dyDescent="0.3">
      <c r="A903" s="521"/>
      <c r="B903" s="521"/>
      <c r="C903" s="521"/>
      <c r="D903" s="521"/>
      <c r="E903" s="521"/>
      <c r="F903" s="521"/>
      <c r="G903" s="521"/>
      <c r="H903" s="521"/>
      <c r="I903" s="521"/>
      <c r="J903" s="521"/>
      <c r="K903" s="521"/>
      <c r="L903" s="521"/>
      <c r="M903" s="521"/>
      <c r="N903" s="521"/>
      <c r="O903" s="521"/>
      <c r="P903" s="521"/>
      <c r="Q903" s="521"/>
      <c r="R903" s="521"/>
      <c r="S903" s="521"/>
      <c r="T903" s="521"/>
      <c r="U903" s="521"/>
      <c r="V903" s="521"/>
      <c r="W903" s="521"/>
      <c r="X903" s="521"/>
      <c r="Y903" s="521"/>
      <c r="Z903" s="522"/>
    </row>
    <row r="904" spans="1:26" x14ac:dyDescent="0.3">
      <c r="A904" s="521"/>
      <c r="B904" s="521"/>
      <c r="C904" s="521"/>
      <c r="D904" s="521"/>
      <c r="E904" s="521"/>
      <c r="F904" s="521"/>
      <c r="G904" s="521"/>
      <c r="H904" s="521"/>
      <c r="I904" s="521"/>
      <c r="J904" s="521"/>
      <c r="K904" s="521"/>
      <c r="L904" s="521"/>
      <c r="M904" s="521"/>
      <c r="N904" s="521"/>
      <c r="O904" s="521"/>
      <c r="P904" s="521"/>
      <c r="Q904" s="521"/>
      <c r="R904" s="521"/>
      <c r="S904" s="521"/>
      <c r="T904" s="521"/>
      <c r="U904" s="521"/>
      <c r="V904" s="521"/>
      <c r="W904" s="521"/>
      <c r="X904" s="521"/>
      <c r="Y904" s="521"/>
      <c r="Z904" s="522"/>
    </row>
    <row r="905" spans="1:26" x14ac:dyDescent="0.3">
      <c r="A905" s="521"/>
      <c r="B905" s="521"/>
      <c r="C905" s="521"/>
      <c r="D905" s="521"/>
      <c r="E905" s="521"/>
      <c r="F905" s="521"/>
      <c r="G905" s="521"/>
      <c r="H905" s="521"/>
      <c r="I905" s="521"/>
      <c r="J905" s="521"/>
      <c r="K905" s="521"/>
      <c r="L905" s="521"/>
      <c r="M905" s="521"/>
      <c r="N905" s="521"/>
      <c r="O905" s="521"/>
      <c r="P905" s="521"/>
      <c r="Q905" s="521"/>
      <c r="R905" s="521"/>
      <c r="S905" s="521"/>
      <c r="T905" s="521"/>
      <c r="U905" s="521"/>
      <c r="V905" s="521"/>
      <c r="W905" s="521"/>
      <c r="X905" s="521"/>
      <c r="Y905" s="521"/>
      <c r="Z905" s="522"/>
    </row>
    <row r="906" spans="1:26" x14ac:dyDescent="0.3">
      <c r="A906" s="521"/>
      <c r="B906" s="521"/>
      <c r="C906" s="521"/>
      <c r="D906" s="521"/>
      <c r="E906" s="521"/>
      <c r="F906" s="521"/>
      <c r="G906" s="521"/>
      <c r="H906" s="521"/>
      <c r="I906" s="521"/>
      <c r="J906" s="521"/>
      <c r="K906" s="521"/>
      <c r="L906" s="521"/>
      <c r="M906" s="521"/>
      <c r="N906" s="521"/>
      <c r="O906" s="521"/>
      <c r="P906" s="521"/>
      <c r="Q906" s="521"/>
      <c r="R906" s="521"/>
      <c r="S906" s="521"/>
      <c r="T906" s="521"/>
      <c r="U906" s="521"/>
      <c r="V906" s="521"/>
      <c r="W906" s="521"/>
      <c r="X906" s="521"/>
      <c r="Y906" s="521"/>
      <c r="Z906" s="522"/>
    </row>
    <row r="907" spans="1:26" x14ac:dyDescent="0.3">
      <c r="A907" s="521"/>
      <c r="B907" s="521"/>
      <c r="C907" s="521"/>
      <c r="D907" s="521"/>
      <c r="E907" s="521"/>
      <c r="F907" s="521"/>
      <c r="G907" s="521"/>
      <c r="H907" s="521"/>
      <c r="I907" s="521"/>
      <c r="J907" s="521"/>
      <c r="K907" s="521"/>
      <c r="L907" s="521"/>
      <c r="M907" s="521"/>
      <c r="N907" s="521"/>
      <c r="O907" s="521"/>
      <c r="P907" s="521"/>
      <c r="Q907" s="521"/>
      <c r="R907" s="521"/>
      <c r="S907" s="521"/>
      <c r="T907" s="521"/>
      <c r="U907" s="521"/>
      <c r="V907" s="521"/>
      <c r="W907" s="521"/>
      <c r="X907" s="521"/>
      <c r="Y907" s="521"/>
      <c r="Z907" s="522"/>
    </row>
    <row r="908" spans="1:26" x14ac:dyDescent="0.3">
      <c r="A908" s="521"/>
      <c r="B908" s="521"/>
      <c r="C908" s="521"/>
      <c r="D908" s="521"/>
      <c r="E908" s="521"/>
      <c r="F908" s="521"/>
      <c r="G908" s="521"/>
      <c r="H908" s="521"/>
      <c r="I908" s="521"/>
      <c r="J908" s="521"/>
      <c r="K908" s="521"/>
      <c r="L908" s="521"/>
      <c r="M908" s="521"/>
      <c r="N908" s="521"/>
      <c r="O908" s="521"/>
      <c r="P908" s="521"/>
      <c r="Q908" s="521"/>
      <c r="R908" s="521"/>
      <c r="S908" s="521"/>
      <c r="T908" s="521"/>
      <c r="U908" s="521"/>
      <c r="V908" s="521"/>
      <c r="W908" s="521"/>
      <c r="X908" s="521"/>
      <c r="Y908" s="521"/>
      <c r="Z908" s="522"/>
    </row>
    <row r="909" spans="1:26" x14ac:dyDescent="0.3">
      <c r="A909" s="521"/>
      <c r="B909" s="521"/>
      <c r="C909" s="521"/>
      <c r="D909" s="521"/>
      <c r="E909" s="521"/>
      <c r="F909" s="521"/>
      <c r="G909" s="521"/>
      <c r="H909" s="521"/>
      <c r="I909" s="521"/>
      <c r="J909" s="521"/>
      <c r="K909" s="521"/>
      <c r="L909" s="521"/>
      <c r="M909" s="521"/>
      <c r="N909" s="521"/>
      <c r="O909" s="521"/>
      <c r="P909" s="521"/>
      <c r="Q909" s="521"/>
      <c r="R909" s="521"/>
      <c r="S909" s="521"/>
      <c r="T909" s="521"/>
      <c r="U909" s="521"/>
      <c r="V909" s="521"/>
      <c r="W909" s="521"/>
      <c r="X909" s="521"/>
      <c r="Y909" s="521"/>
      <c r="Z909" s="522"/>
    </row>
    <row r="910" spans="1:26" x14ac:dyDescent="0.3">
      <c r="A910" s="521"/>
      <c r="B910" s="521"/>
      <c r="C910" s="521"/>
      <c r="D910" s="521"/>
      <c r="E910" s="521"/>
      <c r="F910" s="521"/>
      <c r="G910" s="521"/>
      <c r="H910" s="521"/>
      <c r="I910" s="521"/>
      <c r="J910" s="521"/>
      <c r="K910" s="521"/>
      <c r="L910" s="521"/>
      <c r="M910" s="521"/>
      <c r="N910" s="521"/>
      <c r="O910" s="521"/>
      <c r="P910" s="521"/>
      <c r="Q910" s="521"/>
      <c r="R910" s="521"/>
      <c r="S910" s="521"/>
      <c r="T910" s="521"/>
      <c r="U910" s="521"/>
      <c r="V910" s="521"/>
      <c r="W910" s="521"/>
      <c r="X910" s="521"/>
      <c r="Y910" s="521"/>
      <c r="Z910" s="522"/>
    </row>
    <row r="911" spans="1:26" x14ac:dyDescent="0.3">
      <c r="A911" s="521"/>
      <c r="B911" s="521"/>
      <c r="C911" s="521"/>
      <c r="D911" s="521"/>
      <c r="E911" s="521"/>
      <c r="F911" s="521"/>
      <c r="G911" s="521"/>
      <c r="H911" s="521"/>
      <c r="I911" s="521"/>
      <c r="J911" s="521"/>
      <c r="K911" s="521"/>
      <c r="L911" s="521"/>
      <c r="M911" s="521"/>
      <c r="N911" s="521"/>
      <c r="O911" s="521"/>
      <c r="P911" s="521"/>
      <c r="Q911" s="521"/>
      <c r="R911" s="521"/>
      <c r="S911" s="521"/>
      <c r="T911" s="521"/>
      <c r="U911" s="521"/>
      <c r="V911" s="521"/>
      <c r="W911" s="521"/>
      <c r="X911" s="521"/>
      <c r="Y911" s="521"/>
      <c r="Z911" s="522"/>
    </row>
    <row r="912" spans="1:26" x14ac:dyDescent="0.3">
      <c r="A912" s="521"/>
      <c r="B912" s="521"/>
      <c r="C912" s="521"/>
      <c r="D912" s="521"/>
      <c r="E912" s="521"/>
      <c r="F912" s="521"/>
      <c r="G912" s="521"/>
      <c r="H912" s="521"/>
      <c r="I912" s="521"/>
      <c r="J912" s="521"/>
      <c r="K912" s="521"/>
      <c r="L912" s="521"/>
      <c r="M912" s="521"/>
      <c r="N912" s="521"/>
      <c r="O912" s="521"/>
      <c r="P912" s="521"/>
      <c r="Q912" s="521"/>
      <c r="R912" s="521"/>
      <c r="S912" s="521"/>
      <c r="T912" s="521"/>
      <c r="U912" s="521"/>
      <c r="V912" s="521"/>
      <c r="W912" s="521"/>
      <c r="X912" s="521"/>
      <c r="Y912" s="521"/>
      <c r="Z912" s="522"/>
    </row>
    <row r="913" spans="1:26" x14ac:dyDescent="0.3">
      <c r="A913" s="521"/>
      <c r="B913" s="521"/>
      <c r="C913" s="521"/>
      <c r="D913" s="521"/>
      <c r="E913" s="521"/>
      <c r="F913" s="521"/>
      <c r="G913" s="521"/>
      <c r="H913" s="521"/>
      <c r="I913" s="521"/>
      <c r="J913" s="521"/>
      <c r="K913" s="521"/>
      <c r="L913" s="521"/>
      <c r="M913" s="521"/>
      <c r="N913" s="521"/>
      <c r="O913" s="521"/>
      <c r="P913" s="521"/>
      <c r="Q913" s="521"/>
      <c r="R913" s="521"/>
      <c r="S913" s="521"/>
      <c r="T913" s="521"/>
      <c r="U913" s="521"/>
      <c r="V913" s="521"/>
      <c r="W913" s="521"/>
      <c r="X913" s="521"/>
      <c r="Y913" s="521"/>
      <c r="Z913" s="522"/>
    </row>
    <row r="914" spans="1:26" x14ac:dyDescent="0.3">
      <c r="A914" s="521"/>
      <c r="B914" s="521"/>
      <c r="C914" s="521"/>
      <c r="D914" s="521"/>
      <c r="E914" s="521"/>
      <c r="F914" s="521"/>
      <c r="G914" s="521"/>
      <c r="H914" s="521"/>
      <c r="I914" s="521"/>
      <c r="J914" s="521"/>
      <c r="K914" s="521"/>
      <c r="L914" s="521"/>
      <c r="M914" s="521"/>
      <c r="N914" s="521"/>
      <c r="O914" s="521"/>
      <c r="P914" s="521"/>
      <c r="Q914" s="521"/>
      <c r="R914" s="521"/>
      <c r="S914" s="521"/>
      <c r="T914" s="521"/>
      <c r="U914" s="521"/>
      <c r="V914" s="521"/>
      <c r="W914" s="521"/>
      <c r="X914" s="521"/>
      <c r="Y914" s="521"/>
      <c r="Z914" s="522"/>
    </row>
    <row r="915" spans="1:26" x14ac:dyDescent="0.3">
      <c r="A915" s="521"/>
      <c r="B915" s="521"/>
      <c r="C915" s="521"/>
      <c r="D915" s="521"/>
      <c r="E915" s="521"/>
      <c r="F915" s="521"/>
      <c r="G915" s="521"/>
      <c r="H915" s="521"/>
      <c r="I915" s="521"/>
      <c r="J915" s="521"/>
      <c r="K915" s="521"/>
      <c r="L915" s="521"/>
      <c r="M915" s="521"/>
      <c r="N915" s="521"/>
      <c r="O915" s="521"/>
      <c r="P915" s="521"/>
      <c r="Q915" s="521"/>
      <c r="R915" s="521"/>
      <c r="S915" s="521"/>
      <c r="T915" s="521"/>
      <c r="U915" s="521"/>
      <c r="V915" s="521"/>
      <c r="W915" s="521"/>
      <c r="X915" s="521"/>
      <c r="Y915" s="521"/>
      <c r="Z915" s="522"/>
    </row>
    <row r="916" spans="1:26" x14ac:dyDescent="0.3">
      <c r="A916" s="521"/>
      <c r="B916" s="521"/>
      <c r="C916" s="521"/>
      <c r="D916" s="521"/>
      <c r="E916" s="521"/>
      <c r="F916" s="521"/>
      <c r="G916" s="521"/>
      <c r="H916" s="521"/>
      <c r="I916" s="521"/>
      <c r="J916" s="521"/>
      <c r="K916" s="521"/>
      <c r="L916" s="521"/>
      <c r="M916" s="521"/>
      <c r="N916" s="521"/>
      <c r="O916" s="521"/>
      <c r="P916" s="521"/>
      <c r="Q916" s="521"/>
      <c r="R916" s="521"/>
      <c r="S916" s="521"/>
      <c r="T916" s="521"/>
      <c r="U916" s="521"/>
      <c r="V916" s="521"/>
      <c r="W916" s="521"/>
      <c r="X916" s="521"/>
      <c r="Y916" s="521"/>
      <c r="Z916" s="522"/>
    </row>
    <row r="917" spans="1:26" x14ac:dyDescent="0.3">
      <c r="A917" s="521"/>
      <c r="B917" s="521"/>
      <c r="C917" s="521"/>
      <c r="D917" s="521"/>
      <c r="E917" s="521"/>
      <c r="F917" s="521"/>
      <c r="G917" s="521"/>
      <c r="H917" s="521"/>
      <c r="I917" s="521"/>
      <c r="J917" s="521"/>
      <c r="K917" s="521"/>
      <c r="L917" s="521"/>
      <c r="M917" s="521"/>
      <c r="N917" s="521"/>
      <c r="O917" s="521"/>
      <c r="P917" s="521"/>
      <c r="Q917" s="521"/>
      <c r="R917" s="521"/>
      <c r="S917" s="521"/>
      <c r="T917" s="521"/>
      <c r="U917" s="521"/>
      <c r="V917" s="521"/>
      <c r="W917" s="521"/>
      <c r="X917" s="521"/>
      <c r="Y917" s="521"/>
      <c r="Z917" s="522"/>
    </row>
    <row r="918" spans="1:26" x14ac:dyDescent="0.3">
      <c r="A918" s="521"/>
      <c r="B918" s="521"/>
      <c r="C918" s="521"/>
      <c r="D918" s="521"/>
      <c r="E918" s="521"/>
      <c r="F918" s="521"/>
      <c r="G918" s="521"/>
      <c r="H918" s="521"/>
      <c r="I918" s="521"/>
      <c r="J918" s="521"/>
      <c r="K918" s="521"/>
      <c r="L918" s="521"/>
      <c r="M918" s="521"/>
      <c r="N918" s="521"/>
      <c r="O918" s="521"/>
      <c r="P918" s="521"/>
      <c r="Q918" s="521"/>
      <c r="R918" s="521"/>
      <c r="S918" s="521"/>
      <c r="T918" s="521"/>
      <c r="U918" s="521"/>
      <c r="V918" s="521"/>
      <c r="W918" s="521"/>
      <c r="X918" s="521"/>
      <c r="Y918" s="521"/>
      <c r="Z918" s="522"/>
    </row>
    <row r="919" spans="1:26" x14ac:dyDescent="0.3">
      <c r="A919" s="521"/>
      <c r="B919" s="521"/>
      <c r="C919" s="521"/>
      <c r="D919" s="521"/>
      <c r="E919" s="521"/>
      <c r="F919" s="521"/>
      <c r="G919" s="521"/>
      <c r="H919" s="521"/>
      <c r="I919" s="521"/>
      <c r="J919" s="521"/>
      <c r="K919" s="521"/>
      <c r="L919" s="521"/>
      <c r="M919" s="521"/>
      <c r="N919" s="521"/>
      <c r="O919" s="521"/>
      <c r="P919" s="521"/>
      <c r="Q919" s="521"/>
      <c r="R919" s="521"/>
      <c r="S919" s="521"/>
      <c r="T919" s="521"/>
      <c r="U919" s="521"/>
      <c r="V919" s="521"/>
      <c r="W919" s="521"/>
      <c r="X919" s="521"/>
      <c r="Y919" s="521"/>
      <c r="Z919" s="522"/>
    </row>
    <row r="920" spans="1:26" x14ac:dyDescent="0.3">
      <c r="A920" s="521"/>
      <c r="B920" s="521"/>
      <c r="C920" s="521"/>
      <c r="D920" s="521"/>
      <c r="E920" s="521"/>
      <c r="F920" s="521"/>
      <c r="G920" s="521"/>
      <c r="H920" s="521"/>
      <c r="I920" s="521"/>
      <c r="J920" s="521"/>
      <c r="K920" s="521"/>
      <c r="L920" s="521"/>
      <c r="M920" s="521"/>
      <c r="N920" s="521"/>
      <c r="O920" s="521"/>
      <c r="P920" s="521"/>
      <c r="Q920" s="521"/>
      <c r="R920" s="521"/>
      <c r="S920" s="521"/>
      <c r="T920" s="521"/>
      <c r="U920" s="521"/>
      <c r="V920" s="521"/>
      <c r="W920" s="521"/>
      <c r="X920" s="521"/>
      <c r="Y920" s="521"/>
      <c r="Z920" s="522"/>
    </row>
    <row r="921" spans="1:26" x14ac:dyDescent="0.3">
      <c r="A921" s="521"/>
      <c r="B921" s="521"/>
      <c r="C921" s="521"/>
      <c r="D921" s="521"/>
      <c r="E921" s="521"/>
      <c r="F921" s="521"/>
      <c r="G921" s="521"/>
      <c r="H921" s="521"/>
      <c r="I921" s="521"/>
      <c r="J921" s="521"/>
      <c r="K921" s="521"/>
      <c r="L921" s="521"/>
      <c r="M921" s="521"/>
      <c r="N921" s="521"/>
      <c r="O921" s="521"/>
      <c r="P921" s="521"/>
      <c r="Q921" s="521"/>
      <c r="R921" s="521"/>
      <c r="S921" s="521"/>
      <c r="T921" s="521"/>
      <c r="U921" s="521"/>
      <c r="V921" s="521"/>
      <c r="W921" s="521"/>
      <c r="X921" s="521"/>
      <c r="Y921" s="521"/>
      <c r="Z921" s="522"/>
    </row>
    <row r="922" spans="1:26" x14ac:dyDescent="0.3">
      <c r="A922" s="521"/>
      <c r="B922" s="521"/>
      <c r="C922" s="521"/>
      <c r="D922" s="521"/>
      <c r="E922" s="521"/>
      <c r="F922" s="521"/>
      <c r="G922" s="521"/>
      <c r="H922" s="521"/>
      <c r="I922" s="521"/>
      <c r="J922" s="521"/>
      <c r="K922" s="521"/>
      <c r="L922" s="521"/>
      <c r="M922" s="521"/>
      <c r="N922" s="521"/>
      <c r="O922" s="521"/>
      <c r="P922" s="521"/>
      <c r="Q922" s="521"/>
      <c r="R922" s="521"/>
      <c r="S922" s="521"/>
      <c r="T922" s="521"/>
      <c r="U922" s="521"/>
      <c r="V922" s="521"/>
      <c r="W922" s="521"/>
      <c r="X922" s="521"/>
      <c r="Y922" s="521"/>
      <c r="Z922" s="522"/>
    </row>
    <row r="923" spans="1:26" x14ac:dyDescent="0.3">
      <c r="A923" s="521"/>
      <c r="B923" s="521"/>
      <c r="C923" s="521"/>
      <c r="D923" s="521"/>
      <c r="E923" s="521"/>
      <c r="F923" s="521"/>
      <c r="G923" s="521"/>
      <c r="H923" s="521"/>
      <c r="I923" s="521"/>
      <c r="J923" s="521"/>
      <c r="K923" s="521"/>
      <c r="L923" s="521"/>
      <c r="M923" s="521"/>
      <c r="N923" s="521"/>
      <c r="O923" s="521"/>
      <c r="P923" s="521"/>
      <c r="Q923" s="521"/>
      <c r="R923" s="521"/>
      <c r="S923" s="521"/>
      <c r="T923" s="521"/>
      <c r="U923" s="521"/>
      <c r="V923" s="521"/>
      <c r="W923" s="521"/>
      <c r="X923" s="521"/>
      <c r="Y923" s="521"/>
      <c r="Z923" s="522"/>
    </row>
    <row r="924" spans="1:26" x14ac:dyDescent="0.3">
      <c r="A924" s="521"/>
      <c r="B924" s="521"/>
      <c r="C924" s="521"/>
      <c r="D924" s="521"/>
      <c r="E924" s="521"/>
      <c r="F924" s="521"/>
      <c r="G924" s="521"/>
      <c r="H924" s="521"/>
      <c r="I924" s="521"/>
      <c r="J924" s="521"/>
      <c r="K924" s="521"/>
      <c r="L924" s="521"/>
      <c r="M924" s="521"/>
      <c r="N924" s="521"/>
      <c r="O924" s="521"/>
      <c r="P924" s="521"/>
      <c r="Q924" s="521"/>
      <c r="R924" s="521"/>
      <c r="S924" s="521"/>
      <c r="T924" s="521"/>
      <c r="U924" s="521"/>
      <c r="V924" s="521"/>
      <c r="W924" s="521"/>
      <c r="X924" s="521"/>
      <c r="Y924" s="521"/>
      <c r="Z924" s="522"/>
    </row>
    <row r="925" spans="1:26" x14ac:dyDescent="0.3">
      <c r="A925" s="521"/>
      <c r="B925" s="521"/>
      <c r="C925" s="521"/>
      <c r="D925" s="521"/>
      <c r="E925" s="521"/>
      <c r="F925" s="521"/>
      <c r="G925" s="521"/>
      <c r="H925" s="521"/>
      <c r="I925" s="521"/>
      <c r="J925" s="521"/>
      <c r="K925" s="521"/>
      <c r="L925" s="521"/>
      <c r="M925" s="521"/>
      <c r="N925" s="521"/>
      <c r="O925" s="521"/>
      <c r="P925" s="521"/>
      <c r="Q925" s="521"/>
      <c r="R925" s="521"/>
      <c r="S925" s="521"/>
      <c r="T925" s="521"/>
      <c r="U925" s="521"/>
      <c r="V925" s="521"/>
      <c r="W925" s="521"/>
      <c r="X925" s="521"/>
      <c r="Y925" s="521"/>
      <c r="Z925" s="522"/>
    </row>
    <row r="926" spans="1:26" x14ac:dyDescent="0.3">
      <c r="A926" s="521"/>
      <c r="B926" s="521"/>
      <c r="C926" s="521"/>
      <c r="D926" s="521"/>
      <c r="E926" s="521"/>
      <c r="F926" s="521"/>
      <c r="G926" s="521"/>
      <c r="H926" s="521"/>
      <c r="I926" s="521"/>
      <c r="J926" s="521"/>
      <c r="K926" s="521"/>
      <c r="L926" s="521"/>
      <c r="M926" s="521"/>
      <c r="N926" s="521"/>
      <c r="O926" s="521"/>
      <c r="P926" s="521"/>
      <c r="Q926" s="521"/>
      <c r="R926" s="521"/>
      <c r="S926" s="521"/>
      <c r="T926" s="521"/>
      <c r="U926" s="521"/>
      <c r="V926" s="521"/>
      <c r="W926" s="521"/>
      <c r="X926" s="521"/>
      <c r="Y926" s="521"/>
      <c r="Z926" s="522"/>
    </row>
    <row r="927" spans="1:26" x14ac:dyDescent="0.3">
      <c r="A927" s="521"/>
      <c r="B927" s="521"/>
      <c r="C927" s="521"/>
      <c r="D927" s="521"/>
      <c r="E927" s="521"/>
      <c r="F927" s="521"/>
      <c r="G927" s="521"/>
      <c r="H927" s="521"/>
      <c r="I927" s="521"/>
      <c r="J927" s="521"/>
      <c r="K927" s="521"/>
      <c r="L927" s="521"/>
      <c r="M927" s="521"/>
      <c r="N927" s="521"/>
      <c r="O927" s="521"/>
      <c r="P927" s="521"/>
      <c r="Q927" s="521"/>
      <c r="R927" s="521"/>
      <c r="S927" s="521"/>
      <c r="T927" s="521"/>
      <c r="U927" s="521"/>
      <c r="V927" s="521"/>
      <c r="W927" s="521"/>
      <c r="X927" s="521"/>
      <c r="Y927" s="521"/>
      <c r="Z927" s="522"/>
    </row>
    <row r="928" spans="1:26" x14ac:dyDescent="0.3">
      <c r="A928" s="521"/>
      <c r="B928" s="521"/>
      <c r="C928" s="521"/>
      <c r="D928" s="521"/>
      <c r="E928" s="521"/>
      <c r="F928" s="521"/>
      <c r="G928" s="521"/>
      <c r="H928" s="521"/>
      <c r="I928" s="521"/>
      <c r="J928" s="521"/>
      <c r="K928" s="521"/>
      <c r="L928" s="521"/>
      <c r="M928" s="521"/>
      <c r="N928" s="521"/>
      <c r="O928" s="521"/>
      <c r="P928" s="521"/>
      <c r="Q928" s="521"/>
      <c r="R928" s="521"/>
      <c r="S928" s="521"/>
      <c r="T928" s="521"/>
      <c r="U928" s="521"/>
      <c r="V928" s="521"/>
      <c r="W928" s="521"/>
      <c r="X928" s="521"/>
      <c r="Y928" s="521"/>
      <c r="Z928" s="522"/>
    </row>
    <row r="929" spans="1:26" x14ac:dyDescent="0.3">
      <c r="A929" s="521"/>
      <c r="B929" s="521"/>
      <c r="C929" s="521"/>
      <c r="D929" s="521"/>
      <c r="E929" s="521"/>
      <c r="F929" s="521"/>
      <c r="G929" s="521"/>
      <c r="H929" s="521"/>
      <c r="I929" s="521"/>
      <c r="J929" s="521"/>
      <c r="K929" s="521"/>
      <c r="L929" s="521"/>
      <c r="M929" s="521"/>
      <c r="N929" s="521"/>
      <c r="O929" s="521"/>
      <c r="P929" s="521"/>
      <c r="Q929" s="521"/>
      <c r="R929" s="521"/>
      <c r="S929" s="521"/>
      <c r="T929" s="521"/>
      <c r="U929" s="521"/>
      <c r="V929" s="521"/>
      <c r="W929" s="521"/>
      <c r="X929" s="521"/>
      <c r="Y929" s="521"/>
      <c r="Z929" s="522"/>
    </row>
    <row r="930" spans="1:26" x14ac:dyDescent="0.3">
      <c r="A930" s="521"/>
      <c r="B930" s="521"/>
      <c r="C930" s="521"/>
      <c r="D930" s="521"/>
      <c r="E930" s="521"/>
      <c r="F930" s="521"/>
      <c r="G930" s="521"/>
      <c r="H930" s="521"/>
      <c r="I930" s="521"/>
      <c r="J930" s="521"/>
      <c r="K930" s="521"/>
      <c r="L930" s="521"/>
      <c r="M930" s="521"/>
      <c r="N930" s="521"/>
      <c r="O930" s="521"/>
      <c r="P930" s="521"/>
      <c r="Q930" s="521"/>
      <c r="R930" s="521"/>
      <c r="S930" s="521"/>
      <c r="T930" s="521"/>
      <c r="U930" s="521"/>
      <c r="V930" s="521"/>
      <c r="W930" s="521"/>
      <c r="X930" s="521"/>
      <c r="Y930" s="521"/>
      <c r="Z930" s="522"/>
    </row>
    <row r="931" spans="1:26" x14ac:dyDescent="0.3">
      <c r="A931" s="521"/>
      <c r="B931" s="521"/>
      <c r="C931" s="521"/>
      <c r="D931" s="521"/>
      <c r="E931" s="521"/>
      <c r="F931" s="521"/>
      <c r="G931" s="521"/>
      <c r="H931" s="521"/>
      <c r="I931" s="521"/>
      <c r="J931" s="521"/>
      <c r="K931" s="521"/>
      <c r="L931" s="521"/>
      <c r="M931" s="521"/>
      <c r="N931" s="521"/>
      <c r="O931" s="521"/>
      <c r="P931" s="521"/>
      <c r="Q931" s="521"/>
      <c r="R931" s="521"/>
      <c r="S931" s="521"/>
      <c r="T931" s="521"/>
      <c r="U931" s="521"/>
      <c r="V931" s="521"/>
      <c r="W931" s="521"/>
      <c r="X931" s="521"/>
      <c r="Y931" s="521"/>
      <c r="Z931" s="522"/>
    </row>
    <row r="932" spans="1:26" x14ac:dyDescent="0.3">
      <c r="A932" s="521"/>
      <c r="B932" s="521"/>
      <c r="C932" s="521"/>
      <c r="D932" s="521"/>
      <c r="E932" s="521"/>
      <c r="F932" s="521"/>
      <c r="G932" s="521"/>
      <c r="H932" s="521"/>
      <c r="I932" s="521"/>
      <c r="J932" s="521"/>
      <c r="K932" s="521"/>
      <c r="L932" s="521"/>
      <c r="M932" s="521"/>
      <c r="N932" s="521"/>
      <c r="O932" s="521"/>
      <c r="P932" s="521"/>
      <c r="Q932" s="521"/>
      <c r="R932" s="521"/>
      <c r="S932" s="521"/>
      <c r="T932" s="521"/>
      <c r="U932" s="521"/>
      <c r="V932" s="521"/>
      <c r="W932" s="521"/>
      <c r="X932" s="521"/>
      <c r="Y932" s="521"/>
      <c r="Z932" s="522"/>
    </row>
    <row r="933" spans="1:26" x14ac:dyDescent="0.3">
      <c r="A933" s="521"/>
      <c r="B933" s="521"/>
      <c r="C933" s="521"/>
      <c r="D933" s="521"/>
      <c r="E933" s="521"/>
      <c r="F933" s="521"/>
      <c r="G933" s="521"/>
      <c r="H933" s="521"/>
      <c r="I933" s="521"/>
      <c r="J933" s="521"/>
      <c r="K933" s="521"/>
      <c r="L933" s="521"/>
      <c r="M933" s="521"/>
      <c r="N933" s="521"/>
      <c r="O933" s="521"/>
      <c r="P933" s="521"/>
      <c r="Q933" s="521"/>
      <c r="R933" s="521"/>
      <c r="S933" s="521"/>
      <c r="T933" s="521"/>
      <c r="U933" s="521"/>
      <c r="V933" s="521"/>
      <c r="W933" s="521"/>
      <c r="X933" s="521"/>
      <c r="Y933" s="521"/>
      <c r="Z933" s="522"/>
    </row>
    <row r="934" spans="1:26" x14ac:dyDescent="0.3">
      <c r="A934" s="521"/>
      <c r="B934" s="521"/>
      <c r="C934" s="521"/>
      <c r="D934" s="521"/>
      <c r="E934" s="521"/>
      <c r="F934" s="521"/>
      <c r="G934" s="521"/>
      <c r="H934" s="521"/>
      <c r="I934" s="521"/>
      <c r="J934" s="521"/>
      <c r="K934" s="521"/>
      <c r="L934" s="521"/>
      <c r="M934" s="521"/>
      <c r="N934" s="521"/>
      <c r="O934" s="521"/>
      <c r="P934" s="521"/>
      <c r="Q934" s="521"/>
      <c r="R934" s="521"/>
      <c r="S934" s="521"/>
      <c r="T934" s="521"/>
      <c r="U934" s="521"/>
      <c r="V934" s="521"/>
      <c r="W934" s="521"/>
      <c r="X934" s="521"/>
      <c r="Y934" s="521"/>
      <c r="Z934" s="522"/>
    </row>
    <row r="935" spans="1:26" x14ac:dyDescent="0.3">
      <c r="A935" s="521"/>
      <c r="B935" s="521"/>
      <c r="C935" s="521"/>
      <c r="D935" s="521"/>
      <c r="E935" s="521"/>
      <c r="F935" s="521"/>
      <c r="G935" s="521"/>
      <c r="H935" s="521"/>
      <c r="I935" s="521"/>
      <c r="J935" s="521"/>
      <c r="K935" s="521"/>
      <c r="L935" s="521"/>
      <c r="M935" s="521"/>
      <c r="N935" s="521"/>
      <c r="O935" s="521"/>
      <c r="P935" s="521"/>
      <c r="Q935" s="521"/>
      <c r="R935" s="521"/>
      <c r="S935" s="521"/>
      <c r="T935" s="521"/>
      <c r="U935" s="521"/>
      <c r="V935" s="521"/>
      <c r="W935" s="521"/>
      <c r="X935" s="521"/>
      <c r="Y935" s="521"/>
      <c r="Z935" s="522"/>
    </row>
    <row r="936" spans="1:26" x14ac:dyDescent="0.3">
      <c r="A936" s="521"/>
      <c r="B936" s="521"/>
      <c r="C936" s="521"/>
      <c r="D936" s="521"/>
      <c r="E936" s="521"/>
      <c r="F936" s="521"/>
      <c r="G936" s="521"/>
      <c r="H936" s="521"/>
      <c r="I936" s="521"/>
      <c r="J936" s="521"/>
      <c r="K936" s="521"/>
      <c r="L936" s="521"/>
      <c r="M936" s="521"/>
      <c r="N936" s="521"/>
      <c r="O936" s="521"/>
      <c r="P936" s="521"/>
      <c r="Q936" s="521"/>
      <c r="R936" s="521"/>
      <c r="S936" s="521"/>
      <c r="T936" s="521"/>
      <c r="U936" s="521"/>
      <c r="V936" s="521"/>
      <c r="W936" s="521"/>
      <c r="X936" s="521"/>
      <c r="Y936" s="521"/>
      <c r="Z936" s="522"/>
    </row>
    <row r="937" spans="1:26" x14ac:dyDescent="0.3">
      <c r="A937" s="521"/>
      <c r="B937" s="521"/>
      <c r="C937" s="521"/>
      <c r="D937" s="521"/>
      <c r="E937" s="521"/>
      <c r="F937" s="521"/>
      <c r="G937" s="521"/>
      <c r="H937" s="521"/>
      <c r="I937" s="521"/>
      <c r="J937" s="521"/>
      <c r="K937" s="521"/>
      <c r="L937" s="521"/>
      <c r="M937" s="521"/>
      <c r="N937" s="521"/>
      <c r="O937" s="521"/>
      <c r="P937" s="521"/>
      <c r="Q937" s="521"/>
      <c r="R937" s="521"/>
      <c r="S937" s="521"/>
      <c r="T937" s="521"/>
      <c r="U937" s="521"/>
      <c r="V937" s="521"/>
      <c r="W937" s="521"/>
      <c r="X937" s="521"/>
      <c r="Y937" s="521"/>
      <c r="Z937" s="522"/>
    </row>
    <row r="938" spans="1:26" x14ac:dyDescent="0.3">
      <c r="A938" s="521"/>
      <c r="B938" s="521"/>
      <c r="C938" s="521"/>
      <c r="D938" s="521"/>
      <c r="E938" s="521"/>
      <c r="F938" s="521"/>
      <c r="G938" s="521"/>
      <c r="H938" s="521"/>
      <c r="I938" s="521"/>
      <c r="J938" s="521"/>
      <c r="K938" s="521"/>
      <c r="L938" s="521"/>
      <c r="M938" s="521"/>
      <c r="N938" s="521"/>
      <c r="O938" s="521"/>
      <c r="P938" s="521"/>
      <c r="Q938" s="521"/>
      <c r="R938" s="521"/>
      <c r="S938" s="521"/>
      <c r="T938" s="521"/>
      <c r="U938" s="521"/>
      <c r="V938" s="521"/>
      <c r="W938" s="521"/>
      <c r="X938" s="521"/>
      <c r="Y938" s="521"/>
      <c r="Z938" s="522"/>
    </row>
    <row r="939" spans="1:26" x14ac:dyDescent="0.3">
      <c r="A939" s="521"/>
      <c r="B939" s="521"/>
      <c r="C939" s="521"/>
      <c r="D939" s="521"/>
      <c r="E939" s="521"/>
      <c r="F939" s="521"/>
      <c r="G939" s="521"/>
      <c r="H939" s="521"/>
      <c r="I939" s="521"/>
      <c r="J939" s="521"/>
      <c r="K939" s="521"/>
      <c r="L939" s="521"/>
      <c r="M939" s="521"/>
      <c r="N939" s="521"/>
      <c r="O939" s="521"/>
      <c r="P939" s="521"/>
      <c r="Q939" s="521"/>
      <c r="R939" s="521"/>
      <c r="S939" s="521"/>
      <c r="T939" s="521"/>
      <c r="U939" s="521"/>
      <c r="V939" s="521"/>
      <c r="W939" s="521"/>
      <c r="X939" s="521"/>
      <c r="Y939" s="521"/>
      <c r="Z939" s="522"/>
    </row>
    <row r="940" spans="1:26" x14ac:dyDescent="0.3">
      <c r="A940" s="521"/>
      <c r="B940" s="521"/>
      <c r="C940" s="521"/>
      <c r="D940" s="521"/>
      <c r="E940" s="521"/>
      <c r="F940" s="521"/>
      <c r="G940" s="521"/>
      <c r="H940" s="521"/>
      <c r="I940" s="521"/>
      <c r="J940" s="521"/>
      <c r="K940" s="521"/>
      <c r="L940" s="521"/>
      <c r="M940" s="521"/>
      <c r="N940" s="521"/>
      <c r="O940" s="521"/>
      <c r="P940" s="521"/>
      <c r="Q940" s="521"/>
      <c r="R940" s="521"/>
      <c r="S940" s="521"/>
      <c r="T940" s="521"/>
      <c r="U940" s="521"/>
      <c r="V940" s="521"/>
      <c r="W940" s="521"/>
      <c r="X940" s="521"/>
      <c r="Y940" s="521"/>
      <c r="Z940" s="522"/>
    </row>
    <row r="941" spans="1:26" x14ac:dyDescent="0.3">
      <c r="A941" s="521"/>
      <c r="B941" s="521"/>
      <c r="C941" s="521"/>
      <c r="D941" s="521"/>
      <c r="E941" s="521"/>
      <c r="F941" s="521"/>
      <c r="G941" s="521"/>
      <c r="H941" s="521"/>
      <c r="I941" s="521"/>
      <c r="J941" s="521"/>
      <c r="K941" s="521"/>
      <c r="L941" s="521"/>
      <c r="M941" s="521"/>
      <c r="N941" s="521"/>
      <c r="O941" s="521"/>
      <c r="P941" s="521"/>
      <c r="Q941" s="521"/>
      <c r="R941" s="521"/>
      <c r="S941" s="521"/>
      <c r="T941" s="521"/>
      <c r="U941" s="521"/>
      <c r="V941" s="521"/>
      <c r="W941" s="521"/>
      <c r="X941" s="521"/>
      <c r="Y941" s="521"/>
      <c r="Z941" s="522"/>
    </row>
    <row r="942" spans="1:26" x14ac:dyDescent="0.3">
      <c r="A942" s="521"/>
      <c r="B942" s="521"/>
      <c r="C942" s="521"/>
      <c r="D942" s="521"/>
      <c r="E942" s="521"/>
      <c r="F942" s="521"/>
      <c r="G942" s="521"/>
      <c r="H942" s="521"/>
      <c r="I942" s="521"/>
      <c r="J942" s="521"/>
      <c r="K942" s="521"/>
      <c r="L942" s="521"/>
      <c r="M942" s="521"/>
      <c r="N942" s="521"/>
      <c r="O942" s="521"/>
      <c r="P942" s="521"/>
      <c r="Q942" s="521"/>
      <c r="R942" s="521"/>
      <c r="S942" s="521"/>
      <c r="T942" s="521"/>
      <c r="U942" s="521"/>
      <c r="V942" s="521"/>
      <c r="W942" s="521"/>
      <c r="X942" s="521"/>
      <c r="Y942" s="521"/>
      <c r="Z942" s="522"/>
    </row>
    <row r="943" spans="1:26" x14ac:dyDescent="0.3">
      <c r="A943" s="521"/>
      <c r="B943" s="521"/>
      <c r="C943" s="521"/>
      <c r="D943" s="521"/>
      <c r="E943" s="521"/>
      <c r="F943" s="521"/>
      <c r="G943" s="521"/>
      <c r="H943" s="521"/>
      <c r="I943" s="521"/>
      <c r="J943" s="521"/>
      <c r="K943" s="521"/>
      <c r="L943" s="521"/>
      <c r="M943" s="521"/>
      <c r="N943" s="521"/>
      <c r="O943" s="521"/>
      <c r="P943" s="521"/>
      <c r="Q943" s="521"/>
      <c r="R943" s="521"/>
      <c r="S943" s="521"/>
      <c r="T943" s="521"/>
      <c r="U943" s="521"/>
      <c r="V943" s="521"/>
      <c r="W943" s="521"/>
      <c r="X943" s="521"/>
      <c r="Y943" s="521"/>
      <c r="Z943" s="522"/>
    </row>
    <row r="944" spans="1:26" x14ac:dyDescent="0.3">
      <c r="A944" s="521"/>
      <c r="B944" s="521"/>
      <c r="C944" s="521"/>
      <c r="D944" s="521"/>
      <c r="E944" s="521"/>
      <c r="F944" s="521"/>
      <c r="G944" s="521"/>
      <c r="H944" s="521"/>
      <c r="I944" s="521"/>
      <c r="J944" s="521"/>
      <c r="K944" s="521"/>
      <c r="L944" s="521"/>
      <c r="M944" s="521"/>
      <c r="N944" s="521"/>
      <c r="O944" s="521"/>
      <c r="P944" s="521"/>
      <c r="Q944" s="521"/>
      <c r="R944" s="521"/>
      <c r="S944" s="521"/>
      <c r="T944" s="521"/>
      <c r="U944" s="521"/>
      <c r="V944" s="521"/>
      <c r="W944" s="521"/>
      <c r="X944" s="521"/>
      <c r="Y944" s="521"/>
      <c r="Z944" s="522"/>
    </row>
    <row r="945" spans="1:26" x14ac:dyDescent="0.3">
      <c r="A945" s="521"/>
      <c r="B945" s="521"/>
      <c r="C945" s="521"/>
      <c r="D945" s="521"/>
      <c r="E945" s="521"/>
      <c r="F945" s="521"/>
      <c r="G945" s="521"/>
      <c r="H945" s="521"/>
      <c r="I945" s="521"/>
      <c r="J945" s="521"/>
      <c r="K945" s="521"/>
      <c r="L945" s="521"/>
      <c r="M945" s="521"/>
      <c r="N945" s="521"/>
      <c r="O945" s="521"/>
      <c r="P945" s="521"/>
      <c r="Q945" s="521"/>
      <c r="R945" s="521"/>
      <c r="S945" s="521"/>
      <c r="T945" s="521"/>
      <c r="U945" s="521"/>
      <c r="V945" s="521"/>
      <c r="W945" s="521"/>
      <c r="X945" s="521"/>
      <c r="Y945" s="521"/>
      <c r="Z945" s="522"/>
    </row>
    <row r="946" spans="1:26" x14ac:dyDescent="0.3">
      <c r="A946" s="521"/>
      <c r="B946" s="521"/>
      <c r="C946" s="521"/>
      <c r="D946" s="521"/>
      <c r="E946" s="521"/>
      <c r="F946" s="521"/>
      <c r="G946" s="521"/>
      <c r="H946" s="521"/>
      <c r="I946" s="521"/>
      <c r="J946" s="521"/>
      <c r="K946" s="521"/>
      <c r="L946" s="521"/>
      <c r="M946" s="521"/>
      <c r="N946" s="521"/>
      <c r="O946" s="521"/>
      <c r="P946" s="521"/>
      <c r="Q946" s="521"/>
      <c r="R946" s="521"/>
      <c r="S946" s="521"/>
      <c r="T946" s="521"/>
      <c r="U946" s="521"/>
      <c r="V946" s="521"/>
      <c r="W946" s="521"/>
      <c r="X946" s="521"/>
      <c r="Y946" s="521"/>
      <c r="Z946" s="522"/>
    </row>
    <row r="947" spans="1:26" x14ac:dyDescent="0.3">
      <c r="A947" s="521"/>
      <c r="B947" s="521"/>
      <c r="C947" s="521"/>
      <c r="D947" s="521"/>
      <c r="E947" s="521"/>
      <c r="F947" s="521"/>
      <c r="G947" s="521"/>
      <c r="H947" s="521"/>
      <c r="I947" s="521"/>
      <c r="J947" s="521"/>
      <c r="K947" s="521"/>
      <c r="L947" s="521"/>
      <c r="M947" s="521"/>
      <c r="N947" s="521"/>
      <c r="O947" s="521"/>
      <c r="P947" s="521"/>
      <c r="Q947" s="521"/>
      <c r="R947" s="521"/>
      <c r="S947" s="521"/>
      <c r="T947" s="521"/>
      <c r="U947" s="521"/>
      <c r="V947" s="521"/>
      <c r="W947" s="521"/>
      <c r="X947" s="521"/>
      <c r="Y947" s="521"/>
      <c r="Z947" s="522"/>
    </row>
    <row r="948" spans="1:26" x14ac:dyDescent="0.3">
      <c r="A948" s="521"/>
      <c r="B948" s="521"/>
      <c r="C948" s="521"/>
      <c r="D948" s="521"/>
      <c r="E948" s="521"/>
      <c r="F948" s="521"/>
      <c r="G948" s="521"/>
      <c r="H948" s="521"/>
      <c r="I948" s="521"/>
      <c r="J948" s="521"/>
      <c r="K948" s="521"/>
      <c r="L948" s="521"/>
      <c r="M948" s="521"/>
      <c r="N948" s="521"/>
      <c r="O948" s="521"/>
      <c r="P948" s="521"/>
      <c r="Q948" s="521"/>
      <c r="R948" s="521"/>
      <c r="S948" s="521"/>
      <c r="T948" s="521"/>
      <c r="U948" s="521"/>
      <c r="V948" s="521"/>
      <c r="W948" s="521"/>
      <c r="X948" s="521"/>
      <c r="Y948" s="521"/>
      <c r="Z948" s="522"/>
    </row>
    <row r="949" spans="1:26" x14ac:dyDescent="0.3">
      <c r="A949" s="521"/>
      <c r="B949" s="521"/>
      <c r="C949" s="521"/>
      <c r="D949" s="521"/>
      <c r="E949" s="521"/>
      <c r="F949" s="521"/>
      <c r="G949" s="521"/>
      <c r="H949" s="521"/>
      <c r="I949" s="521"/>
      <c r="J949" s="521"/>
      <c r="K949" s="521"/>
      <c r="L949" s="521"/>
      <c r="M949" s="521"/>
      <c r="N949" s="521"/>
      <c r="O949" s="521"/>
      <c r="P949" s="521"/>
      <c r="Q949" s="521"/>
      <c r="R949" s="521"/>
      <c r="S949" s="521"/>
      <c r="T949" s="521"/>
      <c r="U949" s="521"/>
      <c r="V949" s="521"/>
      <c r="W949" s="521"/>
      <c r="X949" s="521"/>
      <c r="Y949" s="521"/>
      <c r="Z949" s="522"/>
    </row>
    <row r="950" spans="1:26" x14ac:dyDescent="0.3">
      <c r="A950" s="521"/>
      <c r="B950" s="521"/>
      <c r="C950" s="521"/>
      <c r="D950" s="521"/>
      <c r="E950" s="521"/>
      <c r="F950" s="521"/>
      <c r="G950" s="521"/>
      <c r="H950" s="521"/>
      <c r="I950" s="521"/>
      <c r="J950" s="521"/>
      <c r="K950" s="521"/>
      <c r="L950" s="521"/>
      <c r="M950" s="521"/>
      <c r="N950" s="521"/>
      <c r="O950" s="521"/>
      <c r="P950" s="521"/>
      <c r="Q950" s="521"/>
      <c r="R950" s="521"/>
      <c r="S950" s="521"/>
      <c r="T950" s="521"/>
      <c r="U950" s="521"/>
      <c r="V950" s="521"/>
      <c r="W950" s="521"/>
      <c r="X950" s="521"/>
      <c r="Y950" s="521"/>
      <c r="Z950" s="522"/>
    </row>
    <row r="951" spans="1:26" x14ac:dyDescent="0.3">
      <c r="A951" s="521"/>
      <c r="B951" s="521"/>
      <c r="C951" s="521"/>
      <c r="D951" s="521"/>
      <c r="E951" s="521"/>
      <c r="F951" s="521"/>
      <c r="G951" s="521"/>
      <c r="H951" s="521"/>
      <c r="I951" s="521"/>
      <c r="J951" s="521"/>
      <c r="K951" s="521"/>
      <c r="L951" s="521"/>
      <c r="M951" s="521"/>
      <c r="N951" s="521"/>
      <c r="O951" s="521"/>
      <c r="P951" s="521"/>
      <c r="Q951" s="521"/>
      <c r="R951" s="521"/>
      <c r="S951" s="521"/>
      <c r="T951" s="521"/>
      <c r="U951" s="521"/>
      <c r="V951" s="521"/>
      <c r="W951" s="521"/>
      <c r="X951" s="521"/>
      <c r="Y951" s="521"/>
      <c r="Z951" s="522"/>
    </row>
    <row r="952" spans="1:26" x14ac:dyDescent="0.3">
      <c r="A952" s="521"/>
      <c r="B952" s="521"/>
      <c r="C952" s="521"/>
      <c r="D952" s="521"/>
      <c r="E952" s="521"/>
      <c r="F952" s="521"/>
      <c r="G952" s="521"/>
      <c r="H952" s="521"/>
      <c r="I952" s="521"/>
      <c r="J952" s="521"/>
      <c r="K952" s="521"/>
      <c r="L952" s="521"/>
      <c r="M952" s="521"/>
      <c r="N952" s="521"/>
      <c r="O952" s="521"/>
      <c r="P952" s="521"/>
      <c r="Q952" s="521"/>
      <c r="R952" s="521"/>
      <c r="S952" s="521"/>
      <c r="T952" s="521"/>
      <c r="U952" s="521"/>
      <c r="V952" s="521"/>
      <c r="W952" s="521"/>
      <c r="X952" s="521"/>
      <c r="Y952" s="521"/>
      <c r="Z952" s="522"/>
    </row>
    <row r="953" spans="1:26" x14ac:dyDescent="0.3">
      <c r="A953" s="521"/>
      <c r="B953" s="521"/>
      <c r="C953" s="521"/>
      <c r="D953" s="521"/>
      <c r="E953" s="521"/>
      <c r="F953" s="521"/>
      <c r="G953" s="521"/>
      <c r="H953" s="521"/>
      <c r="I953" s="521"/>
      <c r="J953" s="521"/>
      <c r="K953" s="521"/>
      <c r="L953" s="521"/>
      <c r="M953" s="521"/>
      <c r="N953" s="521"/>
      <c r="O953" s="521"/>
      <c r="P953" s="521"/>
      <c r="Q953" s="521"/>
      <c r="R953" s="521"/>
      <c r="S953" s="521"/>
      <c r="T953" s="521"/>
      <c r="U953" s="521"/>
      <c r="V953" s="521"/>
      <c r="W953" s="521"/>
      <c r="X953" s="521"/>
      <c r="Y953" s="521"/>
      <c r="Z953" s="522"/>
    </row>
    <row r="954" spans="1:26" x14ac:dyDescent="0.3">
      <c r="A954" s="521"/>
      <c r="B954" s="521"/>
      <c r="C954" s="521"/>
      <c r="D954" s="521"/>
      <c r="E954" s="521"/>
      <c r="F954" s="521"/>
      <c r="G954" s="521"/>
      <c r="H954" s="521"/>
      <c r="I954" s="521"/>
      <c r="J954" s="521"/>
      <c r="K954" s="521"/>
      <c r="L954" s="521"/>
      <c r="M954" s="521"/>
      <c r="N954" s="521"/>
      <c r="O954" s="521"/>
      <c r="P954" s="521"/>
      <c r="Q954" s="521"/>
      <c r="R954" s="521"/>
      <c r="S954" s="521"/>
      <c r="T954" s="521"/>
      <c r="U954" s="521"/>
      <c r="V954" s="521"/>
      <c r="W954" s="521"/>
      <c r="X954" s="521"/>
      <c r="Y954" s="521"/>
      <c r="Z954" s="522"/>
    </row>
    <row r="955" spans="1:26" x14ac:dyDescent="0.3">
      <c r="A955" s="521"/>
      <c r="B955" s="521"/>
      <c r="C955" s="521"/>
      <c r="D955" s="521"/>
      <c r="E955" s="521"/>
      <c r="F955" s="521"/>
      <c r="G955" s="521"/>
      <c r="H955" s="521"/>
      <c r="I955" s="521"/>
      <c r="J955" s="521"/>
      <c r="K955" s="521"/>
      <c r="L955" s="521"/>
      <c r="M955" s="521"/>
      <c r="N955" s="521"/>
      <c r="O955" s="521"/>
      <c r="P955" s="521"/>
      <c r="Q955" s="521"/>
      <c r="R955" s="521"/>
      <c r="S955" s="521"/>
      <c r="T955" s="521"/>
      <c r="U955" s="521"/>
      <c r="V955" s="521"/>
      <c r="W955" s="521"/>
      <c r="X955" s="521"/>
      <c r="Y955" s="521"/>
      <c r="Z955" s="522"/>
    </row>
    <row r="956" spans="1:26" x14ac:dyDescent="0.3">
      <c r="A956" s="521"/>
      <c r="B956" s="521"/>
      <c r="C956" s="521"/>
      <c r="D956" s="521"/>
      <c r="E956" s="521"/>
      <c r="F956" s="521"/>
      <c r="G956" s="521"/>
      <c r="H956" s="521"/>
      <c r="I956" s="521"/>
      <c r="J956" s="521"/>
      <c r="K956" s="521"/>
      <c r="L956" s="521"/>
      <c r="M956" s="521"/>
      <c r="N956" s="521"/>
      <c r="O956" s="521"/>
      <c r="P956" s="521"/>
      <c r="Q956" s="521"/>
      <c r="R956" s="521"/>
      <c r="S956" s="521"/>
      <c r="T956" s="521"/>
      <c r="U956" s="521"/>
      <c r="V956" s="521"/>
      <c r="W956" s="521"/>
      <c r="X956" s="521"/>
      <c r="Y956" s="521"/>
      <c r="Z956" s="522"/>
    </row>
    <row r="957" spans="1:26" x14ac:dyDescent="0.3">
      <c r="A957" s="521"/>
      <c r="B957" s="521"/>
      <c r="C957" s="521"/>
      <c r="D957" s="521"/>
      <c r="E957" s="521"/>
      <c r="F957" s="521"/>
      <c r="G957" s="521"/>
      <c r="H957" s="521"/>
      <c r="I957" s="521"/>
      <c r="J957" s="521"/>
      <c r="K957" s="521"/>
      <c r="L957" s="521"/>
      <c r="M957" s="521"/>
      <c r="N957" s="521"/>
      <c r="O957" s="521"/>
      <c r="P957" s="521"/>
      <c r="Q957" s="521"/>
      <c r="R957" s="521"/>
      <c r="S957" s="521"/>
      <c r="T957" s="521"/>
      <c r="U957" s="521"/>
      <c r="V957" s="521"/>
      <c r="W957" s="521"/>
      <c r="X957" s="521"/>
      <c r="Y957" s="521"/>
      <c r="Z957" s="522"/>
    </row>
    <row r="958" spans="1:26" x14ac:dyDescent="0.3">
      <c r="A958" s="521"/>
      <c r="B958" s="521"/>
      <c r="C958" s="521"/>
      <c r="D958" s="521"/>
      <c r="E958" s="521"/>
      <c r="F958" s="521"/>
      <c r="G958" s="521"/>
      <c r="H958" s="521"/>
      <c r="I958" s="521"/>
      <c r="J958" s="521"/>
      <c r="K958" s="521"/>
      <c r="L958" s="521"/>
      <c r="M958" s="521"/>
      <c r="N958" s="521"/>
      <c r="O958" s="521"/>
      <c r="P958" s="521"/>
      <c r="Q958" s="521"/>
      <c r="R958" s="521"/>
      <c r="S958" s="521"/>
      <c r="T958" s="521"/>
      <c r="U958" s="521"/>
      <c r="V958" s="521"/>
      <c r="W958" s="521"/>
      <c r="X958" s="521"/>
      <c r="Y958" s="521"/>
      <c r="Z958" s="522"/>
    </row>
    <row r="959" spans="1:26" x14ac:dyDescent="0.3">
      <c r="A959" s="521"/>
      <c r="B959" s="521"/>
      <c r="C959" s="521"/>
      <c r="D959" s="521"/>
      <c r="E959" s="521"/>
      <c r="F959" s="521"/>
      <c r="G959" s="521"/>
      <c r="H959" s="521"/>
      <c r="I959" s="521"/>
      <c r="J959" s="521"/>
      <c r="K959" s="521"/>
      <c r="L959" s="521"/>
      <c r="M959" s="521"/>
      <c r="N959" s="521"/>
      <c r="O959" s="521"/>
      <c r="P959" s="521"/>
      <c r="Q959" s="521"/>
      <c r="R959" s="521"/>
      <c r="S959" s="521"/>
      <c r="T959" s="521"/>
      <c r="U959" s="521"/>
      <c r="V959" s="521"/>
      <c r="W959" s="521"/>
      <c r="X959" s="521"/>
      <c r="Y959" s="521"/>
      <c r="Z959" s="522"/>
    </row>
    <row r="960" spans="1:26" x14ac:dyDescent="0.3">
      <c r="A960" s="521"/>
      <c r="B960" s="521"/>
      <c r="C960" s="521"/>
      <c r="D960" s="521"/>
      <c r="E960" s="521"/>
      <c r="F960" s="521"/>
      <c r="G960" s="521"/>
      <c r="H960" s="521"/>
      <c r="I960" s="521"/>
      <c r="J960" s="521"/>
      <c r="K960" s="521"/>
      <c r="L960" s="521"/>
      <c r="M960" s="521"/>
      <c r="N960" s="521"/>
      <c r="O960" s="521"/>
      <c r="P960" s="521"/>
      <c r="Q960" s="521"/>
      <c r="R960" s="521"/>
      <c r="S960" s="521"/>
      <c r="T960" s="521"/>
      <c r="U960" s="521"/>
      <c r="V960" s="521"/>
      <c r="W960" s="521"/>
      <c r="X960" s="521"/>
      <c r="Y960" s="521"/>
      <c r="Z960" s="522"/>
    </row>
    <row r="961" spans="1:26" x14ac:dyDescent="0.3">
      <c r="A961" s="521"/>
      <c r="B961" s="521"/>
      <c r="C961" s="521"/>
      <c r="D961" s="521"/>
      <c r="E961" s="521"/>
      <c r="F961" s="521"/>
      <c r="G961" s="521"/>
      <c r="H961" s="521"/>
      <c r="I961" s="521"/>
      <c r="J961" s="521"/>
      <c r="K961" s="521"/>
      <c r="L961" s="521"/>
      <c r="M961" s="521"/>
      <c r="N961" s="521"/>
      <c r="O961" s="521"/>
      <c r="P961" s="521"/>
      <c r="Q961" s="521"/>
      <c r="R961" s="521"/>
      <c r="S961" s="521"/>
      <c r="T961" s="521"/>
      <c r="U961" s="521"/>
      <c r="V961" s="521"/>
      <c r="W961" s="521"/>
      <c r="X961" s="521"/>
      <c r="Y961" s="521"/>
      <c r="Z961" s="522"/>
    </row>
    <row r="962" spans="1:26" x14ac:dyDescent="0.3">
      <c r="A962" s="521"/>
      <c r="B962" s="521"/>
      <c r="C962" s="521"/>
      <c r="D962" s="521"/>
      <c r="E962" s="521"/>
      <c r="F962" s="521"/>
      <c r="G962" s="521"/>
      <c r="H962" s="521"/>
      <c r="I962" s="521"/>
      <c r="J962" s="521"/>
      <c r="K962" s="521"/>
      <c r="L962" s="521"/>
      <c r="M962" s="521"/>
      <c r="N962" s="521"/>
      <c r="O962" s="521"/>
      <c r="P962" s="521"/>
      <c r="Q962" s="521"/>
      <c r="R962" s="521"/>
      <c r="S962" s="521"/>
      <c r="T962" s="521"/>
      <c r="U962" s="521"/>
      <c r="V962" s="521"/>
      <c r="W962" s="521"/>
      <c r="X962" s="521"/>
      <c r="Y962" s="521"/>
      <c r="Z962" s="522"/>
    </row>
    <row r="963" spans="1:26" x14ac:dyDescent="0.3">
      <c r="A963" s="521"/>
      <c r="B963" s="521"/>
      <c r="C963" s="521"/>
      <c r="D963" s="521"/>
      <c r="E963" s="521"/>
      <c r="F963" s="521"/>
      <c r="G963" s="521"/>
      <c r="H963" s="521"/>
      <c r="I963" s="521"/>
      <c r="J963" s="521"/>
      <c r="K963" s="521"/>
      <c r="L963" s="521"/>
      <c r="M963" s="521"/>
      <c r="N963" s="521"/>
      <c r="O963" s="521"/>
      <c r="P963" s="521"/>
      <c r="Q963" s="521"/>
      <c r="R963" s="521"/>
      <c r="S963" s="521"/>
      <c r="T963" s="521"/>
      <c r="U963" s="521"/>
      <c r="V963" s="521"/>
      <c r="W963" s="521"/>
      <c r="X963" s="521"/>
      <c r="Y963" s="521"/>
      <c r="Z963" s="522"/>
    </row>
    <row r="964" spans="1:26" x14ac:dyDescent="0.3">
      <c r="A964" s="521"/>
      <c r="B964" s="521"/>
      <c r="C964" s="521"/>
      <c r="D964" s="521"/>
      <c r="E964" s="521"/>
      <c r="F964" s="521"/>
      <c r="G964" s="521"/>
      <c r="H964" s="521"/>
      <c r="I964" s="521"/>
      <c r="J964" s="521"/>
      <c r="K964" s="521"/>
      <c r="L964" s="521"/>
      <c r="M964" s="521"/>
      <c r="N964" s="521"/>
      <c r="O964" s="521"/>
      <c r="P964" s="521"/>
      <c r="Q964" s="521"/>
      <c r="R964" s="521"/>
      <c r="S964" s="521"/>
      <c r="T964" s="521"/>
      <c r="U964" s="521"/>
      <c r="V964" s="521"/>
      <c r="W964" s="521"/>
      <c r="X964" s="521"/>
      <c r="Y964" s="521"/>
      <c r="Z964" s="522"/>
    </row>
    <row r="965" spans="1:26" x14ac:dyDescent="0.3">
      <c r="A965" s="521"/>
      <c r="B965" s="521"/>
      <c r="C965" s="521"/>
      <c r="D965" s="521"/>
      <c r="E965" s="521"/>
      <c r="F965" s="521"/>
      <c r="G965" s="521"/>
      <c r="H965" s="521"/>
      <c r="I965" s="521"/>
      <c r="J965" s="521"/>
      <c r="K965" s="521"/>
      <c r="L965" s="521"/>
      <c r="M965" s="521"/>
      <c r="N965" s="521"/>
      <c r="O965" s="521"/>
      <c r="P965" s="521"/>
      <c r="Q965" s="521"/>
      <c r="R965" s="521"/>
      <c r="S965" s="521"/>
      <c r="T965" s="521"/>
      <c r="U965" s="521"/>
      <c r="V965" s="521"/>
      <c r="W965" s="521"/>
      <c r="X965" s="521"/>
      <c r="Y965" s="521"/>
      <c r="Z965" s="522"/>
    </row>
    <row r="966" spans="1:26" x14ac:dyDescent="0.3">
      <c r="A966" s="521"/>
      <c r="B966" s="521"/>
      <c r="C966" s="521"/>
      <c r="D966" s="521"/>
      <c r="E966" s="521"/>
      <c r="F966" s="521"/>
      <c r="G966" s="521"/>
      <c r="H966" s="521"/>
      <c r="I966" s="521"/>
      <c r="J966" s="521"/>
      <c r="K966" s="521"/>
      <c r="L966" s="521"/>
      <c r="M966" s="521"/>
      <c r="N966" s="521"/>
      <c r="O966" s="521"/>
      <c r="P966" s="521"/>
      <c r="Q966" s="521"/>
      <c r="R966" s="521"/>
      <c r="S966" s="521"/>
      <c r="T966" s="521"/>
      <c r="U966" s="521"/>
      <c r="V966" s="521"/>
      <c r="W966" s="521"/>
      <c r="X966" s="521"/>
      <c r="Y966" s="521"/>
      <c r="Z966" s="522"/>
    </row>
    <row r="967" spans="1:26" x14ac:dyDescent="0.3">
      <c r="A967" s="521"/>
      <c r="B967" s="521"/>
      <c r="C967" s="521"/>
      <c r="D967" s="521"/>
      <c r="E967" s="521"/>
      <c r="F967" s="521"/>
      <c r="G967" s="521"/>
      <c r="H967" s="521"/>
      <c r="I967" s="521"/>
      <c r="J967" s="521"/>
      <c r="K967" s="521"/>
      <c r="L967" s="521"/>
      <c r="M967" s="521"/>
      <c r="N967" s="521"/>
      <c r="O967" s="521"/>
      <c r="P967" s="521"/>
      <c r="Q967" s="521"/>
      <c r="R967" s="521"/>
      <c r="S967" s="521"/>
      <c r="T967" s="521"/>
      <c r="U967" s="521"/>
      <c r="V967" s="521"/>
      <c r="W967" s="521"/>
      <c r="X967" s="521"/>
      <c r="Y967" s="521"/>
      <c r="Z967" s="522"/>
    </row>
    <row r="968" spans="1:26" x14ac:dyDescent="0.3">
      <c r="A968" s="521"/>
      <c r="B968" s="521"/>
      <c r="C968" s="521"/>
      <c r="D968" s="521"/>
      <c r="E968" s="521"/>
      <c r="F968" s="521"/>
      <c r="G968" s="521"/>
      <c r="H968" s="521"/>
      <c r="I968" s="521"/>
      <c r="J968" s="521"/>
      <c r="K968" s="521"/>
      <c r="L968" s="521"/>
      <c r="M968" s="521"/>
      <c r="N968" s="521"/>
      <c r="O968" s="521"/>
      <c r="P968" s="521"/>
      <c r="Q968" s="521"/>
      <c r="R968" s="521"/>
      <c r="S968" s="521"/>
      <c r="T968" s="521"/>
      <c r="U968" s="521"/>
      <c r="V968" s="521"/>
      <c r="W968" s="521"/>
      <c r="X968" s="521"/>
      <c r="Y968" s="521"/>
      <c r="Z968" s="522"/>
    </row>
    <row r="969" spans="1:26" x14ac:dyDescent="0.3">
      <c r="A969" s="521"/>
      <c r="B969" s="521"/>
      <c r="C969" s="521"/>
      <c r="D969" s="521"/>
      <c r="E969" s="521"/>
      <c r="F969" s="521"/>
      <c r="G969" s="521"/>
      <c r="H969" s="521"/>
      <c r="I969" s="521"/>
      <c r="J969" s="521"/>
      <c r="K969" s="521"/>
      <c r="L969" s="521"/>
      <c r="M969" s="521"/>
      <c r="N969" s="521"/>
      <c r="O969" s="521"/>
      <c r="P969" s="521"/>
      <c r="Q969" s="521"/>
      <c r="R969" s="521"/>
      <c r="S969" s="521"/>
      <c r="T969" s="521"/>
      <c r="U969" s="521"/>
      <c r="V969" s="521"/>
      <c r="W969" s="521"/>
      <c r="X969" s="521"/>
      <c r="Y969" s="521"/>
      <c r="Z969" s="522"/>
    </row>
    <row r="970" spans="1:26" x14ac:dyDescent="0.3">
      <c r="A970" s="521"/>
      <c r="B970" s="521"/>
      <c r="C970" s="521"/>
      <c r="D970" s="521"/>
      <c r="E970" s="521"/>
      <c r="F970" s="521"/>
      <c r="G970" s="521"/>
      <c r="H970" s="521"/>
      <c r="I970" s="521"/>
      <c r="J970" s="521"/>
      <c r="K970" s="521"/>
      <c r="L970" s="521"/>
      <c r="M970" s="521"/>
      <c r="N970" s="521"/>
      <c r="O970" s="521"/>
      <c r="P970" s="521"/>
      <c r="Q970" s="521"/>
      <c r="R970" s="521"/>
      <c r="S970" s="521"/>
      <c r="T970" s="521"/>
      <c r="U970" s="521"/>
      <c r="V970" s="521"/>
      <c r="W970" s="521"/>
      <c r="X970" s="521"/>
      <c r="Y970" s="521"/>
      <c r="Z970" s="522"/>
    </row>
    <row r="971" spans="1:26" x14ac:dyDescent="0.3">
      <c r="A971" s="521"/>
      <c r="B971" s="521"/>
      <c r="C971" s="521"/>
      <c r="D971" s="521"/>
      <c r="E971" s="521"/>
      <c r="F971" s="521"/>
      <c r="G971" s="521"/>
      <c r="H971" s="521"/>
      <c r="I971" s="521"/>
      <c r="J971" s="521"/>
      <c r="K971" s="521"/>
      <c r="L971" s="521"/>
      <c r="M971" s="521"/>
      <c r="N971" s="521"/>
      <c r="O971" s="521"/>
      <c r="P971" s="521"/>
      <c r="Q971" s="521"/>
      <c r="R971" s="521"/>
      <c r="S971" s="521"/>
      <c r="T971" s="521"/>
      <c r="U971" s="521"/>
      <c r="V971" s="521"/>
      <c r="W971" s="521"/>
      <c r="X971" s="521"/>
      <c r="Y971" s="521"/>
      <c r="Z971" s="522"/>
    </row>
    <row r="972" spans="1:26" x14ac:dyDescent="0.3">
      <c r="A972" s="521"/>
      <c r="B972" s="521"/>
      <c r="C972" s="521"/>
      <c r="D972" s="521"/>
      <c r="E972" s="521"/>
      <c r="F972" s="521"/>
      <c r="G972" s="521"/>
      <c r="H972" s="521"/>
      <c r="I972" s="521"/>
      <c r="J972" s="521"/>
      <c r="K972" s="521"/>
      <c r="L972" s="521"/>
      <c r="M972" s="521"/>
      <c r="N972" s="521"/>
      <c r="O972" s="521"/>
      <c r="P972" s="521"/>
      <c r="Q972" s="521"/>
      <c r="R972" s="521"/>
      <c r="S972" s="521"/>
      <c r="T972" s="521"/>
      <c r="U972" s="521"/>
      <c r="V972" s="521"/>
      <c r="W972" s="521"/>
      <c r="X972" s="521"/>
      <c r="Y972" s="521"/>
      <c r="Z972" s="522"/>
    </row>
    <row r="973" spans="1:26" x14ac:dyDescent="0.3">
      <c r="A973" s="521"/>
      <c r="B973" s="521"/>
      <c r="C973" s="521"/>
      <c r="D973" s="521"/>
      <c r="E973" s="521"/>
      <c r="F973" s="521"/>
      <c r="G973" s="521"/>
      <c r="H973" s="521"/>
      <c r="I973" s="521"/>
      <c r="J973" s="521"/>
      <c r="K973" s="521"/>
      <c r="L973" s="521"/>
      <c r="M973" s="521"/>
      <c r="N973" s="521"/>
      <c r="O973" s="521"/>
      <c r="P973" s="521"/>
      <c r="Q973" s="521"/>
      <c r="R973" s="521"/>
      <c r="S973" s="521"/>
      <c r="T973" s="521"/>
      <c r="U973" s="521"/>
      <c r="V973" s="521"/>
      <c r="W973" s="521"/>
      <c r="X973" s="521"/>
      <c r="Y973" s="521"/>
      <c r="Z973" s="522"/>
    </row>
    <row r="974" spans="1:26" x14ac:dyDescent="0.3">
      <c r="A974" s="521"/>
      <c r="B974" s="521"/>
      <c r="C974" s="521"/>
      <c r="D974" s="521"/>
      <c r="E974" s="521"/>
      <c r="F974" s="521"/>
      <c r="G974" s="521"/>
      <c r="H974" s="521"/>
      <c r="I974" s="521"/>
      <c r="J974" s="521"/>
      <c r="K974" s="521"/>
      <c r="L974" s="521"/>
      <c r="M974" s="521"/>
      <c r="N974" s="521"/>
      <c r="O974" s="521"/>
      <c r="P974" s="521"/>
      <c r="Q974" s="521"/>
      <c r="R974" s="521"/>
      <c r="S974" s="521"/>
      <c r="T974" s="521"/>
      <c r="U974" s="521"/>
      <c r="V974" s="521"/>
      <c r="W974" s="521"/>
      <c r="X974" s="521"/>
      <c r="Y974" s="521"/>
      <c r="Z974" s="522"/>
    </row>
    <row r="975" spans="1:26" x14ac:dyDescent="0.3">
      <c r="A975" s="521"/>
      <c r="B975" s="521"/>
      <c r="C975" s="521"/>
      <c r="D975" s="521"/>
      <c r="E975" s="521"/>
      <c r="F975" s="521"/>
      <c r="G975" s="521"/>
      <c r="H975" s="521"/>
      <c r="I975" s="521"/>
      <c r="J975" s="521"/>
      <c r="K975" s="521"/>
      <c r="L975" s="521"/>
      <c r="M975" s="521"/>
      <c r="N975" s="521"/>
      <c r="O975" s="521"/>
      <c r="P975" s="521"/>
      <c r="Q975" s="521"/>
      <c r="R975" s="521"/>
      <c r="S975" s="521"/>
      <c r="T975" s="521"/>
      <c r="U975" s="521"/>
      <c r="V975" s="521"/>
      <c r="W975" s="521"/>
      <c r="X975" s="521"/>
      <c r="Y975" s="521"/>
      <c r="Z975" s="522"/>
    </row>
    <row r="976" spans="1:26" x14ac:dyDescent="0.3">
      <c r="A976" s="521"/>
      <c r="B976" s="521"/>
      <c r="C976" s="521"/>
      <c r="D976" s="521"/>
      <c r="E976" s="521"/>
      <c r="F976" s="521"/>
      <c r="G976" s="521"/>
      <c r="H976" s="521"/>
      <c r="I976" s="521"/>
      <c r="J976" s="521"/>
      <c r="K976" s="521"/>
      <c r="L976" s="521"/>
      <c r="M976" s="521"/>
      <c r="N976" s="521"/>
      <c r="O976" s="521"/>
      <c r="P976" s="521"/>
      <c r="Q976" s="521"/>
      <c r="R976" s="521"/>
      <c r="S976" s="521"/>
      <c r="T976" s="521"/>
      <c r="U976" s="521"/>
      <c r="V976" s="521"/>
      <c r="W976" s="521"/>
      <c r="X976" s="521"/>
      <c r="Y976" s="521"/>
      <c r="Z976" s="522"/>
    </row>
    <row r="977" spans="1:26" x14ac:dyDescent="0.3">
      <c r="A977" s="521"/>
      <c r="B977" s="521"/>
      <c r="C977" s="521"/>
      <c r="D977" s="521"/>
      <c r="E977" s="521"/>
      <c r="F977" s="521"/>
      <c r="G977" s="521"/>
      <c r="H977" s="521"/>
      <c r="I977" s="521"/>
      <c r="J977" s="521"/>
      <c r="K977" s="521"/>
      <c r="L977" s="521"/>
      <c r="M977" s="521"/>
      <c r="N977" s="521"/>
      <c r="O977" s="521"/>
      <c r="P977" s="521"/>
      <c r="Q977" s="521"/>
      <c r="R977" s="521"/>
      <c r="S977" s="521"/>
      <c r="T977" s="521"/>
      <c r="U977" s="521"/>
      <c r="V977" s="521"/>
      <c r="W977" s="521"/>
      <c r="X977" s="521"/>
      <c r="Y977" s="521"/>
      <c r="Z977" s="522"/>
    </row>
    <row r="978" spans="1:26" x14ac:dyDescent="0.3">
      <c r="A978" s="521"/>
      <c r="B978" s="521"/>
      <c r="C978" s="521"/>
      <c r="D978" s="521"/>
      <c r="E978" s="521"/>
      <c r="F978" s="521"/>
      <c r="G978" s="521"/>
      <c r="H978" s="521"/>
      <c r="I978" s="521"/>
      <c r="J978" s="521"/>
      <c r="K978" s="521"/>
      <c r="L978" s="521"/>
      <c r="M978" s="521"/>
      <c r="N978" s="521"/>
      <c r="O978" s="521"/>
      <c r="P978" s="521"/>
      <c r="Q978" s="521"/>
      <c r="R978" s="521"/>
      <c r="S978" s="521"/>
      <c r="T978" s="521"/>
      <c r="U978" s="521"/>
      <c r="V978" s="521"/>
      <c r="W978" s="521"/>
      <c r="X978" s="521"/>
      <c r="Y978" s="521"/>
      <c r="Z978" s="522"/>
    </row>
    <row r="979" spans="1:26" x14ac:dyDescent="0.3">
      <c r="A979" s="521"/>
      <c r="B979" s="521"/>
      <c r="C979" s="521"/>
      <c r="D979" s="521"/>
      <c r="E979" s="521"/>
      <c r="F979" s="521"/>
      <c r="G979" s="521"/>
      <c r="H979" s="521"/>
      <c r="I979" s="521"/>
      <c r="J979" s="521"/>
      <c r="K979" s="521"/>
      <c r="L979" s="521"/>
      <c r="M979" s="521"/>
      <c r="N979" s="521"/>
      <c r="O979" s="521"/>
      <c r="P979" s="521"/>
      <c r="Q979" s="521"/>
      <c r="R979" s="521"/>
      <c r="S979" s="521"/>
      <c r="T979" s="521"/>
      <c r="U979" s="521"/>
      <c r="V979" s="521"/>
      <c r="W979" s="521"/>
      <c r="X979" s="521"/>
      <c r="Y979" s="521"/>
      <c r="Z979" s="522"/>
    </row>
    <row r="980" spans="1:26" x14ac:dyDescent="0.3">
      <c r="A980" s="521"/>
      <c r="B980" s="521"/>
      <c r="C980" s="521"/>
      <c r="D980" s="521"/>
      <c r="E980" s="521"/>
      <c r="F980" s="521"/>
      <c r="G980" s="521"/>
      <c r="H980" s="521"/>
      <c r="I980" s="521"/>
      <c r="J980" s="521"/>
      <c r="K980" s="521"/>
      <c r="L980" s="521"/>
      <c r="M980" s="521"/>
      <c r="N980" s="521"/>
      <c r="O980" s="521"/>
      <c r="P980" s="521"/>
      <c r="Q980" s="521"/>
      <c r="R980" s="521"/>
      <c r="S980" s="521"/>
      <c r="T980" s="521"/>
      <c r="U980" s="521"/>
      <c r="V980" s="521"/>
      <c r="W980" s="521"/>
      <c r="X980" s="521"/>
      <c r="Y980" s="521"/>
      <c r="Z980" s="522"/>
    </row>
    <row r="981" spans="1:26" x14ac:dyDescent="0.3">
      <c r="A981" s="521"/>
      <c r="B981" s="521"/>
      <c r="C981" s="521"/>
      <c r="D981" s="521"/>
      <c r="E981" s="521"/>
      <c r="F981" s="521"/>
      <c r="G981" s="521"/>
      <c r="H981" s="521"/>
      <c r="I981" s="521"/>
      <c r="J981" s="521"/>
      <c r="K981" s="521"/>
      <c r="L981" s="521"/>
      <c r="M981" s="521"/>
      <c r="N981" s="521"/>
      <c r="O981" s="521"/>
      <c r="P981" s="521"/>
      <c r="Q981" s="521"/>
      <c r="R981" s="521"/>
      <c r="S981" s="521"/>
      <c r="T981" s="521"/>
      <c r="U981" s="521"/>
      <c r="V981" s="521"/>
      <c r="W981" s="521"/>
      <c r="X981" s="521"/>
      <c r="Y981" s="521"/>
      <c r="Z981" s="522"/>
    </row>
    <row r="982" spans="1:26" x14ac:dyDescent="0.3">
      <c r="A982" s="521"/>
      <c r="B982" s="521"/>
      <c r="C982" s="521"/>
      <c r="D982" s="521"/>
      <c r="E982" s="521"/>
      <c r="F982" s="521"/>
      <c r="G982" s="521"/>
      <c r="H982" s="521"/>
      <c r="I982" s="521"/>
      <c r="J982" s="521"/>
      <c r="K982" s="521"/>
      <c r="L982" s="521"/>
      <c r="M982" s="521"/>
      <c r="N982" s="521"/>
      <c r="O982" s="521"/>
      <c r="P982" s="521"/>
      <c r="Q982" s="521"/>
      <c r="R982" s="521"/>
      <c r="S982" s="521"/>
      <c r="T982" s="521"/>
      <c r="U982" s="521"/>
      <c r="V982" s="521"/>
      <c r="W982" s="521"/>
      <c r="X982" s="521"/>
      <c r="Y982" s="521"/>
      <c r="Z982" s="522"/>
    </row>
    <row r="983" spans="1:26" x14ac:dyDescent="0.3">
      <c r="A983" s="521"/>
      <c r="B983" s="521"/>
      <c r="C983" s="521"/>
      <c r="D983" s="521"/>
      <c r="E983" s="521"/>
      <c r="F983" s="521"/>
      <c r="G983" s="521"/>
      <c r="H983" s="521"/>
      <c r="I983" s="521"/>
      <c r="J983" s="521"/>
      <c r="K983" s="521"/>
      <c r="L983" s="521"/>
      <c r="M983" s="521"/>
      <c r="N983" s="521"/>
      <c r="O983" s="521"/>
      <c r="P983" s="521"/>
      <c r="Q983" s="521"/>
      <c r="R983" s="521"/>
      <c r="S983" s="521"/>
      <c r="T983" s="521"/>
      <c r="U983" s="521"/>
      <c r="V983" s="521"/>
      <c r="W983" s="521"/>
      <c r="X983" s="521"/>
      <c r="Y983" s="521"/>
      <c r="Z983" s="522"/>
    </row>
    <row r="984" spans="1:26" x14ac:dyDescent="0.3">
      <c r="A984" s="521"/>
      <c r="B984" s="521"/>
      <c r="C984" s="521"/>
      <c r="D984" s="521"/>
      <c r="E984" s="521"/>
      <c r="F984" s="521"/>
      <c r="G984" s="521"/>
      <c r="H984" s="521"/>
      <c r="I984" s="521"/>
      <c r="J984" s="521"/>
      <c r="K984" s="521"/>
      <c r="L984" s="521"/>
      <c r="M984" s="521"/>
      <c r="N984" s="521"/>
      <c r="O984" s="521"/>
      <c r="P984" s="521"/>
      <c r="Q984" s="521"/>
      <c r="R984" s="521"/>
      <c r="S984" s="521"/>
      <c r="T984" s="521"/>
      <c r="U984" s="521"/>
      <c r="V984" s="521"/>
      <c r="W984" s="521"/>
      <c r="X984" s="521"/>
      <c r="Y984" s="521"/>
      <c r="Z984" s="522"/>
    </row>
    <row r="985" spans="1:26" x14ac:dyDescent="0.3">
      <c r="A985" s="521"/>
      <c r="B985" s="521"/>
      <c r="C985" s="521"/>
      <c r="D985" s="521"/>
      <c r="E985" s="521"/>
      <c r="F985" s="521"/>
      <c r="G985" s="521"/>
      <c r="H985" s="521"/>
      <c r="I985" s="521"/>
      <c r="J985" s="521"/>
      <c r="K985" s="521"/>
      <c r="L985" s="521"/>
      <c r="M985" s="521"/>
      <c r="N985" s="521"/>
      <c r="O985" s="521"/>
      <c r="P985" s="521"/>
      <c r="Q985" s="521"/>
      <c r="R985" s="521"/>
      <c r="S985" s="521"/>
      <c r="T985" s="521"/>
      <c r="U985" s="521"/>
      <c r="V985" s="521"/>
      <c r="W985" s="521"/>
      <c r="X985" s="521"/>
      <c r="Y985" s="521"/>
      <c r="Z985" s="522"/>
    </row>
    <row r="986" spans="1:26" x14ac:dyDescent="0.3">
      <c r="A986" s="521"/>
      <c r="B986" s="521"/>
      <c r="C986" s="521"/>
      <c r="D986" s="521"/>
      <c r="E986" s="521"/>
      <c r="F986" s="521"/>
      <c r="G986" s="521"/>
      <c r="H986" s="521"/>
      <c r="I986" s="521"/>
      <c r="J986" s="521"/>
      <c r="K986" s="521"/>
      <c r="L986" s="521"/>
      <c r="M986" s="521"/>
      <c r="N986" s="521"/>
      <c r="O986" s="521"/>
      <c r="P986" s="521"/>
      <c r="Q986" s="521"/>
      <c r="R986" s="521"/>
      <c r="S986" s="521"/>
      <c r="T986" s="521"/>
      <c r="U986" s="521"/>
      <c r="V986" s="521"/>
      <c r="W986" s="521"/>
      <c r="X986" s="521"/>
      <c r="Y986" s="521"/>
      <c r="Z986" s="522"/>
    </row>
    <row r="987" spans="1:26" x14ac:dyDescent="0.3">
      <c r="A987" s="521"/>
      <c r="B987" s="521"/>
      <c r="C987" s="521"/>
      <c r="D987" s="521"/>
      <c r="E987" s="521"/>
      <c r="F987" s="521"/>
      <c r="G987" s="521"/>
      <c r="H987" s="521"/>
      <c r="I987" s="521"/>
      <c r="J987" s="521"/>
      <c r="K987" s="521"/>
      <c r="L987" s="521"/>
      <c r="M987" s="521"/>
      <c r="N987" s="521"/>
      <c r="O987" s="521"/>
      <c r="P987" s="521"/>
      <c r="Q987" s="521"/>
      <c r="R987" s="521"/>
      <c r="S987" s="521"/>
      <c r="T987" s="521"/>
      <c r="U987" s="521"/>
      <c r="V987" s="521"/>
      <c r="W987" s="521"/>
      <c r="X987" s="521"/>
      <c r="Y987" s="521"/>
      <c r="Z987" s="522"/>
    </row>
    <row r="988" spans="1:26" x14ac:dyDescent="0.3">
      <c r="A988" s="521"/>
      <c r="B988" s="521"/>
      <c r="C988" s="521"/>
      <c r="D988" s="521"/>
      <c r="E988" s="521"/>
      <c r="F988" s="521"/>
      <c r="G988" s="521"/>
      <c r="H988" s="521"/>
      <c r="I988" s="521"/>
      <c r="J988" s="521"/>
      <c r="K988" s="521"/>
      <c r="L988" s="521"/>
      <c r="M988" s="521"/>
      <c r="N988" s="521"/>
      <c r="O988" s="521"/>
      <c r="P988" s="521"/>
      <c r="Q988" s="521"/>
      <c r="R988" s="521"/>
      <c r="S988" s="521"/>
      <c r="T988" s="521"/>
      <c r="U988" s="521"/>
      <c r="V988" s="521"/>
      <c r="W988" s="521"/>
      <c r="X988" s="521"/>
      <c r="Y988" s="521"/>
      <c r="Z988" s="522"/>
    </row>
    <row r="989" spans="1:26" x14ac:dyDescent="0.3">
      <c r="A989" s="521"/>
      <c r="B989" s="521"/>
      <c r="C989" s="521"/>
      <c r="D989" s="521"/>
      <c r="E989" s="521"/>
      <c r="F989" s="521"/>
      <c r="G989" s="521"/>
      <c r="H989" s="521"/>
      <c r="I989" s="521"/>
      <c r="J989" s="521"/>
      <c r="K989" s="521"/>
      <c r="L989" s="521"/>
      <c r="M989" s="521"/>
      <c r="N989" s="521"/>
      <c r="O989" s="521"/>
      <c r="P989" s="521"/>
      <c r="Q989" s="521"/>
      <c r="R989" s="521"/>
      <c r="S989" s="521"/>
      <c r="T989" s="521"/>
      <c r="U989" s="521"/>
      <c r="V989" s="521"/>
      <c r="W989" s="521"/>
      <c r="X989" s="521"/>
      <c r="Y989" s="521"/>
      <c r="Z989" s="522"/>
    </row>
    <row r="990" spans="1:26" x14ac:dyDescent="0.3">
      <c r="A990" s="521"/>
      <c r="B990" s="521"/>
      <c r="C990" s="521"/>
      <c r="D990" s="521"/>
      <c r="E990" s="521"/>
      <c r="F990" s="521"/>
      <c r="G990" s="521"/>
      <c r="H990" s="521"/>
      <c r="I990" s="521"/>
      <c r="J990" s="521"/>
      <c r="K990" s="521"/>
      <c r="L990" s="521"/>
      <c r="M990" s="521"/>
      <c r="N990" s="521"/>
      <c r="O990" s="521"/>
      <c r="P990" s="521"/>
      <c r="Q990" s="521"/>
      <c r="R990" s="521"/>
      <c r="S990" s="521"/>
      <c r="T990" s="521"/>
      <c r="U990" s="521"/>
      <c r="V990" s="521"/>
      <c r="W990" s="521"/>
      <c r="X990" s="521"/>
      <c r="Y990" s="521"/>
      <c r="Z990" s="522"/>
    </row>
    <row r="991" spans="1:26" x14ac:dyDescent="0.3">
      <c r="A991" s="521"/>
      <c r="B991" s="521"/>
      <c r="C991" s="521"/>
      <c r="D991" s="521"/>
      <c r="E991" s="521"/>
      <c r="F991" s="521"/>
      <c r="G991" s="521"/>
      <c r="H991" s="521"/>
      <c r="I991" s="521"/>
      <c r="J991" s="521"/>
      <c r="K991" s="521"/>
      <c r="L991" s="521"/>
      <c r="M991" s="521"/>
      <c r="N991" s="521"/>
      <c r="O991" s="521"/>
      <c r="P991" s="521"/>
      <c r="Q991" s="521"/>
      <c r="R991" s="521"/>
      <c r="S991" s="521"/>
      <c r="T991" s="521"/>
      <c r="U991" s="521"/>
      <c r="V991" s="521"/>
      <c r="W991" s="521"/>
      <c r="X991" s="521"/>
      <c r="Y991" s="521"/>
      <c r="Z991" s="522"/>
    </row>
    <row r="992" spans="1:26" x14ac:dyDescent="0.3">
      <c r="A992" s="521"/>
      <c r="B992" s="521"/>
      <c r="C992" s="521"/>
      <c r="D992" s="521"/>
      <c r="E992" s="521"/>
      <c r="F992" s="521"/>
      <c r="G992" s="521"/>
      <c r="H992" s="521"/>
      <c r="I992" s="521"/>
      <c r="J992" s="521"/>
      <c r="K992" s="521"/>
      <c r="L992" s="521"/>
      <c r="M992" s="521"/>
      <c r="N992" s="521"/>
      <c r="O992" s="521"/>
      <c r="P992" s="521"/>
      <c r="Q992" s="521"/>
      <c r="R992" s="521"/>
      <c r="S992" s="521"/>
      <c r="T992" s="521"/>
      <c r="U992" s="521"/>
      <c r="V992" s="521"/>
      <c r="W992" s="521"/>
      <c r="X992" s="521"/>
      <c r="Y992" s="521"/>
      <c r="Z992" s="522"/>
    </row>
    <row r="993" spans="1:26" x14ac:dyDescent="0.3">
      <c r="A993" s="521"/>
      <c r="B993" s="521"/>
      <c r="C993" s="521"/>
      <c r="D993" s="521"/>
      <c r="E993" s="521"/>
      <c r="F993" s="521"/>
      <c r="G993" s="521"/>
      <c r="H993" s="521"/>
      <c r="I993" s="521"/>
      <c r="J993" s="521"/>
      <c r="K993" s="521"/>
      <c r="L993" s="521"/>
      <c r="M993" s="521"/>
      <c r="N993" s="521"/>
      <c r="O993" s="521"/>
      <c r="P993" s="521"/>
      <c r="Q993" s="521"/>
      <c r="R993" s="521"/>
      <c r="S993" s="521"/>
      <c r="T993" s="521"/>
      <c r="U993" s="521"/>
      <c r="V993" s="521"/>
      <c r="W993" s="521"/>
      <c r="X993" s="521"/>
      <c r="Y993" s="521"/>
      <c r="Z993" s="522"/>
    </row>
    <row r="994" spans="1:26" x14ac:dyDescent="0.3">
      <c r="A994" s="521"/>
      <c r="B994" s="521"/>
      <c r="C994" s="521"/>
      <c r="D994" s="521"/>
      <c r="E994" s="521"/>
      <c r="F994" s="521"/>
      <c r="G994" s="521"/>
      <c r="H994" s="521"/>
      <c r="I994" s="521"/>
      <c r="J994" s="521"/>
      <c r="K994" s="521"/>
      <c r="L994" s="521"/>
      <c r="M994" s="521"/>
      <c r="N994" s="521"/>
      <c r="O994" s="521"/>
      <c r="P994" s="521"/>
      <c r="Q994" s="521"/>
      <c r="R994" s="521"/>
      <c r="S994" s="521"/>
      <c r="T994" s="521"/>
      <c r="U994" s="521"/>
      <c r="V994" s="521"/>
      <c r="W994" s="521"/>
      <c r="X994" s="521"/>
      <c r="Y994" s="521"/>
      <c r="Z994" s="522"/>
    </row>
    <row r="995" spans="1:26" x14ac:dyDescent="0.3">
      <c r="A995" s="521"/>
      <c r="B995" s="521"/>
      <c r="C995" s="521"/>
      <c r="D995" s="521"/>
      <c r="E995" s="521"/>
      <c r="F995" s="521"/>
      <c r="G995" s="521"/>
      <c r="H995" s="521"/>
      <c r="I995" s="521"/>
      <c r="J995" s="521"/>
      <c r="K995" s="521"/>
      <c r="L995" s="521"/>
      <c r="M995" s="521"/>
      <c r="N995" s="521"/>
      <c r="O995" s="521"/>
      <c r="P995" s="521"/>
      <c r="Q995" s="521"/>
      <c r="R995" s="521"/>
      <c r="S995" s="521"/>
      <c r="T995" s="521"/>
      <c r="U995" s="521"/>
      <c r="V995" s="521"/>
      <c r="W995" s="521"/>
      <c r="X995" s="521"/>
      <c r="Y995" s="521"/>
      <c r="Z995" s="522"/>
    </row>
    <row r="996" spans="1:26" x14ac:dyDescent="0.3">
      <c r="A996" s="521"/>
      <c r="B996" s="521"/>
      <c r="C996" s="521"/>
      <c r="D996" s="521"/>
      <c r="E996" s="521"/>
      <c r="F996" s="521"/>
      <c r="G996" s="521"/>
      <c r="H996" s="521"/>
      <c r="I996" s="521"/>
      <c r="J996" s="521"/>
      <c r="K996" s="521"/>
      <c r="L996" s="521"/>
      <c r="M996" s="521"/>
      <c r="N996" s="521"/>
      <c r="O996" s="521"/>
      <c r="P996" s="521"/>
      <c r="Q996" s="521"/>
      <c r="R996" s="521"/>
      <c r="S996" s="521"/>
      <c r="T996" s="521"/>
      <c r="U996" s="521"/>
      <c r="V996" s="521"/>
      <c r="W996" s="521"/>
      <c r="X996" s="521"/>
      <c r="Y996" s="521"/>
      <c r="Z996" s="522"/>
    </row>
    <row r="997" spans="1:26" x14ac:dyDescent="0.3">
      <c r="A997" s="521"/>
      <c r="B997" s="521"/>
      <c r="C997" s="521"/>
      <c r="D997" s="521"/>
      <c r="E997" s="521"/>
      <c r="F997" s="521"/>
      <c r="G997" s="521"/>
      <c r="H997" s="521"/>
      <c r="I997" s="521"/>
      <c r="J997" s="521"/>
      <c r="K997" s="521"/>
      <c r="L997" s="521"/>
      <c r="M997" s="521"/>
      <c r="N997" s="521"/>
      <c r="O997" s="521"/>
      <c r="P997" s="521"/>
      <c r="Q997" s="521"/>
      <c r="R997" s="521"/>
      <c r="S997" s="521"/>
      <c r="T997" s="521"/>
      <c r="U997" s="521"/>
      <c r="V997" s="521"/>
      <c r="W997" s="521"/>
      <c r="X997" s="521"/>
      <c r="Y997" s="521"/>
      <c r="Z997" s="522"/>
    </row>
    <row r="998" spans="1:26" x14ac:dyDescent="0.3">
      <c r="A998" s="522"/>
      <c r="B998" s="522"/>
      <c r="C998" s="522"/>
      <c r="D998" s="522"/>
      <c r="E998" s="522"/>
      <c r="F998" s="522"/>
      <c r="G998" s="522"/>
      <c r="H998" s="522"/>
      <c r="I998" s="522"/>
      <c r="J998" s="522"/>
      <c r="K998" s="522"/>
      <c r="L998" s="522"/>
      <c r="M998" s="522"/>
      <c r="N998" s="522"/>
      <c r="O998" s="522"/>
      <c r="P998" s="522"/>
      <c r="Q998" s="522"/>
      <c r="R998" s="522"/>
      <c r="S998" s="522"/>
      <c r="T998" s="522"/>
      <c r="U998" s="522"/>
      <c r="V998" s="522"/>
      <c r="W998" s="522"/>
      <c r="X998" s="522"/>
      <c r="Y998" s="522"/>
      <c r="Z998" s="522"/>
    </row>
    <row r="999" spans="1:26" x14ac:dyDescent="0.3">
      <c r="A999" s="522"/>
      <c r="B999" s="522"/>
      <c r="C999" s="522"/>
      <c r="D999" s="522"/>
      <c r="E999" s="522"/>
      <c r="F999" s="522"/>
      <c r="G999" s="522"/>
      <c r="H999" s="522"/>
      <c r="I999" s="522"/>
      <c r="J999" s="522"/>
      <c r="K999" s="522"/>
      <c r="L999" s="522"/>
      <c r="M999" s="522"/>
      <c r="N999" s="522"/>
      <c r="O999" s="522"/>
      <c r="P999" s="522"/>
      <c r="Q999" s="522"/>
      <c r="R999" s="522"/>
      <c r="S999" s="522"/>
      <c r="T999" s="522"/>
      <c r="U999" s="522"/>
      <c r="V999" s="522"/>
      <c r="W999" s="522"/>
      <c r="X999" s="522"/>
      <c r="Y999" s="522"/>
      <c r="Z999" s="522"/>
    </row>
    <row r="1000" spans="1:26" x14ac:dyDescent="0.3">
      <c r="A1000" s="522"/>
      <c r="B1000" s="522"/>
      <c r="C1000" s="522"/>
      <c r="D1000" s="522"/>
      <c r="E1000" s="522"/>
      <c r="F1000" s="522"/>
      <c r="G1000" s="522"/>
      <c r="H1000" s="522"/>
      <c r="I1000" s="522"/>
      <c r="J1000" s="522"/>
      <c r="K1000" s="522"/>
      <c r="L1000" s="522"/>
      <c r="M1000" s="522"/>
      <c r="N1000" s="522"/>
      <c r="O1000" s="522"/>
      <c r="P1000" s="522"/>
      <c r="Q1000" s="522"/>
      <c r="R1000" s="522"/>
      <c r="S1000" s="522"/>
      <c r="T1000" s="522"/>
      <c r="U1000" s="522"/>
      <c r="V1000" s="522"/>
      <c r="W1000" s="522"/>
      <c r="X1000" s="522"/>
      <c r="Y1000" s="522"/>
      <c r="Z1000" s="522"/>
    </row>
    <row r="1001" spans="1:26" x14ac:dyDescent="0.3">
      <c r="A1001" s="522"/>
      <c r="B1001" s="522"/>
      <c r="C1001" s="522"/>
      <c r="D1001" s="522"/>
      <c r="E1001" s="522"/>
      <c r="F1001" s="522"/>
      <c r="G1001" s="522"/>
      <c r="H1001" s="522"/>
      <c r="I1001" s="522"/>
      <c r="J1001" s="522"/>
      <c r="K1001" s="522"/>
      <c r="L1001" s="522"/>
      <c r="M1001" s="522"/>
      <c r="N1001" s="522"/>
      <c r="O1001" s="522"/>
      <c r="P1001" s="522"/>
      <c r="Q1001" s="522"/>
      <c r="R1001" s="522"/>
      <c r="S1001" s="522"/>
      <c r="T1001" s="522"/>
      <c r="U1001" s="522"/>
      <c r="V1001" s="522"/>
      <c r="W1001" s="522"/>
      <c r="X1001" s="522"/>
      <c r="Y1001" s="522"/>
      <c r="Z1001" s="522"/>
    </row>
    <row r="1002" spans="1:26" x14ac:dyDescent="0.3">
      <c r="A1002" s="522"/>
      <c r="B1002" s="522"/>
      <c r="C1002" s="522"/>
      <c r="D1002" s="522"/>
      <c r="E1002" s="522"/>
      <c r="F1002" s="522"/>
      <c r="G1002" s="522"/>
      <c r="H1002" s="522"/>
      <c r="I1002" s="522"/>
      <c r="J1002" s="522"/>
      <c r="K1002" s="522"/>
      <c r="L1002" s="522"/>
      <c r="M1002" s="522"/>
      <c r="N1002" s="522"/>
      <c r="O1002" s="522"/>
      <c r="P1002" s="522"/>
      <c r="Q1002" s="522"/>
      <c r="R1002" s="522"/>
      <c r="S1002" s="522"/>
      <c r="T1002" s="522"/>
      <c r="U1002" s="522"/>
      <c r="V1002" s="522"/>
      <c r="W1002" s="522"/>
      <c r="X1002" s="522"/>
      <c r="Y1002" s="522"/>
      <c r="Z1002" s="522"/>
    </row>
  </sheetData>
  <mergeCells count="2">
    <mergeCell ref="B19:E25"/>
    <mergeCell ref="B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C1:M35"/>
  <sheetViews>
    <sheetView zoomScale="108" workbookViewId="0">
      <selection activeCell="D3" sqref="D3"/>
    </sheetView>
  </sheetViews>
  <sheetFormatPr defaultColWidth="8.765625" defaultRowHeight="12.45" x14ac:dyDescent="0.3"/>
  <cols>
    <col min="3" max="3" width="22.07421875" style="249" customWidth="1"/>
    <col min="4" max="4" width="90.69140625" style="248" customWidth="1"/>
    <col min="8" max="8" width="37" style="221" customWidth="1"/>
    <col min="9" max="9" width="8.69140625" bestFit="1" customWidth="1"/>
    <col min="13" max="13" width="10.4609375" bestFit="1" customWidth="1"/>
  </cols>
  <sheetData>
    <row r="1" spans="3:13" s="221" customFormat="1" x14ac:dyDescent="0.3">
      <c r="C1" s="253"/>
      <c r="D1" s="253"/>
    </row>
    <row r="2" spans="3:13" s="221" customFormat="1" x14ac:dyDescent="0.3">
      <c r="C2" s="253"/>
      <c r="D2" s="253"/>
    </row>
    <row r="3" spans="3:13" s="221" customFormat="1" x14ac:dyDescent="0.3">
      <c r="C3" s="254" t="s">
        <v>191</v>
      </c>
      <c r="D3" s="254" t="s">
        <v>192</v>
      </c>
      <c r="E3" s="255" t="s">
        <v>193</v>
      </c>
      <c r="H3" s="255" t="s">
        <v>266</v>
      </c>
      <c r="M3" s="255" t="s">
        <v>267</v>
      </c>
    </row>
    <row r="4" spans="3:13" s="221" customFormat="1" ht="37.299999999999997" x14ac:dyDescent="0.3">
      <c r="C4" s="256">
        <f t="array" ref="C4">'Assumptions and inputs'!$H$105</f>
        <v>0.33333333333333331</v>
      </c>
      <c r="D4" s="256" t="s">
        <v>195</v>
      </c>
      <c r="E4" s="257" t="s">
        <v>194</v>
      </c>
      <c r="H4" s="251" t="s">
        <v>239</v>
      </c>
      <c r="M4" s="313" t="s">
        <v>268</v>
      </c>
    </row>
    <row r="5" spans="3:13" s="221" customFormat="1" x14ac:dyDescent="0.3">
      <c r="C5" s="258">
        <f t="array" ref="C5">'Assumptions and inputs'!$H$7:$H$19</f>
        <v>0</v>
      </c>
      <c r="D5" s="258" t="s">
        <v>196</v>
      </c>
      <c r="E5" s="259" t="s">
        <v>194</v>
      </c>
      <c r="H5" s="260" t="s">
        <v>238</v>
      </c>
    </row>
    <row r="6" spans="3:13" s="221" customFormat="1" ht="49.75" x14ac:dyDescent="0.3">
      <c r="C6" s="310">
        <f t="array" ref="C6">'Assumptions and inputs'!$K$19:$L$19</f>
        <v>1.004018201891975</v>
      </c>
      <c r="D6" s="256" t="s">
        <v>197</v>
      </c>
      <c r="E6" s="257" t="s">
        <v>194</v>
      </c>
      <c r="F6" s="257"/>
      <c r="H6" s="251" t="s">
        <v>262</v>
      </c>
      <c r="I6" s="260" t="s">
        <v>263</v>
      </c>
      <c r="M6" s="221" t="s">
        <v>269</v>
      </c>
    </row>
    <row r="7" spans="3:13" s="221" customFormat="1" x14ac:dyDescent="0.3">
      <c r="C7" s="258">
        <f t="array" ref="C7">'Assumptions and inputs'!$N$79:$N$81</f>
        <v>0</v>
      </c>
      <c r="D7" s="258" t="s">
        <v>198</v>
      </c>
      <c r="E7" s="259" t="s">
        <v>194</v>
      </c>
      <c r="H7" s="260" t="s">
        <v>237</v>
      </c>
    </row>
    <row r="8" spans="3:13" s="221" customFormat="1" ht="24" customHeight="1" x14ac:dyDescent="0.3">
      <c r="C8" s="311">
        <f t="array" ref="C8">Прогнозы!$K$26</f>
        <v>5000000</v>
      </c>
      <c r="D8" s="308" t="s">
        <v>199</v>
      </c>
      <c r="E8" s="309" t="s">
        <v>200</v>
      </c>
      <c r="F8" s="309"/>
      <c r="G8" s="309"/>
      <c r="H8" s="260" t="s">
        <v>264</v>
      </c>
      <c r="M8" s="221" t="s">
        <v>270</v>
      </c>
    </row>
    <row r="9" spans="3:13" s="221" customFormat="1" ht="46.95" customHeight="1" x14ac:dyDescent="0.3">
      <c r="C9" s="258" t="str">
        <f t="array" ref="C9">Прогнозы!$D$26:$D$28</f>
        <v xml:space="preserve">  Плановый годовой объем производства</v>
      </c>
      <c r="D9" s="258" t="s">
        <v>202</v>
      </c>
      <c r="E9" s="259" t="s">
        <v>200</v>
      </c>
      <c r="F9" s="259"/>
      <c r="H9" s="260" t="s">
        <v>240</v>
      </c>
    </row>
    <row r="10" spans="3:13" s="221" customFormat="1" ht="87" hidden="1" x14ac:dyDescent="0.3">
      <c r="C10" s="258">
        <f t="array" ref="C10">Прогнозы!$K$25:$N$25</f>
        <v>0</v>
      </c>
      <c r="D10" s="271" t="s">
        <v>203</v>
      </c>
      <c r="E10" s="259" t="s">
        <v>200</v>
      </c>
      <c r="F10" s="259"/>
    </row>
    <row r="11" spans="3:13" s="221" customFormat="1" x14ac:dyDescent="0.3">
      <c r="C11" s="308">
        <f t="array" ref="C11">Прогнозы!$K$28</f>
        <v>318493.15068493149</v>
      </c>
      <c r="D11" s="308" t="s">
        <v>204</v>
      </c>
      <c r="E11" s="309" t="s">
        <v>200</v>
      </c>
      <c r="F11" s="309"/>
      <c r="G11" s="309"/>
      <c r="H11" s="260" t="s">
        <v>265</v>
      </c>
    </row>
    <row r="12" spans="3:13" s="221" customFormat="1" x14ac:dyDescent="0.3">
      <c r="C12" s="312">
        <f t="array" ref="C12">Себестоимость!$I$77</f>
        <v>0</v>
      </c>
      <c r="D12" s="272" t="s">
        <v>205</v>
      </c>
      <c r="E12" s="273" t="s">
        <v>206</v>
      </c>
      <c r="H12" s="250" t="s">
        <v>242</v>
      </c>
      <c r="M12" s="313" t="s">
        <v>303</v>
      </c>
    </row>
    <row r="13" spans="3:13" s="221" customFormat="1" ht="24.9" x14ac:dyDescent="0.3">
      <c r="C13" s="258" t="str">
        <f t="array" ref="C13">CF!$D$29</f>
        <v>Cвободный денежный поток на фирму (FCFF)</v>
      </c>
      <c r="D13" s="258" t="s">
        <v>207</v>
      </c>
      <c r="E13" s="259" t="s">
        <v>208</v>
      </c>
    </row>
    <row r="14" spans="3:13" s="221" customFormat="1" ht="37.299999999999997" x14ac:dyDescent="0.3">
      <c r="C14" s="258" t="str">
        <f t="array" ref="C14">CF!$D$70</f>
        <v>Свободный денежный поток на акционерный капитал (FCFE)</v>
      </c>
      <c r="D14" s="258" t="s">
        <v>209</v>
      </c>
      <c r="E14" s="259" t="s">
        <v>208</v>
      </c>
    </row>
    <row r="15" spans="3:13" s="221" customFormat="1" x14ac:dyDescent="0.3">
      <c r="C15" s="308">
        <f t="array" ref="C15">CF!$K$20</f>
        <v>138.32000000000002</v>
      </c>
      <c r="D15" s="308" t="s">
        <v>201</v>
      </c>
      <c r="E15" s="309" t="s">
        <v>208</v>
      </c>
      <c r="F15" s="309"/>
      <c r="G15" s="309"/>
      <c r="H15" s="260" t="s">
        <v>261</v>
      </c>
    </row>
    <row r="16" spans="3:13" s="221" customFormat="1" ht="34.950000000000003" customHeight="1" x14ac:dyDescent="0.3">
      <c r="C16" s="312">
        <f t="array" ref="C16">CF!$K$21</f>
        <v>138.32000000000002</v>
      </c>
      <c r="D16" s="272" t="s">
        <v>210</v>
      </c>
      <c r="E16" s="273" t="s">
        <v>208</v>
      </c>
      <c r="H16" s="250" t="s">
        <v>241</v>
      </c>
      <c r="M16" s="313" t="s">
        <v>303</v>
      </c>
    </row>
    <row r="17" spans="3:13" s="221" customFormat="1" ht="22.1" customHeight="1" x14ac:dyDescent="0.3">
      <c r="C17" s="253">
        <f t="array" ref="C17">CF!$K$34:$K$36</f>
        <v>0</v>
      </c>
      <c r="D17" s="253" t="s">
        <v>211</v>
      </c>
      <c r="E17" s="221" t="s">
        <v>208</v>
      </c>
      <c r="H17" s="260" t="s">
        <v>251</v>
      </c>
    </row>
    <row r="18" spans="3:13" s="221" customFormat="1" ht="24.9" x14ac:dyDescent="0.3">
      <c r="C18" s="253" t="str">
        <f t="array" ref="C18">CF!$D$29</f>
        <v>Cвободный денежный поток на фирму (FCFF)</v>
      </c>
      <c r="D18" s="253" t="s">
        <v>212</v>
      </c>
      <c r="E18" s="221" t="s">
        <v>208</v>
      </c>
    </row>
    <row r="19" spans="3:13" s="221" customFormat="1" x14ac:dyDescent="0.3">
      <c r="C19" s="272" t="e">
        <f t="array" ref="C19">CF!#REF!</f>
        <v>#REF!</v>
      </c>
      <c r="D19" s="272" t="s">
        <v>213</v>
      </c>
      <c r="E19" s="273" t="s">
        <v>208</v>
      </c>
      <c r="H19" s="250" t="s">
        <v>243</v>
      </c>
    </row>
    <row r="20" spans="3:13" s="221" customFormat="1" x14ac:dyDescent="0.3">
      <c r="C20" s="253">
        <f t="array" ref="C20">CF!$K$37</f>
        <v>0</v>
      </c>
      <c r="D20" s="253" t="s">
        <v>214</v>
      </c>
      <c r="E20" s="221" t="s">
        <v>208</v>
      </c>
    </row>
    <row r="21" spans="3:13" s="221" customFormat="1" x14ac:dyDescent="0.3">
      <c r="C21" s="312">
        <f t="array" aca="1" ref="C21" ca="1">CF!$K$38:$K$46</f>
        <v>0</v>
      </c>
      <c r="D21" s="272" t="s">
        <v>215</v>
      </c>
      <c r="E21" s="273" t="s">
        <v>208</v>
      </c>
      <c r="H21" s="250" t="s">
        <v>243</v>
      </c>
    </row>
    <row r="22" spans="3:13" s="221" customFormat="1" x14ac:dyDescent="0.3">
      <c r="C22" s="272">
        <f t="array" aca="1" ref="C22" ca="1">CF!$K$39:$K$46</f>
        <v>0</v>
      </c>
      <c r="D22" s="272" t="s">
        <v>216</v>
      </c>
      <c r="E22" s="273" t="s">
        <v>208</v>
      </c>
      <c r="H22" s="250" t="s">
        <v>243</v>
      </c>
      <c r="M22" s="313" t="s">
        <v>308</v>
      </c>
    </row>
    <row r="23" spans="3:13" s="221" customFormat="1" x14ac:dyDescent="0.3">
      <c r="C23" s="253">
        <f t="array" ref="C23">CF!$K$49:$K$57</f>
        <v>152500000</v>
      </c>
      <c r="D23" s="253" t="s">
        <v>217</v>
      </c>
      <c r="E23" s="221" t="s">
        <v>208</v>
      </c>
    </row>
    <row r="24" spans="3:13" s="221" customFormat="1" x14ac:dyDescent="0.3">
      <c r="C24" s="312">
        <f t="array" aca="1" ref="C24" ca="1">CF!$M$78</f>
        <v>7576544.1037122756</v>
      </c>
      <c r="D24" s="272" t="s">
        <v>218</v>
      </c>
      <c r="E24" s="273" t="s">
        <v>208</v>
      </c>
      <c r="H24" s="250" t="s">
        <v>243</v>
      </c>
      <c r="M24" s="313" t="s">
        <v>303</v>
      </c>
    </row>
    <row r="25" spans="3:13" s="221" customFormat="1" x14ac:dyDescent="0.3">
      <c r="C25" s="258">
        <f t="array" aca="1" ref="C25" ca="1">CF!$L$79</f>
        <v>0</v>
      </c>
      <c r="D25" s="258" t="s">
        <v>219</v>
      </c>
      <c r="E25" s="259" t="s">
        <v>208</v>
      </c>
      <c r="H25" s="260" t="s">
        <v>237</v>
      </c>
    </row>
    <row r="26" spans="3:13" s="221" customFormat="1" x14ac:dyDescent="0.3">
      <c r="C26" s="272">
        <f t="array" aca="1" ref="C26" ca="1">CF!$N$79</f>
        <v>1253701.7376398998</v>
      </c>
      <c r="D26" s="272" t="s">
        <v>220</v>
      </c>
      <c r="E26" s="273" t="s">
        <v>208</v>
      </c>
      <c r="H26" s="250" t="s">
        <v>244</v>
      </c>
    </row>
    <row r="27" spans="3:13" s="221" customFormat="1" x14ac:dyDescent="0.3">
      <c r="C27" s="258">
        <f t="array" aca="1" ref="C27" ca="1">CF!$N$79</f>
        <v>1253701.7376398998</v>
      </c>
      <c r="D27" s="258" t="s">
        <v>221</v>
      </c>
      <c r="E27" s="259" t="s">
        <v>208</v>
      </c>
      <c r="H27" s="260" t="s">
        <v>245</v>
      </c>
    </row>
    <row r="28" spans="3:13" s="221" customFormat="1" x14ac:dyDescent="0.3">
      <c r="C28" s="312">
        <f t="array" aca="1" ref="C28" ca="1">CF!$K$102:$AT$102</f>
        <v>0</v>
      </c>
      <c r="D28" s="272" t="s">
        <v>222</v>
      </c>
      <c r="E28" s="273" t="s">
        <v>208</v>
      </c>
      <c r="H28" s="250" t="s">
        <v>243</v>
      </c>
    </row>
    <row r="29" spans="3:13" s="221" customFormat="1" x14ac:dyDescent="0.3">
      <c r="C29" s="312">
        <f t="array" aca="1" ref="C29" ca="1">CF!$H$106</f>
        <v>430576768.34468323</v>
      </c>
      <c r="D29" s="272" t="s">
        <v>223</v>
      </c>
      <c r="E29" s="273" t="s">
        <v>208</v>
      </c>
      <c r="H29" s="250" t="s">
        <v>243</v>
      </c>
    </row>
    <row r="30" spans="3:13" s="221" customFormat="1" x14ac:dyDescent="0.3">
      <c r="C30" s="256">
        <f t="array" aca="1" ref="C30" ca="1">'P&amp;L'!$K$29</f>
        <v>0</v>
      </c>
      <c r="D30" s="256" t="s">
        <v>224</v>
      </c>
      <c r="E30" s="257" t="s">
        <v>225</v>
      </c>
      <c r="F30" s="257"/>
      <c r="G30" s="257"/>
      <c r="H30" s="283" t="s">
        <v>246</v>
      </c>
    </row>
    <row r="31" spans="3:13" s="221" customFormat="1" x14ac:dyDescent="0.3">
      <c r="C31" s="310">
        <f t="array" ref="C31">CF!$K$34</f>
        <v>0</v>
      </c>
      <c r="D31" s="256" t="s">
        <v>226</v>
      </c>
      <c r="E31" s="257" t="s">
        <v>208</v>
      </c>
      <c r="F31" s="257"/>
      <c r="G31" s="257"/>
      <c r="H31" s="284" t="s">
        <v>247</v>
      </c>
      <c r="M31" s="313" t="s">
        <v>304</v>
      </c>
    </row>
    <row r="32" spans="3:13" s="221" customFormat="1" x14ac:dyDescent="0.3">
      <c r="C32" s="258">
        <f t="array" ref="C32">CF!$H$36</f>
        <v>0.1</v>
      </c>
      <c r="D32" s="258" t="s">
        <v>227</v>
      </c>
      <c r="E32" s="259" t="s">
        <v>208</v>
      </c>
      <c r="F32" s="259"/>
      <c r="G32" s="259"/>
      <c r="H32" s="285" t="s">
        <v>248</v>
      </c>
    </row>
    <row r="33" spans="3:13" s="221" customFormat="1" x14ac:dyDescent="0.3">
      <c r="C33" s="272">
        <f t="array" ref="C33">'P&amp;L'!$G$37</f>
        <v>0</v>
      </c>
      <c r="D33" s="272" t="s">
        <v>228</v>
      </c>
      <c r="E33" s="273" t="s">
        <v>225</v>
      </c>
      <c r="H33" s="250" t="s">
        <v>243</v>
      </c>
    </row>
    <row r="34" spans="3:13" s="221" customFormat="1" ht="24.9" x14ac:dyDescent="0.3">
      <c r="C34" s="256">
        <f t="array" ref="C34">CF!$K$37</f>
        <v>0</v>
      </c>
      <c r="D34" s="256" t="s">
        <v>229</v>
      </c>
      <c r="E34" s="257" t="s">
        <v>208</v>
      </c>
      <c r="F34" s="257"/>
      <c r="G34" s="257"/>
      <c r="H34" s="286" t="s">
        <v>249</v>
      </c>
      <c r="M34" s="313" t="s">
        <v>305</v>
      </c>
    </row>
    <row r="35" spans="3:13" x14ac:dyDescent="0.3">
      <c r="H35" s="250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outlinePr summaryBelow="0" summaryRight="0"/>
  </sheetPr>
  <dimension ref="A1:AA937"/>
  <sheetViews>
    <sheetView showGridLines="0" topLeftCell="A6" workbookViewId="0">
      <selection activeCell="H34" sqref="H34"/>
    </sheetView>
  </sheetViews>
  <sheetFormatPr defaultColWidth="14.4609375" defaultRowHeight="15" customHeight="1" x14ac:dyDescent="0.3"/>
  <cols>
    <col min="2" max="2" width="6.3046875" customWidth="1"/>
    <col min="3" max="3" width="5" customWidth="1"/>
    <col min="4" max="4" width="24.3046875" customWidth="1"/>
    <col min="13" max="13" width="68.765625" customWidth="1"/>
  </cols>
  <sheetData>
    <row r="1" spans="1:27" s="216" customFormat="1" ht="15.75" customHeight="1" x14ac:dyDescent="0.3">
      <c r="A1" s="215" t="s">
        <v>186</v>
      </c>
      <c r="B1" s="219"/>
      <c r="C1" s="245"/>
      <c r="D1" s="215"/>
      <c r="E1" s="215"/>
      <c r="F1" s="215"/>
      <c r="G1" s="215"/>
      <c r="H1" s="215"/>
      <c r="I1" s="215"/>
      <c r="J1" s="215"/>
      <c r="K1" s="215"/>
      <c r="L1" s="215"/>
      <c r="M1" s="219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</row>
    <row r="2" spans="1:27" ht="15.75" customHeight="1" x14ac:dyDescent="0.3">
      <c r="A2" s="6"/>
      <c r="B2" s="7"/>
      <c r="C2" s="238"/>
      <c r="D2" s="6"/>
      <c r="E2" s="6"/>
      <c r="F2" s="6"/>
      <c r="G2" s="6"/>
      <c r="H2" s="6"/>
      <c r="I2" s="6"/>
      <c r="J2" s="6"/>
      <c r="K2" s="6"/>
      <c r="L2" s="6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 x14ac:dyDescent="0.3">
      <c r="A3" s="6"/>
      <c r="B3" s="7"/>
      <c r="C3" s="238"/>
      <c r="D3" s="6"/>
      <c r="E3" s="6"/>
      <c r="F3" s="6"/>
      <c r="G3" s="6"/>
      <c r="H3" s="6"/>
      <c r="I3" s="6"/>
      <c r="J3" s="6"/>
      <c r="K3" s="6"/>
      <c r="L3" s="6"/>
      <c r="M3" s="8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s="221" customFormat="1" ht="15.75" customHeight="1" x14ac:dyDescent="0.3">
      <c r="A4" s="9"/>
      <c r="B4" s="289" t="s">
        <v>187</v>
      </c>
      <c r="C4" s="290"/>
      <c r="D4" s="291"/>
      <c r="E4" s="291"/>
      <c r="F4" s="291"/>
      <c r="G4" s="291"/>
      <c r="H4" s="291"/>
      <c r="I4" s="291"/>
      <c r="J4" s="291"/>
      <c r="K4" s="291"/>
      <c r="L4" s="220"/>
      <c r="M4" s="8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</row>
    <row r="5" spans="1:27" ht="15.75" customHeight="1" x14ac:dyDescent="0.35">
      <c r="A5" s="6"/>
      <c r="B5" s="292"/>
      <c r="C5" s="293"/>
      <c r="D5" s="294"/>
      <c r="E5" s="294"/>
      <c r="F5" s="294"/>
      <c r="G5" s="294"/>
      <c r="H5" s="294"/>
      <c r="I5" s="294"/>
      <c r="J5" s="294"/>
      <c r="K5" s="294"/>
      <c r="L5" s="6"/>
      <c r="M5" s="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 x14ac:dyDescent="0.3">
      <c r="A6" s="6"/>
      <c r="B6" s="631" t="s">
        <v>2</v>
      </c>
      <c r="C6" s="632"/>
      <c r="D6" s="631"/>
      <c r="E6" s="631"/>
      <c r="F6" s="631"/>
      <c r="G6" s="631"/>
      <c r="H6" s="631"/>
      <c r="I6" s="631"/>
      <c r="J6" s="631"/>
      <c r="K6" s="631"/>
      <c r="L6" s="6"/>
      <c r="M6" s="8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7.1" customHeight="1" x14ac:dyDescent="0.3">
      <c r="A7" s="6"/>
      <c r="B7" s="631"/>
      <c r="C7" s="632"/>
      <c r="D7" s="631"/>
      <c r="E7" s="631"/>
      <c r="F7" s="631"/>
      <c r="G7" s="631"/>
      <c r="H7" s="631"/>
      <c r="I7" s="631"/>
      <c r="J7" s="631"/>
      <c r="K7" s="631"/>
      <c r="L7" s="6"/>
      <c r="M7" s="8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 x14ac:dyDescent="0.35">
      <c r="A8" s="6"/>
      <c r="B8" s="295" t="s">
        <v>4</v>
      </c>
      <c r="C8" s="296"/>
      <c r="D8" s="294"/>
      <c r="E8" s="294"/>
      <c r="F8" s="294"/>
      <c r="G8" s="294"/>
      <c r="H8" s="294"/>
      <c r="I8" s="294"/>
      <c r="J8" s="294"/>
      <c r="K8" s="294"/>
      <c r="L8" s="6"/>
      <c r="M8" s="8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 x14ac:dyDescent="0.35">
      <c r="A9" s="217"/>
      <c r="B9" s="296"/>
      <c r="C9" s="296"/>
      <c r="D9" s="297"/>
      <c r="E9" s="297"/>
      <c r="F9" s="297"/>
      <c r="G9" s="297"/>
      <c r="H9" s="297"/>
      <c r="I9" s="297"/>
      <c r="J9" s="297"/>
      <c r="K9" s="297"/>
      <c r="L9" s="217"/>
      <c r="M9" s="218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</row>
    <row r="10" spans="1:27" ht="15" customHeight="1" x14ac:dyDescent="0.35">
      <c r="A10" s="6"/>
      <c r="B10" s="298" t="s">
        <v>5</v>
      </c>
      <c r="C10" s="299"/>
      <c r="D10" s="294"/>
      <c r="E10" s="294"/>
      <c r="F10" s="294"/>
      <c r="G10" s="294"/>
      <c r="H10" s="294"/>
      <c r="I10" s="294"/>
      <c r="J10" s="294"/>
      <c r="K10" s="294"/>
      <c r="L10" s="6"/>
      <c r="M10" s="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" customHeight="1" x14ac:dyDescent="0.35">
      <c r="A11" s="217"/>
      <c r="B11" s="299"/>
      <c r="C11" s="299"/>
      <c r="D11" s="297"/>
      <c r="E11" s="297"/>
      <c r="F11" s="297"/>
      <c r="G11" s="297"/>
      <c r="H11" s="297"/>
      <c r="I11" s="297"/>
      <c r="J11" s="297"/>
      <c r="K11" s="297"/>
      <c r="L11" s="217"/>
      <c r="M11" s="218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</row>
    <row r="12" spans="1:27" ht="15.75" customHeight="1" x14ac:dyDescent="0.35">
      <c r="A12" s="6"/>
      <c r="B12" s="295" t="s">
        <v>6</v>
      </c>
      <c r="C12" s="300"/>
      <c r="D12" s="294"/>
      <c r="E12" s="294"/>
      <c r="F12" s="294"/>
      <c r="G12" s="294"/>
      <c r="H12" s="294"/>
      <c r="I12" s="294"/>
      <c r="J12" s="294"/>
      <c r="K12" s="294"/>
      <c r="L12" s="6"/>
      <c r="M12" s="8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8.75" customHeight="1" x14ac:dyDescent="0.35">
      <c r="A13" s="6"/>
      <c r="B13" s="301">
        <v>1</v>
      </c>
      <c r="C13" s="302" t="s">
        <v>7</v>
      </c>
      <c r="D13" s="303"/>
      <c r="E13" s="302"/>
      <c r="F13" s="302"/>
      <c r="G13" s="302"/>
      <c r="H13" s="294"/>
      <c r="I13" s="294"/>
      <c r="J13" s="294"/>
      <c r="K13" s="294"/>
      <c r="L13" s="6"/>
      <c r="M13" s="8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8.75" customHeight="1" x14ac:dyDescent="0.35">
      <c r="A14" s="6"/>
      <c r="B14" s="301">
        <v>2</v>
      </c>
      <c r="C14" s="302" t="s">
        <v>185</v>
      </c>
      <c r="D14" s="303"/>
      <c r="E14" s="302"/>
      <c r="F14" s="302"/>
      <c r="G14" s="302"/>
      <c r="H14" s="294"/>
      <c r="I14" s="294"/>
      <c r="J14" s="294"/>
      <c r="K14" s="294"/>
      <c r="L14" s="6"/>
      <c r="M14" s="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8.75" customHeight="1" x14ac:dyDescent="0.35">
      <c r="A15" s="6"/>
      <c r="B15" s="301">
        <v>3</v>
      </c>
      <c r="C15" s="302" t="s">
        <v>8</v>
      </c>
      <c r="D15" s="303"/>
      <c r="E15" s="302"/>
      <c r="F15" s="302"/>
      <c r="G15" s="302"/>
      <c r="H15" s="294"/>
      <c r="I15" s="294"/>
      <c r="J15" s="294"/>
      <c r="K15" s="294"/>
      <c r="L15" s="6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8.75" customHeight="1" x14ac:dyDescent="0.35">
      <c r="A16" s="6"/>
      <c r="B16" s="301">
        <v>4</v>
      </c>
      <c r="C16" s="302" t="s">
        <v>9</v>
      </c>
      <c r="D16" s="303"/>
      <c r="E16" s="302"/>
      <c r="F16" s="302"/>
      <c r="G16" s="302"/>
      <c r="H16" s="294"/>
      <c r="I16" s="294"/>
      <c r="J16" s="294"/>
      <c r="K16" s="294"/>
      <c r="L16" s="11"/>
      <c r="M16" s="8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8.75" customHeight="1" x14ac:dyDescent="0.35">
      <c r="A17" s="6"/>
      <c r="B17" s="301"/>
      <c r="C17" s="304"/>
      <c r="D17" s="294"/>
      <c r="E17" s="294"/>
      <c r="F17" s="294"/>
      <c r="G17" s="294"/>
      <c r="H17" s="294"/>
      <c r="I17" s="294"/>
      <c r="J17" s="294"/>
      <c r="K17" s="294"/>
      <c r="L17" s="11"/>
      <c r="M17" s="8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5.75" customHeight="1" x14ac:dyDescent="0.35">
      <c r="A18" s="6"/>
      <c r="B18" s="292"/>
      <c r="C18" s="293"/>
      <c r="D18" s="294"/>
      <c r="E18" s="294"/>
      <c r="F18" s="294"/>
      <c r="G18" s="294"/>
      <c r="H18" s="294"/>
      <c r="I18" s="294"/>
      <c r="J18" s="294"/>
      <c r="K18" s="294"/>
      <c r="L18" s="11"/>
      <c r="M18" s="8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.75" customHeight="1" x14ac:dyDescent="0.35">
      <c r="A19" s="6"/>
      <c r="B19" s="295" t="s">
        <v>10</v>
      </c>
      <c r="C19" s="296"/>
      <c r="D19" s="294"/>
      <c r="E19" s="294"/>
      <c r="F19" s="294"/>
      <c r="G19" s="294"/>
      <c r="H19" s="294"/>
      <c r="I19" s="294"/>
      <c r="J19" s="294"/>
      <c r="K19" s="294"/>
      <c r="L19" s="11"/>
      <c r="M19" s="8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 x14ac:dyDescent="0.35">
      <c r="A20" s="6"/>
      <c r="B20" s="305"/>
      <c r="C20" s="305"/>
      <c r="D20" s="306"/>
      <c r="E20" s="306"/>
      <c r="F20" s="306"/>
      <c r="G20" s="306"/>
      <c r="H20" s="306"/>
      <c r="I20" s="306"/>
      <c r="J20" s="306"/>
      <c r="K20" s="306"/>
      <c r="L20" s="6"/>
      <c r="M20" s="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 x14ac:dyDescent="0.3">
      <c r="A21" s="6"/>
      <c r="B21" s="7"/>
      <c r="C21" s="238"/>
      <c r="D21" s="6"/>
      <c r="E21" s="6"/>
      <c r="F21" s="6"/>
      <c r="G21" s="6"/>
      <c r="H21" s="6"/>
      <c r="I21" s="6"/>
      <c r="J21" s="6"/>
      <c r="K21" s="6"/>
      <c r="L21" s="6"/>
      <c r="M21" s="8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 x14ac:dyDescent="0.3">
      <c r="A22" s="6"/>
      <c r="B22" s="7"/>
      <c r="C22" s="238"/>
      <c r="D22" s="6"/>
      <c r="E22" s="6"/>
      <c r="F22" s="6"/>
      <c r="G22" s="6"/>
      <c r="H22" s="6"/>
      <c r="I22" s="6"/>
      <c r="J22" s="6"/>
      <c r="K22" s="6"/>
      <c r="L22" s="6"/>
      <c r="M22" s="8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 x14ac:dyDescent="0.3">
      <c r="A23" s="6"/>
      <c r="B23" s="7"/>
      <c r="C23" s="238"/>
      <c r="D23" s="6"/>
      <c r="E23" s="6"/>
      <c r="F23" s="6"/>
      <c r="G23" s="6"/>
      <c r="H23" s="6"/>
      <c r="I23" s="6"/>
      <c r="J23" s="6"/>
      <c r="K23" s="6"/>
      <c r="L23" s="6"/>
      <c r="M23" s="8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 x14ac:dyDescent="0.3">
      <c r="A24" s="6"/>
      <c r="B24" s="388" t="s">
        <v>286</v>
      </c>
      <c r="C24" s="388"/>
      <c r="D24" s="388"/>
      <c r="E24" s="389"/>
      <c r="F24" s="389"/>
      <c r="G24" s="389"/>
      <c r="H24" s="389"/>
      <c r="I24" s="389"/>
      <c r="J24" s="389"/>
      <c r="K24" s="389"/>
      <c r="L24" s="6"/>
      <c r="M24" s="8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 x14ac:dyDescent="0.3">
      <c r="A25" s="6"/>
      <c r="B25" s="238"/>
      <c r="C25" s="238"/>
      <c r="D25" s="217"/>
      <c r="E25" s="217"/>
      <c r="F25" s="217"/>
      <c r="G25" s="217"/>
      <c r="H25" s="217"/>
      <c r="I25" s="217"/>
      <c r="J25" s="217"/>
      <c r="K25" s="217"/>
      <c r="L25" s="6"/>
      <c r="M25" s="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6.95" customHeight="1" x14ac:dyDescent="0.3">
      <c r="A26" s="6"/>
      <c r="B26" s="390" t="s">
        <v>271</v>
      </c>
      <c r="C26" s="391" t="s">
        <v>272</v>
      </c>
      <c r="D26" s="393"/>
      <c r="E26" s="391"/>
      <c r="F26" s="391"/>
      <c r="G26" s="391"/>
      <c r="H26" s="391"/>
      <c r="I26" s="391"/>
      <c r="J26" s="391"/>
      <c r="K26" s="391"/>
      <c r="L26" s="6"/>
      <c r="M26" s="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95" customHeight="1" x14ac:dyDescent="0.3">
      <c r="A27" s="6"/>
      <c r="B27" s="218"/>
      <c r="C27" s="218"/>
      <c r="D27" s="395"/>
      <c r="E27" s="217"/>
      <c r="F27" s="217"/>
      <c r="G27" s="217"/>
      <c r="H27" s="217"/>
      <c r="I27" s="217"/>
      <c r="J27" s="217"/>
      <c r="K27" s="217"/>
      <c r="L27" s="6"/>
      <c r="M27" s="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95" customHeight="1" x14ac:dyDescent="0.3">
      <c r="A28" s="6"/>
      <c r="B28" s="391" t="s">
        <v>273</v>
      </c>
      <c r="C28" s="393" t="s">
        <v>287</v>
      </c>
      <c r="D28" s="391"/>
      <c r="E28" s="391"/>
      <c r="F28" s="391"/>
      <c r="G28" s="391"/>
      <c r="H28" s="391"/>
      <c r="I28" s="391"/>
      <c r="J28" s="391"/>
      <c r="K28" s="390"/>
      <c r="L28" s="6"/>
      <c r="M28" s="8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95" customHeight="1" x14ac:dyDescent="0.3">
      <c r="A29" s="6"/>
      <c r="B29" s="218"/>
      <c r="C29" s="218"/>
      <c r="D29" s="246"/>
      <c r="E29" s="246"/>
      <c r="F29" s="246"/>
      <c r="G29" s="246"/>
      <c r="H29" s="246"/>
      <c r="I29" s="246"/>
      <c r="J29" s="246"/>
      <c r="K29" s="246"/>
      <c r="L29" s="6"/>
      <c r="M29" s="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95" customHeight="1" x14ac:dyDescent="0.3">
      <c r="A30" s="6"/>
      <c r="B30" s="391" t="s">
        <v>274</v>
      </c>
      <c r="C30" s="393" t="s">
        <v>275</v>
      </c>
      <c r="D30" s="391"/>
      <c r="E30" s="391"/>
      <c r="F30" s="391"/>
      <c r="G30" s="391"/>
      <c r="H30" s="391"/>
      <c r="I30" s="391"/>
      <c r="J30" s="391"/>
      <c r="K30" s="390"/>
      <c r="L30" s="6"/>
      <c r="M30" s="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95" customHeight="1" x14ac:dyDescent="0.3">
      <c r="A31" s="6"/>
      <c r="B31" s="218"/>
      <c r="C31" s="238"/>
      <c r="D31" s="217"/>
      <c r="E31" s="217"/>
      <c r="F31" s="217"/>
      <c r="G31" s="217"/>
      <c r="H31" s="217"/>
      <c r="I31" s="217"/>
      <c r="J31" s="217"/>
      <c r="K31" s="217"/>
      <c r="L31" s="6"/>
      <c r="M31" s="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95" customHeight="1" x14ac:dyDescent="0.3">
      <c r="A32" s="6"/>
      <c r="B32" s="391" t="s">
        <v>276</v>
      </c>
      <c r="C32" s="393" t="s">
        <v>277</v>
      </c>
      <c r="D32" s="391"/>
      <c r="E32" s="391"/>
      <c r="F32" s="391"/>
      <c r="G32" s="391"/>
      <c r="H32" s="391"/>
      <c r="I32" s="391"/>
      <c r="J32" s="391"/>
      <c r="K32" s="390"/>
      <c r="L32" s="6"/>
      <c r="M32" s="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95" customHeight="1" x14ac:dyDescent="0.3">
      <c r="A33" s="6"/>
      <c r="B33" s="218"/>
      <c r="C33" s="238"/>
      <c r="D33" s="217"/>
      <c r="E33" s="217"/>
      <c r="F33" s="217"/>
      <c r="G33" s="217"/>
      <c r="H33" s="217"/>
      <c r="I33" s="217"/>
      <c r="J33" s="217"/>
      <c r="K33" s="217"/>
      <c r="L33" s="6"/>
      <c r="M33" s="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95" customHeight="1" x14ac:dyDescent="0.3">
      <c r="A34" s="6"/>
      <c r="B34" s="391" t="s">
        <v>278</v>
      </c>
      <c r="C34" s="393" t="s">
        <v>279</v>
      </c>
      <c r="D34" s="391"/>
      <c r="E34" s="391"/>
      <c r="F34" s="391"/>
      <c r="G34" s="391"/>
      <c r="H34" s="391"/>
      <c r="I34" s="391"/>
      <c r="J34" s="391"/>
      <c r="K34" s="390"/>
      <c r="L34" s="6"/>
      <c r="M34" s="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95" customHeight="1" x14ac:dyDescent="0.3">
      <c r="A35" s="6"/>
      <c r="B35" s="218"/>
      <c r="C35" s="238"/>
      <c r="D35" s="217"/>
      <c r="E35" s="217"/>
      <c r="F35" s="217"/>
      <c r="G35" s="217"/>
      <c r="H35" s="217"/>
      <c r="I35" s="217"/>
      <c r="J35" s="217"/>
      <c r="K35" s="217"/>
      <c r="L35" s="6"/>
      <c r="M35" s="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95" customHeight="1" x14ac:dyDescent="0.3">
      <c r="A36" s="6"/>
      <c r="B36" s="391" t="s">
        <v>280</v>
      </c>
      <c r="C36" s="393" t="s">
        <v>282</v>
      </c>
      <c r="D36" s="391"/>
      <c r="E36" s="391"/>
      <c r="F36" s="391"/>
      <c r="G36" s="391"/>
      <c r="H36" s="391"/>
      <c r="I36" s="391"/>
      <c r="J36" s="391"/>
      <c r="K36" s="390"/>
      <c r="L36" s="6"/>
      <c r="M36" s="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95" customHeight="1" x14ac:dyDescent="0.3">
      <c r="A37" s="6"/>
      <c r="B37" s="238"/>
      <c r="C37" s="238"/>
      <c r="D37" s="217"/>
      <c r="E37" s="217"/>
      <c r="F37" s="217"/>
      <c r="G37" s="217"/>
      <c r="H37" s="217"/>
      <c r="I37" s="217"/>
      <c r="J37" s="217"/>
      <c r="K37" s="217"/>
      <c r="L37" s="6"/>
      <c r="M37" s="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95" customHeight="1" x14ac:dyDescent="0.3">
      <c r="A38" s="6"/>
      <c r="B38" s="391" t="s">
        <v>281</v>
      </c>
      <c r="C38" s="393" t="s">
        <v>284</v>
      </c>
      <c r="D38" s="391"/>
      <c r="E38" s="391"/>
      <c r="F38" s="391"/>
      <c r="G38" s="391"/>
      <c r="H38" s="391"/>
      <c r="I38" s="391"/>
      <c r="J38" s="391"/>
      <c r="K38" s="390"/>
      <c r="L38" s="6"/>
      <c r="M38" s="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95" customHeight="1" x14ac:dyDescent="0.3">
      <c r="A39" s="6"/>
      <c r="B39" s="238"/>
      <c r="C39" s="238"/>
      <c r="D39" s="217"/>
      <c r="E39" s="217"/>
      <c r="F39" s="217"/>
      <c r="G39" s="217"/>
      <c r="H39" s="217"/>
      <c r="I39" s="217"/>
      <c r="J39" s="217"/>
      <c r="K39" s="217"/>
      <c r="L39" s="6"/>
      <c r="M39" s="8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95" customHeight="1" x14ac:dyDescent="0.3">
      <c r="A40" s="6"/>
      <c r="B40" s="593" t="s">
        <v>283</v>
      </c>
      <c r="C40" s="594" t="s">
        <v>285</v>
      </c>
      <c r="D40" s="593"/>
      <c r="E40" s="593"/>
      <c r="F40" s="593"/>
      <c r="G40" s="593"/>
      <c r="H40" s="593"/>
      <c r="I40" s="593"/>
      <c r="J40" s="593"/>
      <c r="K40" s="595"/>
      <c r="L40" s="6"/>
      <c r="M40" s="8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2" customHeight="1" x14ac:dyDescent="0.3">
      <c r="A41" s="6"/>
      <c r="B41" s="7"/>
      <c r="C41" s="238"/>
      <c r="D41" s="6"/>
      <c r="E41" s="6"/>
      <c r="F41" s="6"/>
      <c r="G41" s="6"/>
      <c r="H41" s="6"/>
      <c r="I41" s="6"/>
      <c r="J41" s="6"/>
      <c r="K41" s="6"/>
      <c r="L41" s="6"/>
      <c r="M41" s="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5.75" customHeight="1" x14ac:dyDescent="0.3">
      <c r="A42" s="6"/>
      <c r="B42" s="7"/>
      <c r="C42" s="238"/>
      <c r="D42" s="6"/>
      <c r="E42" s="6"/>
      <c r="F42" s="6"/>
      <c r="G42" s="6"/>
      <c r="H42" s="6"/>
      <c r="I42" s="6"/>
      <c r="J42" s="6"/>
      <c r="K42" s="6"/>
      <c r="L42" s="6"/>
      <c r="M42" s="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5.75" customHeight="1" x14ac:dyDescent="0.3">
      <c r="A43" s="6"/>
      <c r="B43" s="7"/>
      <c r="C43" s="238"/>
      <c r="D43" s="6"/>
      <c r="E43" s="6"/>
      <c r="F43" s="6"/>
      <c r="G43" s="6"/>
      <c r="H43" s="6"/>
      <c r="I43" s="6"/>
      <c r="J43" s="6"/>
      <c r="K43" s="6"/>
      <c r="L43" s="6"/>
      <c r="M43" s="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5.75" customHeight="1" x14ac:dyDescent="0.3">
      <c r="A44" s="6"/>
      <c r="B44" s="7"/>
      <c r="C44" s="238"/>
      <c r="D44" s="6"/>
      <c r="E44" s="6"/>
      <c r="F44" s="6"/>
      <c r="G44" s="6"/>
      <c r="H44" s="6"/>
      <c r="I44" s="6"/>
      <c r="J44" s="6"/>
      <c r="K44" s="6"/>
      <c r="L44" s="6"/>
      <c r="M44" s="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5.75" customHeight="1" x14ac:dyDescent="0.3">
      <c r="A45" s="6"/>
      <c r="B45" s="7"/>
      <c r="C45" s="238"/>
      <c r="D45" s="6"/>
      <c r="E45" s="6"/>
      <c r="F45" s="6"/>
      <c r="G45" s="6"/>
      <c r="H45" s="6"/>
      <c r="I45" s="6"/>
      <c r="J45" s="6"/>
      <c r="K45" s="6"/>
      <c r="L45" s="6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5.75" customHeight="1" x14ac:dyDescent="0.3">
      <c r="A46" s="6"/>
      <c r="B46" s="7"/>
      <c r="C46" s="238"/>
      <c r="D46" s="6"/>
      <c r="E46" s="6"/>
      <c r="F46" s="6"/>
      <c r="G46" s="6"/>
      <c r="H46" s="6"/>
      <c r="I46" s="6"/>
      <c r="J46" s="6"/>
      <c r="K46" s="6"/>
      <c r="L46" s="6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.75" customHeight="1" x14ac:dyDescent="0.3">
      <c r="A47" s="6"/>
      <c r="B47" s="7"/>
      <c r="C47" s="238"/>
      <c r="D47" s="6"/>
      <c r="E47" s="6"/>
      <c r="F47" s="6"/>
      <c r="G47" s="6"/>
      <c r="H47" s="6"/>
      <c r="I47" s="6"/>
      <c r="J47" s="6"/>
      <c r="K47" s="6"/>
      <c r="L47" s="6"/>
      <c r="M47" s="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5.75" customHeight="1" x14ac:dyDescent="0.3">
      <c r="A48" s="6"/>
      <c r="B48" s="7"/>
      <c r="C48" s="238"/>
      <c r="D48" s="6"/>
      <c r="E48" s="6"/>
      <c r="F48" s="6"/>
      <c r="G48" s="6"/>
      <c r="H48" s="6"/>
      <c r="I48" s="6"/>
      <c r="J48" s="6"/>
      <c r="K48" s="6"/>
      <c r="L48" s="6"/>
      <c r="M48" s="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5.75" customHeight="1" x14ac:dyDescent="0.3">
      <c r="A49" s="6"/>
      <c r="B49" s="7"/>
      <c r="C49" s="238"/>
      <c r="D49" s="6"/>
      <c r="E49" s="6"/>
      <c r="F49" s="6"/>
      <c r="G49" s="6"/>
      <c r="H49" s="6"/>
      <c r="I49" s="6"/>
      <c r="J49" s="6"/>
      <c r="K49" s="6"/>
      <c r="L49" s="6"/>
      <c r="M49" s="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5.75" customHeight="1" x14ac:dyDescent="0.3">
      <c r="A50" s="6"/>
      <c r="B50" s="7"/>
      <c r="C50" s="238"/>
      <c r="D50" s="6"/>
      <c r="E50" s="6"/>
      <c r="F50" s="6"/>
      <c r="G50" s="6"/>
      <c r="H50" s="6"/>
      <c r="I50" s="6"/>
      <c r="J50" s="6"/>
      <c r="K50" s="6"/>
      <c r="L50" s="6"/>
      <c r="M50" s="8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5.75" customHeight="1" x14ac:dyDescent="0.3">
      <c r="A51" s="6"/>
      <c r="B51" s="7"/>
      <c r="C51" s="238"/>
      <c r="D51" s="6"/>
      <c r="E51" s="6"/>
      <c r="F51" s="6"/>
      <c r="G51" s="6"/>
      <c r="H51" s="6"/>
      <c r="I51" s="6"/>
      <c r="J51" s="6"/>
      <c r="K51" s="6"/>
      <c r="L51" s="6"/>
      <c r="M51" s="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5.75" customHeight="1" x14ac:dyDescent="0.3">
      <c r="A52" s="6"/>
      <c r="B52" s="7"/>
      <c r="C52" s="238"/>
      <c r="D52" s="6"/>
      <c r="E52" s="6"/>
      <c r="F52" s="6"/>
      <c r="G52" s="6"/>
      <c r="H52" s="6"/>
      <c r="I52" s="6"/>
      <c r="J52" s="6"/>
      <c r="K52" s="6"/>
      <c r="L52" s="6"/>
      <c r="M52" s="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5.75" customHeight="1" x14ac:dyDescent="0.3">
      <c r="A53" s="6"/>
      <c r="B53" s="7"/>
      <c r="C53" s="238"/>
      <c r="D53" s="6"/>
      <c r="E53" s="6"/>
      <c r="F53" s="6"/>
      <c r="G53" s="6"/>
      <c r="H53" s="6"/>
      <c r="I53" s="6"/>
      <c r="J53" s="6"/>
      <c r="K53" s="6"/>
      <c r="L53" s="6"/>
      <c r="M53" s="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5.75" customHeight="1" x14ac:dyDescent="0.3">
      <c r="A54" s="6"/>
      <c r="B54" s="7"/>
      <c r="C54" s="238"/>
      <c r="D54" s="6"/>
      <c r="E54" s="6"/>
      <c r="F54" s="6"/>
      <c r="G54" s="6"/>
      <c r="H54" s="6"/>
      <c r="I54" s="6"/>
      <c r="J54" s="6"/>
      <c r="K54" s="6"/>
      <c r="L54" s="6"/>
      <c r="M54" s="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5.75" customHeight="1" x14ac:dyDescent="0.3">
      <c r="A55" s="6"/>
      <c r="B55" s="7"/>
      <c r="C55" s="238"/>
      <c r="D55" s="6"/>
      <c r="E55" s="6"/>
      <c r="F55" s="6"/>
      <c r="G55" s="6"/>
      <c r="H55" s="6"/>
      <c r="I55" s="6"/>
      <c r="J55" s="6"/>
      <c r="K55" s="6"/>
      <c r="L55" s="6"/>
      <c r="M55" s="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5.75" customHeight="1" x14ac:dyDescent="0.3">
      <c r="A56" s="6"/>
      <c r="B56" s="7"/>
      <c r="C56" s="238"/>
      <c r="D56" s="6"/>
      <c r="E56" s="6"/>
      <c r="F56" s="6"/>
      <c r="G56" s="6"/>
      <c r="H56" s="6"/>
      <c r="I56" s="6"/>
      <c r="J56" s="6"/>
      <c r="K56" s="6"/>
      <c r="L56" s="6"/>
      <c r="M56" s="8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.75" customHeight="1" x14ac:dyDescent="0.3">
      <c r="A57" s="6"/>
      <c r="B57" s="7"/>
      <c r="C57" s="238"/>
      <c r="D57" s="6"/>
      <c r="E57" s="6"/>
      <c r="F57" s="6"/>
      <c r="G57" s="6"/>
      <c r="H57" s="6"/>
      <c r="I57" s="6"/>
      <c r="J57" s="6"/>
      <c r="K57" s="6"/>
      <c r="L57" s="6"/>
      <c r="M57" s="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.75" customHeight="1" x14ac:dyDescent="0.3">
      <c r="A58" s="6"/>
      <c r="B58" s="7"/>
      <c r="C58" s="238"/>
      <c r="D58" s="6"/>
      <c r="E58" s="6"/>
      <c r="F58" s="6"/>
      <c r="G58" s="6"/>
      <c r="H58" s="6"/>
      <c r="I58" s="6"/>
      <c r="J58" s="6"/>
      <c r="K58" s="6"/>
      <c r="L58" s="6"/>
      <c r="M58" s="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5.75" customHeight="1" x14ac:dyDescent="0.3">
      <c r="A59" s="6"/>
      <c r="B59" s="7"/>
      <c r="C59" s="238"/>
      <c r="D59" s="6"/>
      <c r="E59" s="6"/>
      <c r="F59" s="6"/>
      <c r="G59" s="6"/>
      <c r="H59" s="6"/>
      <c r="I59" s="6"/>
      <c r="J59" s="6"/>
      <c r="K59" s="6"/>
      <c r="L59" s="6"/>
      <c r="M59" s="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.75" customHeight="1" x14ac:dyDescent="0.3">
      <c r="A60" s="6"/>
      <c r="B60" s="7"/>
      <c r="C60" s="238"/>
      <c r="D60" s="6"/>
      <c r="E60" s="6"/>
      <c r="F60" s="6"/>
      <c r="G60" s="6"/>
      <c r="H60" s="6"/>
      <c r="I60" s="6"/>
      <c r="J60" s="6"/>
      <c r="K60" s="6"/>
      <c r="L60" s="6"/>
      <c r="M60" s="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.75" customHeight="1" x14ac:dyDescent="0.3">
      <c r="A61" s="6"/>
      <c r="B61" s="7"/>
      <c r="C61" s="238"/>
      <c r="D61" s="6"/>
      <c r="E61" s="6"/>
      <c r="F61" s="6"/>
      <c r="G61" s="6"/>
      <c r="H61" s="6"/>
      <c r="I61" s="6"/>
      <c r="J61" s="6"/>
      <c r="K61" s="6"/>
      <c r="L61" s="6"/>
      <c r="M61" s="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5.75" customHeight="1" x14ac:dyDescent="0.3">
      <c r="A62" s="6"/>
      <c r="B62" s="7"/>
      <c r="C62" s="238"/>
      <c r="D62" s="6"/>
      <c r="E62" s="6"/>
      <c r="F62" s="6"/>
      <c r="G62" s="6"/>
      <c r="H62" s="6"/>
      <c r="I62" s="6"/>
      <c r="J62" s="6"/>
      <c r="K62" s="6"/>
      <c r="L62" s="6"/>
      <c r="M62" s="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.75" customHeight="1" x14ac:dyDescent="0.3">
      <c r="A63" s="6"/>
      <c r="B63" s="7"/>
      <c r="C63" s="238"/>
      <c r="D63" s="6"/>
      <c r="E63" s="6"/>
      <c r="F63" s="6"/>
      <c r="G63" s="6"/>
      <c r="H63" s="6"/>
      <c r="I63" s="6"/>
      <c r="J63" s="6"/>
      <c r="K63" s="6"/>
      <c r="L63" s="6"/>
      <c r="M63" s="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.75" customHeight="1" x14ac:dyDescent="0.3">
      <c r="A64" s="6"/>
      <c r="B64" s="7"/>
      <c r="C64" s="238"/>
      <c r="D64" s="6"/>
      <c r="E64" s="6"/>
      <c r="F64" s="6"/>
      <c r="G64" s="6"/>
      <c r="H64" s="6"/>
      <c r="I64" s="6"/>
      <c r="J64" s="6"/>
      <c r="K64" s="6"/>
      <c r="L64" s="6"/>
      <c r="M64" s="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.75" customHeight="1" x14ac:dyDescent="0.3">
      <c r="A65" s="6"/>
      <c r="B65" s="7"/>
      <c r="C65" s="238"/>
      <c r="D65" s="6"/>
      <c r="E65" s="6"/>
      <c r="F65" s="6"/>
      <c r="G65" s="6"/>
      <c r="H65" s="6"/>
      <c r="I65" s="6"/>
      <c r="J65" s="6"/>
      <c r="K65" s="6"/>
      <c r="L65" s="6"/>
      <c r="M65" s="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.75" customHeight="1" x14ac:dyDescent="0.3">
      <c r="A66" s="6"/>
      <c r="B66" s="7"/>
      <c r="C66" s="238"/>
      <c r="D66" s="6"/>
      <c r="E66" s="6"/>
      <c r="F66" s="6"/>
      <c r="G66" s="6"/>
      <c r="H66" s="6"/>
      <c r="I66" s="6"/>
      <c r="J66" s="6"/>
      <c r="K66" s="6"/>
      <c r="L66" s="6"/>
      <c r="M66" s="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5.75" customHeight="1" x14ac:dyDescent="0.3">
      <c r="A67" s="6"/>
      <c r="B67" s="7"/>
      <c r="C67" s="238"/>
      <c r="D67" s="6"/>
      <c r="E67" s="6"/>
      <c r="F67" s="6"/>
      <c r="G67" s="6"/>
      <c r="H67" s="6"/>
      <c r="I67" s="6"/>
      <c r="J67" s="6"/>
      <c r="K67" s="6"/>
      <c r="L67" s="6"/>
      <c r="M67" s="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.75" customHeight="1" x14ac:dyDescent="0.3">
      <c r="A68" s="6"/>
      <c r="B68" s="7"/>
      <c r="C68" s="238"/>
      <c r="D68" s="6"/>
      <c r="E68" s="6"/>
      <c r="F68" s="6"/>
      <c r="G68" s="6"/>
      <c r="H68" s="6"/>
      <c r="I68" s="6"/>
      <c r="J68" s="6"/>
      <c r="K68" s="6"/>
      <c r="L68" s="6"/>
      <c r="M68" s="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.75" customHeight="1" x14ac:dyDescent="0.3">
      <c r="A69" s="6"/>
      <c r="B69" s="7"/>
      <c r="C69" s="238"/>
      <c r="D69" s="6"/>
      <c r="E69" s="6"/>
      <c r="F69" s="6"/>
      <c r="G69" s="6"/>
      <c r="H69" s="6"/>
      <c r="I69" s="6"/>
      <c r="J69" s="6"/>
      <c r="K69" s="6"/>
      <c r="L69" s="6"/>
      <c r="M69" s="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.75" customHeight="1" x14ac:dyDescent="0.3">
      <c r="A70" s="6"/>
      <c r="B70" s="7"/>
      <c r="C70" s="238"/>
      <c r="D70" s="6"/>
      <c r="E70" s="6"/>
      <c r="F70" s="6"/>
      <c r="G70" s="6"/>
      <c r="H70" s="6"/>
      <c r="I70" s="6"/>
      <c r="J70" s="6"/>
      <c r="K70" s="6"/>
      <c r="L70" s="6"/>
      <c r="M70" s="8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.75" customHeight="1" x14ac:dyDescent="0.3">
      <c r="A71" s="6"/>
      <c r="B71" s="7"/>
      <c r="C71" s="238"/>
      <c r="D71" s="6"/>
      <c r="E71" s="6"/>
      <c r="F71" s="6"/>
      <c r="G71" s="6"/>
      <c r="H71" s="6"/>
      <c r="I71" s="6"/>
      <c r="J71" s="6"/>
      <c r="K71" s="6"/>
      <c r="L71" s="6"/>
      <c r="M71" s="8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.75" customHeight="1" x14ac:dyDescent="0.3">
      <c r="A72" s="6"/>
      <c r="B72" s="7"/>
      <c r="C72" s="238"/>
      <c r="D72" s="6"/>
      <c r="E72" s="6"/>
      <c r="F72" s="6"/>
      <c r="G72" s="6"/>
      <c r="H72" s="6"/>
      <c r="I72" s="6"/>
      <c r="J72" s="6"/>
      <c r="K72" s="6"/>
      <c r="L72" s="6"/>
      <c r="M72" s="8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.75" customHeight="1" x14ac:dyDescent="0.3">
      <c r="A73" s="6"/>
      <c r="B73" s="7"/>
      <c r="C73" s="238"/>
      <c r="D73" s="6"/>
      <c r="E73" s="6"/>
      <c r="F73" s="6"/>
      <c r="G73" s="6"/>
      <c r="H73" s="6"/>
      <c r="I73" s="6"/>
      <c r="J73" s="6"/>
      <c r="K73" s="6"/>
      <c r="L73" s="6"/>
      <c r="M73" s="8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.75" customHeight="1" x14ac:dyDescent="0.3">
      <c r="A74" s="6"/>
      <c r="B74" s="7"/>
      <c r="C74" s="238"/>
      <c r="D74" s="6"/>
      <c r="E74" s="6"/>
      <c r="F74" s="6"/>
      <c r="G74" s="6"/>
      <c r="H74" s="6"/>
      <c r="I74" s="6"/>
      <c r="J74" s="6"/>
      <c r="K74" s="6"/>
      <c r="L74" s="6"/>
      <c r="M74" s="8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.75" customHeight="1" x14ac:dyDescent="0.3">
      <c r="A75" s="6"/>
      <c r="B75" s="7"/>
      <c r="C75" s="238"/>
      <c r="D75" s="6"/>
      <c r="E75" s="6"/>
      <c r="F75" s="6"/>
      <c r="G75" s="6"/>
      <c r="H75" s="6"/>
      <c r="I75" s="6"/>
      <c r="J75" s="6"/>
      <c r="K75" s="6"/>
      <c r="L75" s="6"/>
      <c r="M75" s="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.75" customHeight="1" x14ac:dyDescent="0.3">
      <c r="A76" s="6"/>
      <c r="B76" s="7"/>
      <c r="C76" s="238"/>
      <c r="D76" s="6"/>
      <c r="E76" s="6"/>
      <c r="F76" s="6"/>
      <c r="G76" s="6"/>
      <c r="H76" s="6"/>
      <c r="I76" s="6"/>
      <c r="J76" s="6"/>
      <c r="K76" s="6"/>
      <c r="L76" s="6"/>
      <c r="M76" s="8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.75" customHeight="1" x14ac:dyDescent="0.3">
      <c r="A77" s="6"/>
      <c r="B77" s="7"/>
      <c r="C77" s="238"/>
      <c r="D77" s="6"/>
      <c r="E77" s="6"/>
      <c r="F77" s="6"/>
      <c r="G77" s="6"/>
      <c r="H77" s="6"/>
      <c r="I77" s="6"/>
      <c r="J77" s="6"/>
      <c r="K77" s="6"/>
      <c r="L77" s="6"/>
      <c r="M77" s="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.75" customHeight="1" x14ac:dyDescent="0.3">
      <c r="A78" s="6"/>
      <c r="B78" s="7"/>
      <c r="C78" s="238"/>
      <c r="D78" s="6"/>
      <c r="E78" s="6"/>
      <c r="F78" s="6"/>
      <c r="G78" s="6"/>
      <c r="H78" s="6"/>
      <c r="I78" s="6"/>
      <c r="J78" s="6"/>
      <c r="K78" s="6"/>
      <c r="L78" s="6"/>
      <c r="M78" s="8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.75" customHeight="1" x14ac:dyDescent="0.3">
      <c r="A79" s="6"/>
      <c r="B79" s="7"/>
      <c r="C79" s="238"/>
      <c r="D79" s="6"/>
      <c r="E79" s="6"/>
      <c r="F79" s="6"/>
      <c r="G79" s="6"/>
      <c r="H79" s="6"/>
      <c r="I79" s="6"/>
      <c r="J79" s="6"/>
      <c r="K79" s="6"/>
      <c r="L79" s="6"/>
      <c r="M79" s="8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.75" customHeight="1" x14ac:dyDescent="0.3">
      <c r="A80" s="6"/>
      <c r="B80" s="7"/>
      <c r="C80" s="238"/>
      <c r="D80" s="6"/>
      <c r="E80" s="6"/>
      <c r="F80" s="6"/>
      <c r="G80" s="6"/>
      <c r="H80" s="6"/>
      <c r="I80" s="6"/>
      <c r="J80" s="6"/>
      <c r="K80" s="6"/>
      <c r="L80" s="6"/>
      <c r="M80" s="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.75" customHeight="1" x14ac:dyDescent="0.3">
      <c r="A81" s="6"/>
      <c r="B81" s="7"/>
      <c r="C81" s="238"/>
      <c r="D81" s="6"/>
      <c r="E81" s="6"/>
      <c r="F81" s="6"/>
      <c r="G81" s="6"/>
      <c r="H81" s="6"/>
      <c r="I81" s="6"/>
      <c r="J81" s="6"/>
      <c r="K81" s="6"/>
      <c r="L81" s="6"/>
      <c r="M81" s="8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.75" customHeight="1" x14ac:dyDescent="0.3">
      <c r="A82" s="6"/>
      <c r="B82" s="7"/>
      <c r="C82" s="238"/>
      <c r="D82" s="6"/>
      <c r="E82" s="6"/>
      <c r="F82" s="6"/>
      <c r="G82" s="6"/>
      <c r="H82" s="6"/>
      <c r="I82" s="6"/>
      <c r="J82" s="6"/>
      <c r="K82" s="6"/>
      <c r="L82" s="6"/>
      <c r="M82" s="8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.75" customHeight="1" x14ac:dyDescent="0.3">
      <c r="A83" s="6"/>
      <c r="B83" s="7"/>
      <c r="C83" s="238"/>
      <c r="D83" s="6"/>
      <c r="E83" s="6"/>
      <c r="F83" s="6"/>
      <c r="G83" s="6"/>
      <c r="H83" s="6"/>
      <c r="I83" s="6"/>
      <c r="J83" s="6"/>
      <c r="K83" s="6"/>
      <c r="L83" s="6"/>
      <c r="M83" s="8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.75" customHeight="1" x14ac:dyDescent="0.3">
      <c r="A84" s="6"/>
      <c r="B84" s="7"/>
      <c r="C84" s="238"/>
      <c r="D84" s="6"/>
      <c r="E84" s="6"/>
      <c r="F84" s="6"/>
      <c r="G84" s="6"/>
      <c r="H84" s="6"/>
      <c r="I84" s="6"/>
      <c r="J84" s="6"/>
      <c r="K84" s="6"/>
      <c r="L84" s="6"/>
      <c r="M84" s="8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.75" customHeight="1" x14ac:dyDescent="0.3">
      <c r="A85" s="6"/>
      <c r="B85" s="7"/>
      <c r="C85" s="238"/>
      <c r="D85" s="6"/>
      <c r="E85" s="6"/>
      <c r="F85" s="6"/>
      <c r="G85" s="6"/>
      <c r="H85" s="6"/>
      <c r="I85" s="6"/>
      <c r="J85" s="6"/>
      <c r="K85" s="6"/>
      <c r="L85" s="6"/>
      <c r="M85" s="8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.75" customHeight="1" x14ac:dyDescent="0.3">
      <c r="A86" s="6"/>
      <c r="B86" s="7"/>
      <c r="C86" s="238"/>
      <c r="D86" s="6"/>
      <c r="E86" s="6"/>
      <c r="F86" s="6"/>
      <c r="G86" s="6"/>
      <c r="H86" s="6"/>
      <c r="I86" s="6"/>
      <c r="J86" s="6"/>
      <c r="K86" s="6"/>
      <c r="L86" s="6"/>
      <c r="M86" s="8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75" customHeight="1" x14ac:dyDescent="0.3">
      <c r="A87" s="6"/>
      <c r="B87" s="7"/>
      <c r="C87" s="238"/>
      <c r="D87" s="6"/>
      <c r="E87" s="6"/>
      <c r="F87" s="6"/>
      <c r="G87" s="6"/>
      <c r="H87" s="6"/>
      <c r="I87" s="6"/>
      <c r="J87" s="6"/>
      <c r="K87" s="6"/>
      <c r="L87" s="6"/>
      <c r="M87" s="8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.75" customHeight="1" x14ac:dyDescent="0.3">
      <c r="A88" s="6"/>
      <c r="B88" s="7"/>
      <c r="C88" s="238"/>
      <c r="D88" s="6"/>
      <c r="E88" s="6"/>
      <c r="F88" s="6"/>
      <c r="G88" s="6"/>
      <c r="H88" s="6"/>
      <c r="I88" s="6"/>
      <c r="J88" s="6"/>
      <c r="K88" s="6"/>
      <c r="L88" s="6"/>
      <c r="M88" s="8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.75" customHeight="1" x14ac:dyDescent="0.3">
      <c r="A89" s="6"/>
      <c r="B89" s="7"/>
      <c r="C89" s="238"/>
      <c r="D89" s="6"/>
      <c r="E89" s="6"/>
      <c r="F89" s="6"/>
      <c r="G89" s="6"/>
      <c r="H89" s="6"/>
      <c r="I89" s="6"/>
      <c r="J89" s="6"/>
      <c r="K89" s="6"/>
      <c r="L89" s="6"/>
      <c r="M89" s="8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75" customHeight="1" x14ac:dyDescent="0.3">
      <c r="A90" s="6"/>
      <c r="B90" s="7"/>
      <c r="C90" s="238"/>
      <c r="D90" s="6"/>
      <c r="E90" s="6"/>
      <c r="F90" s="6"/>
      <c r="G90" s="6"/>
      <c r="H90" s="6"/>
      <c r="I90" s="6"/>
      <c r="J90" s="6"/>
      <c r="K90" s="6"/>
      <c r="L90" s="6"/>
      <c r="M90" s="8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.75" customHeight="1" x14ac:dyDescent="0.3">
      <c r="A91" s="6"/>
      <c r="B91" s="7"/>
      <c r="C91" s="238"/>
      <c r="D91" s="6"/>
      <c r="E91" s="6"/>
      <c r="F91" s="6"/>
      <c r="G91" s="6"/>
      <c r="H91" s="6"/>
      <c r="I91" s="6"/>
      <c r="J91" s="6"/>
      <c r="K91" s="6"/>
      <c r="L91" s="6"/>
      <c r="M91" s="8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.75" customHeight="1" x14ac:dyDescent="0.3">
      <c r="A92" s="6"/>
      <c r="B92" s="7"/>
      <c r="C92" s="238"/>
      <c r="D92" s="6"/>
      <c r="E92" s="6"/>
      <c r="F92" s="6"/>
      <c r="G92" s="6"/>
      <c r="H92" s="6"/>
      <c r="I92" s="6"/>
      <c r="J92" s="6"/>
      <c r="K92" s="6"/>
      <c r="L92" s="6"/>
      <c r="M92" s="8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.75" customHeight="1" x14ac:dyDescent="0.3">
      <c r="A93" s="6"/>
      <c r="B93" s="7"/>
      <c r="C93" s="238"/>
      <c r="D93" s="6"/>
      <c r="E93" s="6"/>
      <c r="F93" s="6"/>
      <c r="G93" s="6"/>
      <c r="H93" s="6"/>
      <c r="I93" s="6"/>
      <c r="J93" s="6"/>
      <c r="K93" s="6"/>
      <c r="L93" s="6"/>
      <c r="M93" s="8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.75" customHeight="1" x14ac:dyDescent="0.3">
      <c r="A94" s="6"/>
      <c r="B94" s="7"/>
      <c r="C94" s="238"/>
      <c r="D94" s="6"/>
      <c r="E94" s="6"/>
      <c r="F94" s="6"/>
      <c r="G94" s="6"/>
      <c r="H94" s="6"/>
      <c r="I94" s="6"/>
      <c r="J94" s="6"/>
      <c r="K94" s="6"/>
      <c r="L94" s="6"/>
      <c r="M94" s="8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.75" customHeight="1" x14ac:dyDescent="0.3">
      <c r="A95" s="6"/>
      <c r="B95" s="7"/>
      <c r="C95" s="238"/>
      <c r="D95" s="6"/>
      <c r="E95" s="6"/>
      <c r="F95" s="6"/>
      <c r="G95" s="6"/>
      <c r="H95" s="6"/>
      <c r="I95" s="6"/>
      <c r="J95" s="6"/>
      <c r="K95" s="6"/>
      <c r="L95" s="6"/>
      <c r="M95" s="8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.75" customHeight="1" x14ac:dyDescent="0.3">
      <c r="A96" s="6"/>
      <c r="B96" s="7"/>
      <c r="C96" s="238"/>
      <c r="D96" s="6"/>
      <c r="E96" s="6"/>
      <c r="F96" s="6"/>
      <c r="G96" s="6"/>
      <c r="H96" s="6"/>
      <c r="I96" s="6"/>
      <c r="J96" s="6"/>
      <c r="K96" s="6"/>
      <c r="L96" s="6"/>
      <c r="M96" s="8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.75" customHeight="1" x14ac:dyDescent="0.3">
      <c r="A97" s="6"/>
      <c r="B97" s="7"/>
      <c r="C97" s="238"/>
      <c r="D97" s="6"/>
      <c r="E97" s="6"/>
      <c r="F97" s="6"/>
      <c r="G97" s="6"/>
      <c r="H97" s="6"/>
      <c r="I97" s="6"/>
      <c r="J97" s="6"/>
      <c r="K97" s="6"/>
      <c r="L97" s="6"/>
      <c r="M97" s="8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.75" customHeight="1" x14ac:dyDescent="0.3">
      <c r="A98" s="6"/>
      <c r="B98" s="7"/>
      <c r="C98" s="238"/>
      <c r="D98" s="6"/>
      <c r="E98" s="6"/>
      <c r="F98" s="6"/>
      <c r="G98" s="6"/>
      <c r="H98" s="6"/>
      <c r="I98" s="6"/>
      <c r="J98" s="6"/>
      <c r="K98" s="6"/>
      <c r="L98" s="6"/>
      <c r="M98" s="8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.75" customHeight="1" x14ac:dyDescent="0.3">
      <c r="A99" s="6"/>
      <c r="B99" s="7"/>
      <c r="C99" s="238"/>
      <c r="D99" s="6"/>
      <c r="E99" s="6"/>
      <c r="F99" s="6"/>
      <c r="G99" s="6"/>
      <c r="H99" s="6"/>
      <c r="I99" s="6"/>
      <c r="J99" s="6"/>
      <c r="K99" s="6"/>
      <c r="L99" s="6"/>
      <c r="M99" s="8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.75" customHeight="1" x14ac:dyDescent="0.3">
      <c r="A100" s="6"/>
      <c r="B100" s="7"/>
      <c r="C100" s="238"/>
      <c r="D100" s="6"/>
      <c r="E100" s="6"/>
      <c r="F100" s="6"/>
      <c r="G100" s="6"/>
      <c r="H100" s="6"/>
      <c r="I100" s="6"/>
      <c r="J100" s="6"/>
      <c r="K100" s="6"/>
      <c r="L100" s="6"/>
      <c r="M100" s="8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.75" customHeight="1" x14ac:dyDescent="0.3">
      <c r="A101" s="6"/>
      <c r="B101" s="7"/>
      <c r="C101" s="238"/>
      <c r="D101" s="6"/>
      <c r="E101" s="6"/>
      <c r="F101" s="6"/>
      <c r="G101" s="6"/>
      <c r="H101" s="6"/>
      <c r="I101" s="6"/>
      <c r="J101" s="6"/>
      <c r="K101" s="6"/>
      <c r="L101" s="6"/>
      <c r="M101" s="8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.75" customHeight="1" x14ac:dyDescent="0.3">
      <c r="A102" s="6"/>
      <c r="B102" s="7"/>
      <c r="C102" s="238"/>
      <c r="D102" s="6"/>
      <c r="E102" s="6"/>
      <c r="F102" s="6"/>
      <c r="G102" s="6"/>
      <c r="H102" s="6"/>
      <c r="I102" s="6"/>
      <c r="J102" s="6"/>
      <c r="K102" s="6"/>
      <c r="L102" s="6"/>
      <c r="M102" s="8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.75" customHeight="1" x14ac:dyDescent="0.3">
      <c r="A103" s="6"/>
      <c r="B103" s="7"/>
      <c r="C103" s="238"/>
      <c r="D103" s="6"/>
      <c r="E103" s="6"/>
      <c r="F103" s="6"/>
      <c r="G103" s="6"/>
      <c r="H103" s="6"/>
      <c r="I103" s="6"/>
      <c r="J103" s="6"/>
      <c r="K103" s="6"/>
      <c r="L103" s="6"/>
      <c r="M103" s="8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.75" customHeight="1" x14ac:dyDescent="0.3">
      <c r="A104" s="6"/>
      <c r="B104" s="7"/>
      <c r="C104" s="238"/>
      <c r="D104" s="6"/>
      <c r="E104" s="6"/>
      <c r="F104" s="6"/>
      <c r="G104" s="6"/>
      <c r="H104" s="6"/>
      <c r="I104" s="6"/>
      <c r="J104" s="6"/>
      <c r="K104" s="6"/>
      <c r="L104" s="6"/>
      <c r="M104" s="8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.75" customHeight="1" x14ac:dyDescent="0.3">
      <c r="A105" s="6"/>
      <c r="B105" s="7"/>
      <c r="C105" s="238"/>
      <c r="D105" s="6"/>
      <c r="E105" s="6"/>
      <c r="F105" s="6"/>
      <c r="G105" s="6"/>
      <c r="H105" s="6"/>
      <c r="I105" s="6"/>
      <c r="J105" s="6"/>
      <c r="K105" s="6"/>
      <c r="L105" s="6"/>
      <c r="M105" s="8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.75" customHeight="1" x14ac:dyDescent="0.3">
      <c r="A106" s="6"/>
      <c r="B106" s="7"/>
      <c r="C106" s="238"/>
      <c r="D106" s="6"/>
      <c r="E106" s="6"/>
      <c r="F106" s="6"/>
      <c r="G106" s="6"/>
      <c r="H106" s="6"/>
      <c r="I106" s="6"/>
      <c r="J106" s="6"/>
      <c r="K106" s="6"/>
      <c r="L106" s="6"/>
      <c r="M106" s="8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.75" customHeight="1" x14ac:dyDescent="0.3">
      <c r="A107" s="6"/>
      <c r="B107" s="7"/>
      <c r="C107" s="238"/>
      <c r="D107" s="6"/>
      <c r="E107" s="6"/>
      <c r="F107" s="6"/>
      <c r="G107" s="6"/>
      <c r="H107" s="6"/>
      <c r="I107" s="6"/>
      <c r="J107" s="6"/>
      <c r="K107" s="6"/>
      <c r="L107" s="6"/>
      <c r="M107" s="8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.75" customHeight="1" x14ac:dyDescent="0.3">
      <c r="A108" s="6"/>
      <c r="B108" s="7"/>
      <c r="C108" s="238"/>
      <c r="D108" s="6"/>
      <c r="E108" s="6"/>
      <c r="F108" s="6"/>
      <c r="G108" s="6"/>
      <c r="H108" s="6"/>
      <c r="I108" s="6"/>
      <c r="J108" s="6"/>
      <c r="K108" s="6"/>
      <c r="L108" s="6"/>
      <c r="M108" s="8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.75" customHeight="1" x14ac:dyDescent="0.3">
      <c r="A109" s="6"/>
      <c r="B109" s="7"/>
      <c r="C109" s="238"/>
      <c r="D109" s="6"/>
      <c r="E109" s="6"/>
      <c r="F109" s="6"/>
      <c r="G109" s="6"/>
      <c r="H109" s="6"/>
      <c r="I109" s="6"/>
      <c r="J109" s="6"/>
      <c r="K109" s="6"/>
      <c r="L109" s="6"/>
      <c r="M109" s="8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.75" customHeight="1" x14ac:dyDescent="0.3">
      <c r="A110" s="6"/>
      <c r="B110" s="7"/>
      <c r="C110" s="238"/>
      <c r="D110" s="6"/>
      <c r="E110" s="6"/>
      <c r="F110" s="6"/>
      <c r="G110" s="6"/>
      <c r="H110" s="6"/>
      <c r="I110" s="6"/>
      <c r="J110" s="6"/>
      <c r="K110" s="6"/>
      <c r="L110" s="6"/>
      <c r="M110" s="8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.75" customHeight="1" x14ac:dyDescent="0.3">
      <c r="A111" s="6"/>
      <c r="B111" s="7"/>
      <c r="C111" s="238"/>
      <c r="D111" s="6"/>
      <c r="E111" s="6"/>
      <c r="F111" s="6"/>
      <c r="G111" s="6"/>
      <c r="H111" s="6"/>
      <c r="I111" s="6"/>
      <c r="J111" s="6"/>
      <c r="K111" s="6"/>
      <c r="L111" s="6"/>
      <c r="M111" s="8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.75" customHeight="1" x14ac:dyDescent="0.3">
      <c r="A112" s="6"/>
      <c r="B112" s="7"/>
      <c r="C112" s="238"/>
      <c r="D112" s="6"/>
      <c r="E112" s="6"/>
      <c r="F112" s="6"/>
      <c r="G112" s="6"/>
      <c r="H112" s="6"/>
      <c r="I112" s="6"/>
      <c r="J112" s="6"/>
      <c r="K112" s="6"/>
      <c r="L112" s="6"/>
      <c r="M112" s="8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.75" customHeight="1" x14ac:dyDescent="0.3">
      <c r="A113" s="6"/>
      <c r="B113" s="7"/>
      <c r="C113" s="238"/>
      <c r="D113" s="6"/>
      <c r="E113" s="6"/>
      <c r="F113" s="6"/>
      <c r="G113" s="6"/>
      <c r="H113" s="6"/>
      <c r="I113" s="6"/>
      <c r="J113" s="6"/>
      <c r="K113" s="6"/>
      <c r="L113" s="6"/>
      <c r="M113" s="8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.75" customHeight="1" x14ac:dyDescent="0.3">
      <c r="A114" s="6"/>
      <c r="B114" s="7"/>
      <c r="C114" s="238"/>
      <c r="D114" s="6"/>
      <c r="E114" s="6"/>
      <c r="F114" s="6"/>
      <c r="G114" s="6"/>
      <c r="H114" s="6"/>
      <c r="I114" s="6"/>
      <c r="J114" s="6"/>
      <c r="K114" s="6"/>
      <c r="L114" s="6"/>
      <c r="M114" s="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.75" customHeight="1" x14ac:dyDescent="0.3">
      <c r="A115" s="6"/>
      <c r="B115" s="7"/>
      <c r="C115" s="238"/>
      <c r="D115" s="6"/>
      <c r="E115" s="6"/>
      <c r="F115" s="6"/>
      <c r="G115" s="6"/>
      <c r="H115" s="6"/>
      <c r="I115" s="6"/>
      <c r="J115" s="6"/>
      <c r="K115" s="6"/>
      <c r="L115" s="6"/>
      <c r="M115" s="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.75" customHeight="1" x14ac:dyDescent="0.3">
      <c r="A116" s="6"/>
      <c r="B116" s="7"/>
      <c r="C116" s="238"/>
      <c r="D116" s="6"/>
      <c r="E116" s="6"/>
      <c r="F116" s="6"/>
      <c r="G116" s="6"/>
      <c r="H116" s="6"/>
      <c r="I116" s="6"/>
      <c r="J116" s="6"/>
      <c r="K116" s="6"/>
      <c r="L116" s="6"/>
      <c r="M116" s="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.75" customHeight="1" x14ac:dyDescent="0.3">
      <c r="A117" s="6"/>
      <c r="B117" s="7"/>
      <c r="C117" s="238"/>
      <c r="D117" s="6"/>
      <c r="E117" s="6"/>
      <c r="F117" s="6"/>
      <c r="G117" s="6"/>
      <c r="H117" s="6"/>
      <c r="I117" s="6"/>
      <c r="J117" s="6"/>
      <c r="K117" s="6"/>
      <c r="L117" s="6"/>
      <c r="M117" s="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.75" customHeight="1" x14ac:dyDescent="0.3">
      <c r="A118" s="6"/>
      <c r="B118" s="7"/>
      <c r="C118" s="238"/>
      <c r="D118" s="6"/>
      <c r="E118" s="6"/>
      <c r="F118" s="6"/>
      <c r="G118" s="6"/>
      <c r="H118" s="6"/>
      <c r="I118" s="6"/>
      <c r="J118" s="6"/>
      <c r="K118" s="6"/>
      <c r="L118" s="6"/>
      <c r="M118" s="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.75" customHeight="1" x14ac:dyDescent="0.3">
      <c r="A119" s="6"/>
      <c r="B119" s="7"/>
      <c r="C119" s="238"/>
      <c r="D119" s="6"/>
      <c r="E119" s="6"/>
      <c r="F119" s="6"/>
      <c r="G119" s="6"/>
      <c r="H119" s="6"/>
      <c r="I119" s="6"/>
      <c r="J119" s="6"/>
      <c r="K119" s="6"/>
      <c r="L119" s="6"/>
      <c r="M119" s="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.75" customHeight="1" x14ac:dyDescent="0.3">
      <c r="A120" s="6"/>
      <c r="B120" s="7"/>
      <c r="C120" s="238"/>
      <c r="D120" s="6"/>
      <c r="E120" s="6"/>
      <c r="F120" s="6"/>
      <c r="G120" s="6"/>
      <c r="H120" s="6"/>
      <c r="I120" s="6"/>
      <c r="J120" s="6"/>
      <c r="K120" s="6"/>
      <c r="L120" s="6"/>
      <c r="M120" s="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.75" customHeight="1" x14ac:dyDescent="0.3">
      <c r="A121" s="6"/>
      <c r="B121" s="7"/>
      <c r="C121" s="238"/>
      <c r="D121" s="6"/>
      <c r="E121" s="6"/>
      <c r="F121" s="6"/>
      <c r="G121" s="6"/>
      <c r="H121" s="6"/>
      <c r="I121" s="6"/>
      <c r="J121" s="6"/>
      <c r="K121" s="6"/>
      <c r="L121" s="6"/>
      <c r="M121" s="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.75" customHeight="1" x14ac:dyDescent="0.3">
      <c r="A122" s="6"/>
      <c r="B122" s="7"/>
      <c r="C122" s="238"/>
      <c r="D122" s="6"/>
      <c r="E122" s="6"/>
      <c r="F122" s="6"/>
      <c r="G122" s="6"/>
      <c r="H122" s="6"/>
      <c r="I122" s="6"/>
      <c r="J122" s="6"/>
      <c r="K122" s="6"/>
      <c r="L122" s="6"/>
      <c r="M122" s="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.75" customHeight="1" x14ac:dyDescent="0.3">
      <c r="A123" s="6"/>
      <c r="B123" s="7"/>
      <c r="C123" s="238"/>
      <c r="D123" s="6"/>
      <c r="E123" s="6"/>
      <c r="F123" s="6"/>
      <c r="G123" s="6"/>
      <c r="H123" s="6"/>
      <c r="I123" s="6"/>
      <c r="J123" s="6"/>
      <c r="K123" s="6"/>
      <c r="L123" s="6"/>
      <c r="M123" s="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.75" customHeight="1" x14ac:dyDescent="0.3">
      <c r="A124" s="6"/>
      <c r="B124" s="7"/>
      <c r="C124" s="238"/>
      <c r="D124" s="6"/>
      <c r="E124" s="6"/>
      <c r="F124" s="6"/>
      <c r="G124" s="6"/>
      <c r="H124" s="6"/>
      <c r="I124" s="6"/>
      <c r="J124" s="6"/>
      <c r="K124" s="6"/>
      <c r="L124" s="6"/>
      <c r="M124" s="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.75" customHeight="1" x14ac:dyDescent="0.3">
      <c r="A125" s="6"/>
      <c r="B125" s="7"/>
      <c r="C125" s="238"/>
      <c r="D125" s="6"/>
      <c r="E125" s="6"/>
      <c r="F125" s="6"/>
      <c r="G125" s="6"/>
      <c r="H125" s="6"/>
      <c r="I125" s="6"/>
      <c r="J125" s="6"/>
      <c r="K125" s="6"/>
      <c r="L125" s="6"/>
      <c r="M125" s="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.75" customHeight="1" x14ac:dyDescent="0.3">
      <c r="A126" s="6"/>
      <c r="B126" s="7"/>
      <c r="C126" s="238"/>
      <c r="D126" s="6"/>
      <c r="E126" s="6"/>
      <c r="F126" s="6"/>
      <c r="G126" s="6"/>
      <c r="H126" s="6"/>
      <c r="I126" s="6"/>
      <c r="J126" s="6"/>
      <c r="K126" s="6"/>
      <c r="L126" s="6"/>
      <c r="M126" s="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.75" customHeight="1" x14ac:dyDescent="0.3">
      <c r="A127" s="6"/>
      <c r="B127" s="7"/>
      <c r="C127" s="238"/>
      <c r="D127" s="6"/>
      <c r="E127" s="6"/>
      <c r="F127" s="6"/>
      <c r="G127" s="6"/>
      <c r="H127" s="6"/>
      <c r="I127" s="6"/>
      <c r="J127" s="6"/>
      <c r="K127" s="6"/>
      <c r="L127" s="6"/>
      <c r="M127" s="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.75" customHeight="1" x14ac:dyDescent="0.3">
      <c r="A128" s="6"/>
      <c r="B128" s="7"/>
      <c r="C128" s="238"/>
      <c r="D128" s="6"/>
      <c r="E128" s="6"/>
      <c r="F128" s="6"/>
      <c r="G128" s="6"/>
      <c r="H128" s="6"/>
      <c r="I128" s="6"/>
      <c r="J128" s="6"/>
      <c r="K128" s="6"/>
      <c r="L128" s="6"/>
      <c r="M128" s="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.75" customHeight="1" x14ac:dyDescent="0.3">
      <c r="A129" s="6"/>
      <c r="B129" s="7"/>
      <c r="C129" s="238"/>
      <c r="D129" s="6"/>
      <c r="E129" s="6"/>
      <c r="F129" s="6"/>
      <c r="G129" s="6"/>
      <c r="H129" s="6"/>
      <c r="I129" s="6"/>
      <c r="J129" s="6"/>
      <c r="K129" s="6"/>
      <c r="L129" s="6"/>
      <c r="M129" s="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.75" customHeight="1" x14ac:dyDescent="0.3">
      <c r="A130" s="6"/>
      <c r="B130" s="7"/>
      <c r="C130" s="238"/>
      <c r="D130" s="6"/>
      <c r="E130" s="6"/>
      <c r="F130" s="6"/>
      <c r="G130" s="6"/>
      <c r="H130" s="6"/>
      <c r="I130" s="6"/>
      <c r="J130" s="6"/>
      <c r="K130" s="6"/>
      <c r="L130" s="6"/>
      <c r="M130" s="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75" customHeight="1" x14ac:dyDescent="0.3">
      <c r="A131" s="6"/>
      <c r="B131" s="7"/>
      <c r="C131" s="238"/>
      <c r="D131" s="6"/>
      <c r="E131" s="6"/>
      <c r="F131" s="6"/>
      <c r="G131" s="6"/>
      <c r="H131" s="6"/>
      <c r="I131" s="6"/>
      <c r="J131" s="6"/>
      <c r="K131" s="6"/>
      <c r="L131" s="6"/>
      <c r="M131" s="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.75" customHeight="1" x14ac:dyDescent="0.3">
      <c r="A132" s="6"/>
      <c r="B132" s="7"/>
      <c r="C132" s="238"/>
      <c r="D132" s="6"/>
      <c r="E132" s="6"/>
      <c r="F132" s="6"/>
      <c r="G132" s="6"/>
      <c r="H132" s="6"/>
      <c r="I132" s="6"/>
      <c r="J132" s="6"/>
      <c r="K132" s="6"/>
      <c r="L132" s="6"/>
      <c r="M132" s="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.75" customHeight="1" x14ac:dyDescent="0.3">
      <c r="A133" s="6"/>
      <c r="B133" s="7"/>
      <c r="C133" s="238"/>
      <c r="D133" s="6"/>
      <c r="E133" s="6"/>
      <c r="F133" s="6"/>
      <c r="G133" s="6"/>
      <c r="H133" s="6"/>
      <c r="I133" s="6"/>
      <c r="J133" s="6"/>
      <c r="K133" s="6"/>
      <c r="L133" s="6"/>
      <c r="M133" s="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.75" customHeight="1" x14ac:dyDescent="0.3">
      <c r="A134" s="6"/>
      <c r="B134" s="7"/>
      <c r="C134" s="238"/>
      <c r="D134" s="6"/>
      <c r="E134" s="6"/>
      <c r="F134" s="6"/>
      <c r="G134" s="6"/>
      <c r="H134" s="6"/>
      <c r="I134" s="6"/>
      <c r="J134" s="6"/>
      <c r="K134" s="6"/>
      <c r="L134" s="6"/>
      <c r="M134" s="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.75" customHeight="1" x14ac:dyDescent="0.3">
      <c r="A135" s="6"/>
      <c r="B135" s="7"/>
      <c r="C135" s="238"/>
      <c r="D135" s="6"/>
      <c r="E135" s="6"/>
      <c r="F135" s="6"/>
      <c r="G135" s="6"/>
      <c r="H135" s="6"/>
      <c r="I135" s="6"/>
      <c r="J135" s="6"/>
      <c r="K135" s="6"/>
      <c r="L135" s="6"/>
      <c r="M135" s="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.75" customHeight="1" x14ac:dyDescent="0.3">
      <c r="A136" s="6"/>
      <c r="B136" s="7"/>
      <c r="C136" s="238"/>
      <c r="D136" s="6"/>
      <c r="E136" s="6"/>
      <c r="F136" s="6"/>
      <c r="G136" s="6"/>
      <c r="H136" s="6"/>
      <c r="I136" s="6"/>
      <c r="J136" s="6"/>
      <c r="K136" s="6"/>
      <c r="L136" s="6"/>
      <c r="M136" s="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.75" customHeight="1" x14ac:dyDescent="0.3">
      <c r="A137" s="6"/>
      <c r="B137" s="7"/>
      <c r="C137" s="238"/>
      <c r="D137" s="6"/>
      <c r="E137" s="6"/>
      <c r="F137" s="6"/>
      <c r="G137" s="6"/>
      <c r="H137" s="6"/>
      <c r="I137" s="6"/>
      <c r="J137" s="6"/>
      <c r="K137" s="6"/>
      <c r="L137" s="6"/>
      <c r="M137" s="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.75" customHeight="1" x14ac:dyDescent="0.3">
      <c r="A138" s="6"/>
      <c r="B138" s="7"/>
      <c r="C138" s="238"/>
      <c r="D138" s="6"/>
      <c r="E138" s="6"/>
      <c r="F138" s="6"/>
      <c r="G138" s="6"/>
      <c r="H138" s="6"/>
      <c r="I138" s="6"/>
      <c r="J138" s="6"/>
      <c r="K138" s="6"/>
      <c r="L138" s="6"/>
      <c r="M138" s="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.75" customHeight="1" x14ac:dyDescent="0.3">
      <c r="A139" s="6"/>
      <c r="B139" s="7"/>
      <c r="C139" s="238"/>
      <c r="D139" s="6"/>
      <c r="E139" s="6"/>
      <c r="F139" s="6"/>
      <c r="G139" s="6"/>
      <c r="H139" s="6"/>
      <c r="I139" s="6"/>
      <c r="J139" s="6"/>
      <c r="K139" s="6"/>
      <c r="L139" s="6"/>
      <c r="M139" s="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.75" customHeight="1" x14ac:dyDescent="0.3">
      <c r="A140" s="6"/>
      <c r="B140" s="7"/>
      <c r="C140" s="238"/>
      <c r="D140" s="6"/>
      <c r="E140" s="6"/>
      <c r="F140" s="6"/>
      <c r="G140" s="6"/>
      <c r="H140" s="6"/>
      <c r="I140" s="6"/>
      <c r="J140" s="6"/>
      <c r="K140" s="6"/>
      <c r="L140" s="6"/>
      <c r="M140" s="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.75" customHeight="1" x14ac:dyDescent="0.3">
      <c r="A141" s="6"/>
      <c r="B141" s="7"/>
      <c r="C141" s="238"/>
      <c r="D141" s="6"/>
      <c r="E141" s="6"/>
      <c r="F141" s="6"/>
      <c r="G141" s="6"/>
      <c r="H141" s="6"/>
      <c r="I141" s="6"/>
      <c r="J141" s="6"/>
      <c r="K141" s="6"/>
      <c r="L141" s="6"/>
      <c r="M141" s="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.75" customHeight="1" x14ac:dyDescent="0.3">
      <c r="A142" s="6"/>
      <c r="B142" s="7"/>
      <c r="C142" s="238"/>
      <c r="D142" s="6"/>
      <c r="E142" s="6"/>
      <c r="F142" s="6"/>
      <c r="G142" s="6"/>
      <c r="H142" s="6"/>
      <c r="I142" s="6"/>
      <c r="J142" s="6"/>
      <c r="K142" s="6"/>
      <c r="L142" s="6"/>
      <c r="M142" s="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.75" customHeight="1" x14ac:dyDescent="0.3">
      <c r="A143" s="6"/>
      <c r="B143" s="7"/>
      <c r="C143" s="238"/>
      <c r="D143" s="6"/>
      <c r="E143" s="6"/>
      <c r="F143" s="6"/>
      <c r="G143" s="6"/>
      <c r="H143" s="6"/>
      <c r="I143" s="6"/>
      <c r="J143" s="6"/>
      <c r="K143" s="6"/>
      <c r="L143" s="6"/>
      <c r="M143" s="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.75" customHeight="1" x14ac:dyDescent="0.3">
      <c r="A144" s="6"/>
      <c r="B144" s="7"/>
      <c r="C144" s="238"/>
      <c r="D144" s="6"/>
      <c r="E144" s="6"/>
      <c r="F144" s="6"/>
      <c r="G144" s="6"/>
      <c r="H144" s="6"/>
      <c r="I144" s="6"/>
      <c r="J144" s="6"/>
      <c r="K144" s="6"/>
      <c r="L144" s="6"/>
      <c r="M144" s="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.75" customHeight="1" x14ac:dyDescent="0.3">
      <c r="A145" s="6"/>
      <c r="B145" s="7"/>
      <c r="C145" s="238"/>
      <c r="D145" s="6"/>
      <c r="E145" s="6"/>
      <c r="F145" s="6"/>
      <c r="G145" s="6"/>
      <c r="H145" s="6"/>
      <c r="I145" s="6"/>
      <c r="J145" s="6"/>
      <c r="K145" s="6"/>
      <c r="L145" s="6"/>
      <c r="M145" s="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.75" customHeight="1" x14ac:dyDescent="0.3">
      <c r="A146" s="6"/>
      <c r="B146" s="7"/>
      <c r="C146" s="238"/>
      <c r="D146" s="6"/>
      <c r="E146" s="6"/>
      <c r="F146" s="6"/>
      <c r="G146" s="6"/>
      <c r="H146" s="6"/>
      <c r="I146" s="6"/>
      <c r="J146" s="6"/>
      <c r="K146" s="6"/>
      <c r="L146" s="6"/>
      <c r="M146" s="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.75" customHeight="1" x14ac:dyDescent="0.3">
      <c r="A147" s="6"/>
      <c r="B147" s="7"/>
      <c r="C147" s="238"/>
      <c r="D147" s="6"/>
      <c r="E147" s="6"/>
      <c r="F147" s="6"/>
      <c r="G147" s="6"/>
      <c r="H147" s="6"/>
      <c r="I147" s="6"/>
      <c r="J147" s="6"/>
      <c r="K147" s="6"/>
      <c r="L147" s="6"/>
      <c r="M147" s="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.75" customHeight="1" x14ac:dyDescent="0.3">
      <c r="A148" s="6"/>
      <c r="B148" s="7"/>
      <c r="C148" s="238"/>
      <c r="D148" s="6"/>
      <c r="E148" s="6"/>
      <c r="F148" s="6"/>
      <c r="G148" s="6"/>
      <c r="H148" s="6"/>
      <c r="I148" s="6"/>
      <c r="J148" s="6"/>
      <c r="K148" s="6"/>
      <c r="L148" s="6"/>
      <c r="M148" s="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.75" customHeight="1" x14ac:dyDescent="0.3">
      <c r="A149" s="6"/>
      <c r="B149" s="7"/>
      <c r="C149" s="238"/>
      <c r="D149" s="6"/>
      <c r="E149" s="6"/>
      <c r="F149" s="6"/>
      <c r="G149" s="6"/>
      <c r="H149" s="6"/>
      <c r="I149" s="6"/>
      <c r="J149" s="6"/>
      <c r="K149" s="6"/>
      <c r="L149" s="6"/>
      <c r="M149" s="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.75" customHeight="1" x14ac:dyDescent="0.3">
      <c r="A150" s="6"/>
      <c r="B150" s="7"/>
      <c r="C150" s="238"/>
      <c r="D150" s="6"/>
      <c r="E150" s="6"/>
      <c r="F150" s="6"/>
      <c r="G150" s="6"/>
      <c r="H150" s="6"/>
      <c r="I150" s="6"/>
      <c r="J150" s="6"/>
      <c r="K150" s="6"/>
      <c r="L150" s="6"/>
      <c r="M150" s="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.75" customHeight="1" x14ac:dyDescent="0.3">
      <c r="A151" s="6"/>
      <c r="B151" s="7"/>
      <c r="C151" s="238"/>
      <c r="D151" s="6"/>
      <c r="E151" s="6"/>
      <c r="F151" s="6"/>
      <c r="G151" s="6"/>
      <c r="H151" s="6"/>
      <c r="I151" s="6"/>
      <c r="J151" s="6"/>
      <c r="K151" s="6"/>
      <c r="L151" s="6"/>
      <c r="M151" s="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.75" customHeight="1" x14ac:dyDescent="0.3">
      <c r="A152" s="6"/>
      <c r="B152" s="7"/>
      <c r="C152" s="238"/>
      <c r="D152" s="6"/>
      <c r="E152" s="6"/>
      <c r="F152" s="6"/>
      <c r="G152" s="6"/>
      <c r="H152" s="6"/>
      <c r="I152" s="6"/>
      <c r="J152" s="6"/>
      <c r="K152" s="6"/>
      <c r="L152" s="6"/>
      <c r="M152" s="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.75" customHeight="1" x14ac:dyDescent="0.3">
      <c r="A153" s="6"/>
      <c r="B153" s="7"/>
      <c r="C153" s="238"/>
      <c r="D153" s="6"/>
      <c r="E153" s="6"/>
      <c r="F153" s="6"/>
      <c r="G153" s="6"/>
      <c r="H153" s="6"/>
      <c r="I153" s="6"/>
      <c r="J153" s="6"/>
      <c r="K153" s="6"/>
      <c r="L153" s="6"/>
      <c r="M153" s="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.75" customHeight="1" x14ac:dyDescent="0.3">
      <c r="A154" s="6"/>
      <c r="B154" s="7"/>
      <c r="C154" s="238"/>
      <c r="D154" s="6"/>
      <c r="E154" s="6"/>
      <c r="F154" s="6"/>
      <c r="G154" s="6"/>
      <c r="H154" s="6"/>
      <c r="I154" s="6"/>
      <c r="J154" s="6"/>
      <c r="K154" s="6"/>
      <c r="L154" s="6"/>
      <c r="M154" s="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.75" customHeight="1" x14ac:dyDescent="0.3">
      <c r="A155" s="6"/>
      <c r="B155" s="7"/>
      <c r="C155" s="238"/>
      <c r="D155" s="6"/>
      <c r="E155" s="6"/>
      <c r="F155" s="6"/>
      <c r="G155" s="6"/>
      <c r="H155" s="6"/>
      <c r="I155" s="6"/>
      <c r="J155" s="6"/>
      <c r="K155" s="6"/>
      <c r="L155" s="6"/>
      <c r="M155" s="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75" customHeight="1" x14ac:dyDescent="0.3">
      <c r="A156" s="6"/>
      <c r="B156" s="7"/>
      <c r="C156" s="238"/>
      <c r="D156" s="6"/>
      <c r="E156" s="6"/>
      <c r="F156" s="6"/>
      <c r="G156" s="6"/>
      <c r="H156" s="6"/>
      <c r="I156" s="6"/>
      <c r="J156" s="6"/>
      <c r="K156" s="6"/>
      <c r="L156" s="6"/>
      <c r="M156" s="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75" customHeight="1" x14ac:dyDescent="0.3">
      <c r="A157" s="6"/>
      <c r="B157" s="7"/>
      <c r="C157" s="238"/>
      <c r="D157" s="6"/>
      <c r="E157" s="6"/>
      <c r="F157" s="6"/>
      <c r="G157" s="6"/>
      <c r="H157" s="6"/>
      <c r="I157" s="6"/>
      <c r="J157" s="6"/>
      <c r="K157" s="6"/>
      <c r="L157" s="6"/>
      <c r="M157" s="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75" customHeight="1" x14ac:dyDescent="0.3">
      <c r="A158" s="6"/>
      <c r="B158" s="7"/>
      <c r="C158" s="238"/>
      <c r="D158" s="6"/>
      <c r="E158" s="6"/>
      <c r="F158" s="6"/>
      <c r="G158" s="6"/>
      <c r="H158" s="6"/>
      <c r="I158" s="6"/>
      <c r="J158" s="6"/>
      <c r="K158" s="6"/>
      <c r="L158" s="6"/>
      <c r="M158" s="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75" customHeight="1" x14ac:dyDescent="0.3">
      <c r="A159" s="6"/>
      <c r="B159" s="7"/>
      <c r="C159" s="238"/>
      <c r="D159" s="6"/>
      <c r="E159" s="6"/>
      <c r="F159" s="6"/>
      <c r="G159" s="6"/>
      <c r="H159" s="6"/>
      <c r="I159" s="6"/>
      <c r="J159" s="6"/>
      <c r="K159" s="6"/>
      <c r="L159" s="6"/>
      <c r="M159" s="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75" customHeight="1" x14ac:dyDescent="0.3">
      <c r="A160" s="6"/>
      <c r="B160" s="7"/>
      <c r="C160" s="238"/>
      <c r="D160" s="6"/>
      <c r="E160" s="6"/>
      <c r="F160" s="6"/>
      <c r="G160" s="6"/>
      <c r="H160" s="6"/>
      <c r="I160" s="6"/>
      <c r="J160" s="6"/>
      <c r="K160" s="6"/>
      <c r="L160" s="6"/>
      <c r="M160" s="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75" customHeight="1" x14ac:dyDescent="0.3">
      <c r="A161" s="6"/>
      <c r="B161" s="7"/>
      <c r="C161" s="238"/>
      <c r="D161" s="6"/>
      <c r="E161" s="6"/>
      <c r="F161" s="6"/>
      <c r="G161" s="6"/>
      <c r="H161" s="6"/>
      <c r="I161" s="6"/>
      <c r="J161" s="6"/>
      <c r="K161" s="6"/>
      <c r="L161" s="6"/>
      <c r="M161" s="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75" customHeight="1" x14ac:dyDescent="0.3">
      <c r="A162" s="6"/>
      <c r="B162" s="7"/>
      <c r="C162" s="238"/>
      <c r="D162" s="6"/>
      <c r="E162" s="6"/>
      <c r="F162" s="6"/>
      <c r="G162" s="6"/>
      <c r="H162" s="6"/>
      <c r="I162" s="6"/>
      <c r="J162" s="6"/>
      <c r="K162" s="6"/>
      <c r="L162" s="6"/>
      <c r="M162" s="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75" customHeight="1" x14ac:dyDescent="0.3">
      <c r="A163" s="6"/>
      <c r="B163" s="7"/>
      <c r="C163" s="238"/>
      <c r="D163" s="6"/>
      <c r="E163" s="6"/>
      <c r="F163" s="6"/>
      <c r="G163" s="6"/>
      <c r="H163" s="6"/>
      <c r="I163" s="6"/>
      <c r="J163" s="6"/>
      <c r="K163" s="6"/>
      <c r="L163" s="6"/>
      <c r="M163" s="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75" customHeight="1" x14ac:dyDescent="0.3">
      <c r="A164" s="6"/>
      <c r="B164" s="7"/>
      <c r="C164" s="238"/>
      <c r="D164" s="6"/>
      <c r="E164" s="6"/>
      <c r="F164" s="6"/>
      <c r="G164" s="6"/>
      <c r="H164" s="6"/>
      <c r="I164" s="6"/>
      <c r="J164" s="6"/>
      <c r="K164" s="6"/>
      <c r="L164" s="6"/>
      <c r="M164" s="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75" customHeight="1" x14ac:dyDescent="0.3">
      <c r="A165" s="6"/>
      <c r="B165" s="7"/>
      <c r="C165" s="238"/>
      <c r="D165" s="6"/>
      <c r="E165" s="6"/>
      <c r="F165" s="6"/>
      <c r="G165" s="6"/>
      <c r="H165" s="6"/>
      <c r="I165" s="6"/>
      <c r="J165" s="6"/>
      <c r="K165" s="6"/>
      <c r="L165" s="6"/>
      <c r="M165" s="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75" customHeight="1" x14ac:dyDescent="0.3">
      <c r="A166" s="6"/>
      <c r="B166" s="7"/>
      <c r="C166" s="238"/>
      <c r="D166" s="6"/>
      <c r="E166" s="6"/>
      <c r="F166" s="6"/>
      <c r="G166" s="6"/>
      <c r="H166" s="6"/>
      <c r="I166" s="6"/>
      <c r="J166" s="6"/>
      <c r="K166" s="6"/>
      <c r="L166" s="6"/>
      <c r="M166" s="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75" customHeight="1" x14ac:dyDescent="0.3">
      <c r="A167" s="6"/>
      <c r="B167" s="7"/>
      <c r="C167" s="238"/>
      <c r="D167" s="6"/>
      <c r="E167" s="6"/>
      <c r="F167" s="6"/>
      <c r="G167" s="6"/>
      <c r="H167" s="6"/>
      <c r="I167" s="6"/>
      <c r="J167" s="6"/>
      <c r="K167" s="6"/>
      <c r="L167" s="6"/>
      <c r="M167" s="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75" customHeight="1" x14ac:dyDescent="0.3">
      <c r="A168" s="6"/>
      <c r="B168" s="7"/>
      <c r="C168" s="238"/>
      <c r="D168" s="6"/>
      <c r="E168" s="6"/>
      <c r="F168" s="6"/>
      <c r="G168" s="6"/>
      <c r="H168" s="6"/>
      <c r="I168" s="6"/>
      <c r="J168" s="6"/>
      <c r="K168" s="6"/>
      <c r="L168" s="6"/>
      <c r="M168" s="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75" customHeight="1" x14ac:dyDescent="0.3">
      <c r="A169" s="6"/>
      <c r="B169" s="7"/>
      <c r="C169" s="238"/>
      <c r="D169" s="6"/>
      <c r="E169" s="6"/>
      <c r="F169" s="6"/>
      <c r="G169" s="6"/>
      <c r="H169" s="6"/>
      <c r="I169" s="6"/>
      <c r="J169" s="6"/>
      <c r="K169" s="6"/>
      <c r="L169" s="6"/>
      <c r="M169" s="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75" customHeight="1" x14ac:dyDescent="0.3">
      <c r="A170" s="6"/>
      <c r="B170" s="7"/>
      <c r="C170" s="238"/>
      <c r="D170" s="6"/>
      <c r="E170" s="6"/>
      <c r="F170" s="6"/>
      <c r="G170" s="6"/>
      <c r="H170" s="6"/>
      <c r="I170" s="6"/>
      <c r="J170" s="6"/>
      <c r="K170" s="6"/>
      <c r="L170" s="6"/>
      <c r="M170" s="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75" customHeight="1" x14ac:dyDescent="0.3">
      <c r="A171" s="6"/>
      <c r="B171" s="7"/>
      <c r="C171" s="238"/>
      <c r="D171" s="6"/>
      <c r="E171" s="6"/>
      <c r="F171" s="6"/>
      <c r="G171" s="6"/>
      <c r="H171" s="6"/>
      <c r="I171" s="6"/>
      <c r="J171" s="6"/>
      <c r="K171" s="6"/>
      <c r="L171" s="6"/>
      <c r="M171" s="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75" customHeight="1" x14ac:dyDescent="0.3">
      <c r="A172" s="6"/>
      <c r="B172" s="7"/>
      <c r="C172" s="238"/>
      <c r="D172" s="6"/>
      <c r="E172" s="6"/>
      <c r="F172" s="6"/>
      <c r="G172" s="6"/>
      <c r="H172" s="6"/>
      <c r="I172" s="6"/>
      <c r="J172" s="6"/>
      <c r="K172" s="6"/>
      <c r="L172" s="6"/>
      <c r="M172" s="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75" customHeight="1" x14ac:dyDescent="0.3">
      <c r="A173" s="6"/>
      <c r="B173" s="7"/>
      <c r="C173" s="238"/>
      <c r="D173" s="6"/>
      <c r="E173" s="6"/>
      <c r="F173" s="6"/>
      <c r="G173" s="6"/>
      <c r="H173" s="6"/>
      <c r="I173" s="6"/>
      <c r="J173" s="6"/>
      <c r="K173" s="6"/>
      <c r="L173" s="6"/>
      <c r="M173" s="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75" customHeight="1" x14ac:dyDescent="0.3">
      <c r="A174" s="6"/>
      <c r="B174" s="7"/>
      <c r="C174" s="238"/>
      <c r="D174" s="6"/>
      <c r="E174" s="6"/>
      <c r="F174" s="6"/>
      <c r="G174" s="6"/>
      <c r="H174" s="6"/>
      <c r="I174" s="6"/>
      <c r="J174" s="6"/>
      <c r="K174" s="6"/>
      <c r="L174" s="6"/>
      <c r="M174" s="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75" customHeight="1" x14ac:dyDescent="0.3">
      <c r="A175" s="6"/>
      <c r="B175" s="7"/>
      <c r="C175" s="238"/>
      <c r="D175" s="6"/>
      <c r="E175" s="6"/>
      <c r="F175" s="6"/>
      <c r="G175" s="6"/>
      <c r="H175" s="6"/>
      <c r="I175" s="6"/>
      <c r="J175" s="6"/>
      <c r="K175" s="6"/>
      <c r="L175" s="6"/>
      <c r="M175" s="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75" customHeight="1" x14ac:dyDescent="0.3">
      <c r="A176" s="6"/>
      <c r="B176" s="7"/>
      <c r="C176" s="238"/>
      <c r="D176" s="6"/>
      <c r="E176" s="6"/>
      <c r="F176" s="6"/>
      <c r="G176" s="6"/>
      <c r="H176" s="6"/>
      <c r="I176" s="6"/>
      <c r="J176" s="6"/>
      <c r="K176" s="6"/>
      <c r="L176" s="6"/>
      <c r="M176" s="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75" customHeight="1" x14ac:dyDescent="0.3">
      <c r="A177" s="6"/>
      <c r="B177" s="7"/>
      <c r="C177" s="238"/>
      <c r="D177" s="6"/>
      <c r="E177" s="6"/>
      <c r="F177" s="6"/>
      <c r="G177" s="6"/>
      <c r="H177" s="6"/>
      <c r="I177" s="6"/>
      <c r="J177" s="6"/>
      <c r="K177" s="6"/>
      <c r="L177" s="6"/>
      <c r="M177" s="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3">
      <c r="A178" s="6"/>
      <c r="B178" s="7"/>
      <c r="C178" s="238"/>
      <c r="D178" s="6"/>
      <c r="E178" s="6"/>
      <c r="F178" s="6"/>
      <c r="G178" s="6"/>
      <c r="H178" s="6"/>
      <c r="I178" s="6"/>
      <c r="J178" s="6"/>
      <c r="K178" s="6"/>
      <c r="L178" s="6"/>
      <c r="M178" s="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3"/>
    <row r="180" spans="1:27" ht="15.75" customHeight="1" x14ac:dyDescent="0.3"/>
    <row r="181" spans="1:27" ht="15.75" customHeight="1" x14ac:dyDescent="0.3"/>
    <row r="182" spans="1:27" ht="15.75" customHeight="1" x14ac:dyDescent="0.3"/>
    <row r="183" spans="1:27" ht="15.75" customHeight="1" x14ac:dyDescent="0.3"/>
    <row r="184" spans="1:27" ht="15.75" customHeight="1" x14ac:dyDescent="0.3"/>
    <row r="185" spans="1:27" ht="15.75" customHeight="1" x14ac:dyDescent="0.3"/>
    <row r="186" spans="1:27" ht="15.75" customHeight="1" x14ac:dyDescent="0.3"/>
    <row r="187" spans="1:27" ht="15.75" customHeight="1" x14ac:dyDescent="0.3"/>
    <row r="188" spans="1:27" ht="15.75" customHeight="1" x14ac:dyDescent="0.3"/>
    <row r="189" spans="1:27" ht="15.75" customHeight="1" x14ac:dyDescent="0.3"/>
    <row r="190" spans="1:27" ht="15.75" customHeight="1" x14ac:dyDescent="0.3"/>
    <row r="191" spans="1:27" ht="15.75" customHeight="1" x14ac:dyDescent="0.3"/>
    <row r="192" spans="1:27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</sheetData>
  <mergeCells count="1">
    <mergeCell ref="B6:K7"/>
  </mergeCells>
  <phoneticPr fontId="4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1026"/>
  <sheetViews>
    <sheetView showGridLines="0" zoomScale="90" zoomScaleNormal="90" workbookViewId="0">
      <pane xSplit="9" ySplit="8" topLeftCell="J104" activePane="bottomRight" state="frozen"/>
      <selection activeCell="G28" sqref="G28"/>
      <selection pane="topRight" activeCell="G28" sqref="G28"/>
      <selection pane="bottomLeft" activeCell="G28" sqref="G28"/>
      <selection pane="bottomRight" activeCell="F93" sqref="F93:F94"/>
    </sheetView>
  </sheetViews>
  <sheetFormatPr defaultColWidth="0" defaultRowHeight="15" customHeight="1" outlineLevelRow="2" x14ac:dyDescent="0.3"/>
  <cols>
    <col min="1" max="3" width="1.07421875" customWidth="1"/>
    <col min="4" max="4" width="52.69140625" customWidth="1"/>
    <col min="5" max="5" width="9.765625" customWidth="1"/>
    <col min="6" max="6" width="52.69140625" customWidth="1"/>
    <col min="7" max="7" width="18" customWidth="1"/>
    <col min="8" max="8" width="28" customWidth="1"/>
    <col min="9" max="9" width="16.4609375" customWidth="1"/>
    <col min="10" max="10" width="1" customWidth="1"/>
    <col min="11" max="46" width="14" customWidth="1"/>
    <col min="47" max="47" width="14" hidden="1" customWidth="1"/>
    <col min="48" max="50" width="11.765625" hidden="1" customWidth="1"/>
    <col min="51" max="66" width="0" hidden="1" customWidth="1"/>
    <col min="67" max="16384" width="14.4609375" hidden="1"/>
  </cols>
  <sheetData>
    <row r="1" spans="1:66" ht="15.75" customHeight="1" x14ac:dyDescent="0.3">
      <c r="A1" s="14"/>
      <c r="B1" s="14"/>
      <c r="C1" s="14"/>
      <c r="D1" s="1" t="s">
        <v>294</v>
      </c>
      <c r="E1" s="4"/>
      <c r="F1" s="74"/>
      <c r="G1" s="4"/>
      <c r="H1" s="4"/>
      <c r="I1" s="2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ht="15.75" customHeight="1" x14ac:dyDescent="0.3">
      <c r="A2" s="13"/>
      <c r="B2" s="13"/>
      <c r="C2" s="13"/>
      <c r="D2" s="16"/>
      <c r="E2" s="16"/>
      <c r="F2" s="17"/>
      <c r="G2" s="16"/>
      <c r="H2" s="17"/>
      <c r="I2" s="18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66" ht="15.75" customHeight="1" x14ac:dyDescent="0.3">
      <c r="A3" s="13"/>
      <c r="B3" s="105"/>
      <c r="C3" s="105"/>
      <c r="D3" s="104" t="s">
        <v>299</v>
      </c>
      <c r="E3" s="105"/>
      <c r="F3" s="105"/>
      <c r="G3" s="106"/>
      <c r="H3" s="105"/>
      <c r="I3" s="105"/>
      <c r="J3" s="41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60"/>
      <c r="AX3" s="160"/>
      <c r="AY3" s="160"/>
      <c r="AZ3" s="160"/>
    </row>
    <row r="4" spans="1:66" s="344" customFormat="1" ht="15.75" customHeight="1" outlineLevel="1" x14ac:dyDescent="0.3">
      <c r="A4" s="453"/>
      <c r="B4" s="492"/>
      <c r="C4" s="492"/>
      <c r="D4" s="491"/>
      <c r="E4" s="492"/>
      <c r="F4" s="492"/>
      <c r="G4" s="493"/>
      <c r="H4" s="492"/>
      <c r="I4" s="492"/>
      <c r="J4" s="494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6"/>
      <c r="AX4" s="496"/>
      <c r="AY4" s="496"/>
      <c r="AZ4" s="496"/>
    </row>
    <row r="5" spans="1:66" s="392" customFormat="1" ht="18" customHeight="1" outlineLevel="1" x14ac:dyDescent="0.3">
      <c r="A5" s="56"/>
      <c r="B5" s="21"/>
      <c r="C5" s="21" t="s">
        <v>11</v>
      </c>
      <c r="D5" s="21"/>
      <c r="E5" s="448"/>
      <c r="F5" s="448"/>
      <c r="G5" s="448"/>
      <c r="H5" s="448"/>
      <c r="I5" s="448"/>
      <c r="J5" s="10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49"/>
      <c r="AD5" s="449"/>
      <c r="AE5" s="449"/>
      <c r="AF5" s="449"/>
      <c r="AG5" s="449"/>
      <c r="AH5" s="449"/>
      <c r="AI5" s="449"/>
      <c r="AJ5" s="449"/>
      <c r="AK5" s="449"/>
      <c r="AL5" s="449"/>
      <c r="AM5" s="449"/>
      <c r="AN5" s="449"/>
      <c r="AO5" s="449"/>
      <c r="AP5" s="449"/>
      <c r="AQ5" s="449"/>
      <c r="AR5" s="449"/>
      <c r="AS5" s="449"/>
      <c r="AT5" s="449"/>
      <c r="AU5" s="449"/>
      <c r="AV5" s="449"/>
      <c r="AW5" s="449"/>
      <c r="AX5" s="449"/>
    </row>
    <row r="6" spans="1:66" ht="15.75" customHeight="1" outlineLevel="1" x14ac:dyDescent="0.3">
      <c r="A6" s="13"/>
      <c r="B6" s="13"/>
      <c r="C6" s="13"/>
      <c r="D6" s="24"/>
      <c r="E6" s="25" t="s">
        <v>12</v>
      </c>
      <c r="F6" s="25" t="s">
        <v>13</v>
      </c>
      <c r="G6" s="25" t="s">
        <v>14</v>
      </c>
      <c r="H6" s="25" t="s">
        <v>15</v>
      </c>
      <c r="I6" s="26" t="s">
        <v>16</v>
      </c>
      <c r="J6" s="27"/>
      <c r="K6" s="28">
        <f t="shared" ref="K6:AT6" si="0">YEAR(K7)</f>
        <v>2029</v>
      </c>
      <c r="L6" s="28">
        <f t="shared" si="0"/>
        <v>2029</v>
      </c>
      <c r="M6" s="28">
        <f t="shared" si="0"/>
        <v>2029</v>
      </c>
      <c r="N6" s="28">
        <f t="shared" si="0"/>
        <v>2029</v>
      </c>
      <c r="O6" s="28">
        <f t="shared" si="0"/>
        <v>2029</v>
      </c>
      <c r="P6" s="28">
        <f t="shared" si="0"/>
        <v>2029</v>
      </c>
      <c r="Q6" s="28">
        <f t="shared" si="0"/>
        <v>2029</v>
      </c>
      <c r="R6" s="28">
        <f t="shared" si="0"/>
        <v>2029</v>
      </c>
      <c r="S6" s="28">
        <f t="shared" si="0"/>
        <v>2029</v>
      </c>
      <c r="T6" s="28">
        <f t="shared" si="0"/>
        <v>2029</v>
      </c>
      <c r="U6" s="28">
        <f t="shared" si="0"/>
        <v>2029</v>
      </c>
      <c r="V6" s="28">
        <f t="shared" si="0"/>
        <v>2029</v>
      </c>
      <c r="W6" s="28">
        <f t="shared" si="0"/>
        <v>2030</v>
      </c>
      <c r="X6" s="28">
        <f t="shared" si="0"/>
        <v>2030</v>
      </c>
      <c r="Y6" s="28">
        <f t="shared" si="0"/>
        <v>2030</v>
      </c>
      <c r="Z6" s="28">
        <f t="shared" si="0"/>
        <v>2030</v>
      </c>
      <c r="AA6" s="28">
        <f t="shared" si="0"/>
        <v>2030</v>
      </c>
      <c r="AB6" s="28">
        <f t="shared" si="0"/>
        <v>2030</v>
      </c>
      <c r="AC6" s="28">
        <f t="shared" si="0"/>
        <v>2030</v>
      </c>
      <c r="AD6" s="28">
        <f t="shared" si="0"/>
        <v>2030</v>
      </c>
      <c r="AE6" s="28">
        <f t="shared" si="0"/>
        <v>2030</v>
      </c>
      <c r="AF6" s="28">
        <f t="shared" si="0"/>
        <v>2030</v>
      </c>
      <c r="AG6" s="28">
        <f t="shared" si="0"/>
        <v>2030</v>
      </c>
      <c r="AH6" s="28">
        <f t="shared" si="0"/>
        <v>2030</v>
      </c>
      <c r="AI6" s="28">
        <f t="shared" si="0"/>
        <v>2031</v>
      </c>
      <c r="AJ6" s="28">
        <f t="shared" si="0"/>
        <v>2031</v>
      </c>
      <c r="AK6" s="28">
        <f t="shared" si="0"/>
        <v>2031</v>
      </c>
      <c r="AL6" s="28">
        <f t="shared" si="0"/>
        <v>2031</v>
      </c>
      <c r="AM6" s="28">
        <f t="shared" si="0"/>
        <v>2031</v>
      </c>
      <c r="AN6" s="28">
        <f t="shared" si="0"/>
        <v>2031</v>
      </c>
      <c r="AO6" s="28">
        <f t="shared" si="0"/>
        <v>2031</v>
      </c>
      <c r="AP6" s="28">
        <f t="shared" si="0"/>
        <v>2031</v>
      </c>
      <c r="AQ6" s="28">
        <f t="shared" si="0"/>
        <v>2031</v>
      </c>
      <c r="AR6" s="28">
        <f t="shared" si="0"/>
        <v>2031</v>
      </c>
      <c r="AS6" s="28">
        <f t="shared" si="0"/>
        <v>2031</v>
      </c>
      <c r="AT6" s="28">
        <f t="shared" si="0"/>
        <v>2031</v>
      </c>
      <c r="AU6" s="28"/>
      <c r="AV6" s="29"/>
      <c r="AW6" s="29"/>
      <c r="AX6" s="29"/>
    </row>
    <row r="7" spans="1:66" ht="15.75" customHeight="1" outlineLevel="1" x14ac:dyDescent="0.3">
      <c r="A7" s="13"/>
      <c r="B7" s="13"/>
      <c r="C7" s="13"/>
      <c r="D7" s="9" t="s">
        <v>17</v>
      </c>
      <c r="E7" s="8" t="s">
        <v>18</v>
      </c>
      <c r="F7" s="8"/>
      <c r="G7" s="30"/>
      <c r="H7" s="264"/>
      <c r="I7" s="31"/>
      <c r="J7" s="31"/>
      <c r="K7" s="323">
        <f>I8 + 1</f>
        <v>47119</v>
      </c>
      <c r="L7" s="323">
        <f xml:space="preserve"> K8 + 1</f>
        <v>47150</v>
      </c>
      <c r="M7" s="323">
        <f t="shared" ref="M7:AT7" si="1" xml:space="preserve"> L8 + 1</f>
        <v>47178</v>
      </c>
      <c r="N7" s="323">
        <f t="shared" si="1"/>
        <v>47209</v>
      </c>
      <c r="O7" s="323">
        <f t="shared" si="1"/>
        <v>47239</v>
      </c>
      <c r="P7" s="323">
        <f t="shared" si="1"/>
        <v>47270</v>
      </c>
      <c r="Q7" s="323">
        <f t="shared" si="1"/>
        <v>47300</v>
      </c>
      <c r="R7" s="323">
        <f t="shared" si="1"/>
        <v>47331</v>
      </c>
      <c r="S7" s="323">
        <f t="shared" si="1"/>
        <v>47362</v>
      </c>
      <c r="T7" s="323">
        <f t="shared" si="1"/>
        <v>47392</v>
      </c>
      <c r="U7" s="323">
        <f t="shared" si="1"/>
        <v>47423</v>
      </c>
      <c r="V7" s="323">
        <f t="shared" si="1"/>
        <v>47453</v>
      </c>
      <c r="W7" s="323">
        <f t="shared" si="1"/>
        <v>47484</v>
      </c>
      <c r="X7" s="323">
        <f t="shared" si="1"/>
        <v>47515</v>
      </c>
      <c r="Y7" s="323">
        <f t="shared" si="1"/>
        <v>47543</v>
      </c>
      <c r="Z7" s="323">
        <f t="shared" si="1"/>
        <v>47574</v>
      </c>
      <c r="AA7" s="323">
        <f t="shared" si="1"/>
        <v>47604</v>
      </c>
      <c r="AB7" s="323">
        <f t="shared" si="1"/>
        <v>47635</v>
      </c>
      <c r="AC7" s="323">
        <f t="shared" si="1"/>
        <v>47665</v>
      </c>
      <c r="AD7" s="323">
        <f t="shared" si="1"/>
        <v>47696</v>
      </c>
      <c r="AE7" s="323">
        <f t="shared" si="1"/>
        <v>47727</v>
      </c>
      <c r="AF7" s="323">
        <f t="shared" si="1"/>
        <v>47757</v>
      </c>
      <c r="AG7" s="323">
        <f t="shared" si="1"/>
        <v>47788</v>
      </c>
      <c r="AH7" s="323">
        <f t="shared" si="1"/>
        <v>47818</v>
      </c>
      <c r="AI7" s="323">
        <f t="shared" si="1"/>
        <v>47849</v>
      </c>
      <c r="AJ7" s="323">
        <f t="shared" si="1"/>
        <v>47880</v>
      </c>
      <c r="AK7" s="323">
        <f t="shared" si="1"/>
        <v>47908</v>
      </c>
      <c r="AL7" s="323">
        <f t="shared" si="1"/>
        <v>47939</v>
      </c>
      <c r="AM7" s="323">
        <f t="shared" si="1"/>
        <v>47969</v>
      </c>
      <c r="AN7" s="323">
        <f t="shared" si="1"/>
        <v>48000</v>
      </c>
      <c r="AO7" s="323">
        <f t="shared" si="1"/>
        <v>48030</v>
      </c>
      <c r="AP7" s="323">
        <f t="shared" si="1"/>
        <v>48061</v>
      </c>
      <c r="AQ7" s="323">
        <f t="shared" si="1"/>
        <v>48092</v>
      </c>
      <c r="AR7" s="323">
        <f t="shared" si="1"/>
        <v>48122</v>
      </c>
      <c r="AS7" s="323">
        <f t="shared" si="1"/>
        <v>48153</v>
      </c>
      <c r="AT7" s="323">
        <f t="shared" si="1"/>
        <v>48183</v>
      </c>
      <c r="AU7" s="32"/>
      <c r="AV7" s="9"/>
      <c r="AW7" s="9"/>
      <c r="AX7" s="9"/>
    </row>
    <row r="8" spans="1:66" ht="15.75" customHeight="1" outlineLevel="1" x14ac:dyDescent="0.3">
      <c r="A8" s="13"/>
      <c r="B8" s="13"/>
      <c r="C8" s="13"/>
      <c r="D8" s="9" t="s">
        <v>20</v>
      </c>
      <c r="E8" s="8" t="s">
        <v>18</v>
      </c>
      <c r="F8" s="37" t="s">
        <v>378</v>
      </c>
      <c r="G8" s="30"/>
      <c r="H8" s="264"/>
      <c r="I8" s="33">
        <v>47118</v>
      </c>
      <c r="J8" s="33"/>
      <c r="K8" s="323">
        <f>EOMONTH(K7, 0)</f>
        <v>47149</v>
      </c>
      <c r="L8" s="323">
        <f t="shared" ref="L8:AT8" si="2">EOMONTH(L7, 0)</f>
        <v>47177</v>
      </c>
      <c r="M8" s="323">
        <f t="shared" si="2"/>
        <v>47208</v>
      </c>
      <c r="N8" s="323">
        <f t="shared" si="2"/>
        <v>47238</v>
      </c>
      <c r="O8" s="323">
        <f t="shared" si="2"/>
        <v>47269</v>
      </c>
      <c r="P8" s="323">
        <f t="shared" si="2"/>
        <v>47299</v>
      </c>
      <c r="Q8" s="323">
        <f t="shared" si="2"/>
        <v>47330</v>
      </c>
      <c r="R8" s="323">
        <f t="shared" si="2"/>
        <v>47361</v>
      </c>
      <c r="S8" s="323">
        <f t="shared" si="2"/>
        <v>47391</v>
      </c>
      <c r="T8" s="323">
        <f t="shared" si="2"/>
        <v>47422</v>
      </c>
      <c r="U8" s="323">
        <f t="shared" si="2"/>
        <v>47452</v>
      </c>
      <c r="V8" s="323">
        <f t="shared" si="2"/>
        <v>47483</v>
      </c>
      <c r="W8" s="323">
        <f t="shared" si="2"/>
        <v>47514</v>
      </c>
      <c r="X8" s="323">
        <f t="shared" si="2"/>
        <v>47542</v>
      </c>
      <c r="Y8" s="323">
        <f t="shared" si="2"/>
        <v>47573</v>
      </c>
      <c r="Z8" s="323">
        <f t="shared" si="2"/>
        <v>47603</v>
      </c>
      <c r="AA8" s="323">
        <f t="shared" si="2"/>
        <v>47634</v>
      </c>
      <c r="AB8" s="323">
        <f t="shared" si="2"/>
        <v>47664</v>
      </c>
      <c r="AC8" s="323">
        <f t="shared" si="2"/>
        <v>47695</v>
      </c>
      <c r="AD8" s="323">
        <f t="shared" si="2"/>
        <v>47726</v>
      </c>
      <c r="AE8" s="323">
        <f t="shared" si="2"/>
        <v>47756</v>
      </c>
      <c r="AF8" s="323">
        <f t="shared" si="2"/>
        <v>47787</v>
      </c>
      <c r="AG8" s="323">
        <f t="shared" si="2"/>
        <v>47817</v>
      </c>
      <c r="AH8" s="323">
        <f t="shared" si="2"/>
        <v>47848</v>
      </c>
      <c r="AI8" s="323">
        <f t="shared" si="2"/>
        <v>47879</v>
      </c>
      <c r="AJ8" s="323">
        <f t="shared" si="2"/>
        <v>47907</v>
      </c>
      <c r="AK8" s="323">
        <f t="shared" si="2"/>
        <v>47938</v>
      </c>
      <c r="AL8" s="323">
        <f t="shared" si="2"/>
        <v>47968</v>
      </c>
      <c r="AM8" s="323">
        <f t="shared" si="2"/>
        <v>47999</v>
      </c>
      <c r="AN8" s="323">
        <f t="shared" si="2"/>
        <v>48029</v>
      </c>
      <c r="AO8" s="323">
        <f t="shared" si="2"/>
        <v>48060</v>
      </c>
      <c r="AP8" s="323">
        <f t="shared" si="2"/>
        <v>48091</v>
      </c>
      <c r="AQ8" s="323">
        <f t="shared" si="2"/>
        <v>48121</v>
      </c>
      <c r="AR8" s="323">
        <f t="shared" si="2"/>
        <v>48152</v>
      </c>
      <c r="AS8" s="323">
        <f t="shared" si="2"/>
        <v>48182</v>
      </c>
      <c r="AT8" s="323">
        <f t="shared" si="2"/>
        <v>48213</v>
      </c>
      <c r="AU8" s="32"/>
      <c r="AV8" s="9"/>
      <c r="AW8" s="9"/>
      <c r="AX8" s="9"/>
    </row>
    <row r="9" spans="1:66" ht="15.75" customHeight="1" outlineLevel="1" x14ac:dyDescent="0.3">
      <c r="A9" s="13"/>
      <c r="B9" s="13"/>
      <c r="C9" s="13"/>
      <c r="D9" s="9" t="s">
        <v>21</v>
      </c>
      <c r="E9" s="8" t="s">
        <v>19</v>
      </c>
      <c r="F9" s="37" t="s">
        <v>377</v>
      </c>
      <c r="G9" s="30"/>
      <c r="H9" s="264"/>
      <c r="I9" s="34">
        <v>0</v>
      </c>
      <c r="J9" s="34"/>
      <c r="K9" s="268">
        <f>I9 + 1</f>
        <v>1</v>
      </c>
      <c r="L9" s="268">
        <f>K9 + 1</f>
        <v>2</v>
      </c>
      <c r="M9" s="268">
        <f t="shared" ref="M9:AT9" si="3">L9 + 1</f>
        <v>3</v>
      </c>
      <c r="N9" s="35">
        <f t="shared" si="3"/>
        <v>4</v>
      </c>
      <c r="O9" s="35">
        <f t="shared" si="3"/>
        <v>5</v>
      </c>
      <c r="P9" s="35">
        <f t="shared" si="3"/>
        <v>6</v>
      </c>
      <c r="Q9" s="35">
        <f t="shared" si="3"/>
        <v>7</v>
      </c>
      <c r="R9" s="35">
        <f t="shared" si="3"/>
        <v>8</v>
      </c>
      <c r="S9" s="35">
        <f t="shared" si="3"/>
        <v>9</v>
      </c>
      <c r="T9" s="35">
        <f t="shared" si="3"/>
        <v>10</v>
      </c>
      <c r="U9" s="35">
        <f t="shared" si="3"/>
        <v>11</v>
      </c>
      <c r="V9" s="35">
        <f t="shared" si="3"/>
        <v>12</v>
      </c>
      <c r="W9" s="35">
        <f t="shared" si="3"/>
        <v>13</v>
      </c>
      <c r="X9" s="35">
        <f t="shared" si="3"/>
        <v>14</v>
      </c>
      <c r="Y9" s="35">
        <f t="shared" si="3"/>
        <v>15</v>
      </c>
      <c r="Z9" s="35">
        <f t="shared" si="3"/>
        <v>16</v>
      </c>
      <c r="AA9" s="35">
        <f t="shared" si="3"/>
        <v>17</v>
      </c>
      <c r="AB9" s="35">
        <f t="shared" si="3"/>
        <v>18</v>
      </c>
      <c r="AC9" s="35">
        <f t="shared" si="3"/>
        <v>19</v>
      </c>
      <c r="AD9" s="35">
        <f t="shared" si="3"/>
        <v>20</v>
      </c>
      <c r="AE9" s="35">
        <f t="shared" si="3"/>
        <v>21</v>
      </c>
      <c r="AF9" s="35">
        <f t="shared" si="3"/>
        <v>22</v>
      </c>
      <c r="AG9" s="35">
        <f t="shared" si="3"/>
        <v>23</v>
      </c>
      <c r="AH9" s="35">
        <f t="shared" si="3"/>
        <v>24</v>
      </c>
      <c r="AI9" s="35">
        <f t="shared" si="3"/>
        <v>25</v>
      </c>
      <c r="AJ9" s="35">
        <f t="shared" si="3"/>
        <v>26</v>
      </c>
      <c r="AK9" s="35">
        <f t="shared" si="3"/>
        <v>27</v>
      </c>
      <c r="AL9" s="35">
        <f t="shared" si="3"/>
        <v>28</v>
      </c>
      <c r="AM9" s="35">
        <f t="shared" si="3"/>
        <v>29</v>
      </c>
      <c r="AN9" s="35">
        <f t="shared" si="3"/>
        <v>30</v>
      </c>
      <c r="AO9" s="35">
        <f t="shared" si="3"/>
        <v>31</v>
      </c>
      <c r="AP9" s="35">
        <f t="shared" si="3"/>
        <v>32</v>
      </c>
      <c r="AQ9" s="35">
        <f t="shared" si="3"/>
        <v>33</v>
      </c>
      <c r="AR9" s="35">
        <f t="shared" si="3"/>
        <v>34</v>
      </c>
      <c r="AS9" s="35">
        <f t="shared" si="3"/>
        <v>35</v>
      </c>
      <c r="AT9" s="35">
        <f t="shared" si="3"/>
        <v>36</v>
      </c>
      <c r="AU9" s="36"/>
      <c r="AV9" s="9"/>
      <c r="AW9" s="9"/>
      <c r="AX9" s="9"/>
    </row>
    <row r="10" spans="1:66" ht="15.75" customHeight="1" outlineLevel="1" x14ac:dyDescent="0.3">
      <c r="A10" s="13"/>
      <c r="B10" s="13"/>
      <c r="C10" s="13"/>
      <c r="D10" s="9" t="s">
        <v>22</v>
      </c>
      <c r="E10" s="8" t="s">
        <v>19</v>
      </c>
      <c r="F10" s="37" t="s">
        <v>23</v>
      </c>
      <c r="G10" s="30"/>
      <c r="H10" s="264"/>
      <c r="I10" s="7"/>
      <c r="J10" s="7"/>
      <c r="K10" s="324">
        <f>(K8-K7)/365</f>
        <v>8.2191780821917804E-2</v>
      </c>
      <c r="L10" s="324">
        <f t="shared" ref="L10:AT10" si="4">(L8-L7)/365</f>
        <v>7.3972602739726029E-2</v>
      </c>
      <c r="M10" s="324">
        <f t="shared" si="4"/>
        <v>8.2191780821917804E-2</v>
      </c>
      <c r="N10" s="38">
        <f t="shared" si="4"/>
        <v>7.9452054794520555E-2</v>
      </c>
      <c r="O10" s="38">
        <f t="shared" si="4"/>
        <v>8.2191780821917804E-2</v>
      </c>
      <c r="P10" s="38">
        <f t="shared" si="4"/>
        <v>7.9452054794520555E-2</v>
      </c>
      <c r="Q10" s="38">
        <f t="shared" si="4"/>
        <v>8.2191780821917804E-2</v>
      </c>
      <c r="R10" s="38">
        <f t="shared" si="4"/>
        <v>8.2191780821917804E-2</v>
      </c>
      <c r="S10" s="38">
        <f t="shared" si="4"/>
        <v>7.9452054794520555E-2</v>
      </c>
      <c r="T10" s="38">
        <f t="shared" si="4"/>
        <v>8.2191780821917804E-2</v>
      </c>
      <c r="U10" s="38">
        <f t="shared" si="4"/>
        <v>7.9452054794520555E-2</v>
      </c>
      <c r="V10" s="38">
        <f t="shared" si="4"/>
        <v>8.2191780821917804E-2</v>
      </c>
      <c r="W10" s="38">
        <f t="shared" si="4"/>
        <v>8.2191780821917804E-2</v>
      </c>
      <c r="X10" s="38">
        <f t="shared" si="4"/>
        <v>7.3972602739726029E-2</v>
      </c>
      <c r="Y10" s="38">
        <f t="shared" si="4"/>
        <v>8.2191780821917804E-2</v>
      </c>
      <c r="Z10" s="38">
        <f t="shared" si="4"/>
        <v>7.9452054794520555E-2</v>
      </c>
      <c r="AA10" s="38">
        <f t="shared" si="4"/>
        <v>8.2191780821917804E-2</v>
      </c>
      <c r="AB10" s="38">
        <f t="shared" si="4"/>
        <v>7.9452054794520555E-2</v>
      </c>
      <c r="AC10" s="38">
        <f t="shared" si="4"/>
        <v>8.2191780821917804E-2</v>
      </c>
      <c r="AD10" s="38">
        <f t="shared" si="4"/>
        <v>8.2191780821917804E-2</v>
      </c>
      <c r="AE10" s="38">
        <f t="shared" si="4"/>
        <v>7.9452054794520555E-2</v>
      </c>
      <c r="AF10" s="38">
        <f t="shared" si="4"/>
        <v>8.2191780821917804E-2</v>
      </c>
      <c r="AG10" s="38">
        <f t="shared" si="4"/>
        <v>7.9452054794520555E-2</v>
      </c>
      <c r="AH10" s="38">
        <f t="shared" si="4"/>
        <v>8.2191780821917804E-2</v>
      </c>
      <c r="AI10" s="38">
        <f t="shared" si="4"/>
        <v>8.2191780821917804E-2</v>
      </c>
      <c r="AJ10" s="38">
        <f t="shared" si="4"/>
        <v>7.3972602739726029E-2</v>
      </c>
      <c r="AK10" s="38">
        <f t="shared" si="4"/>
        <v>8.2191780821917804E-2</v>
      </c>
      <c r="AL10" s="38">
        <f t="shared" si="4"/>
        <v>7.9452054794520555E-2</v>
      </c>
      <c r="AM10" s="38">
        <f t="shared" si="4"/>
        <v>8.2191780821917804E-2</v>
      </c>
      <c r="AN10" s="38">
        <f t="shared" si="4"/>
        <v>7.9452054794520555E-2</v>
      </c>
      <c r="AO10" s="38">
        <f t="shared" si="4"/>
        <v>8.2191780821917804E-2</v>
      </c>
      <c r="AP10" s="38">
        <f t="shared" si="4"/>
        <v>8.2191780821917804E-2</v>
      </c>
      <c r="AQ10" s="38">
        <f t="shared" si="4"/>
        <v>7.9452054794520555E-2</v>
      </c>
      <c r="AR10" s="38">
        <f t="shared" si="4"/>
        <v>8.2191780821917804E-2</v>
      </c>
      <c r="AS10" s="38">
        <f t="shared" si="4"/>
        <v>7.9452054794520555E-2</v>
      </c>
      <c r="AT10" s="38">
        <f t="shared" si="4"/>
        <v>8.2191780821917804E-2</v>
      </c>
      <c r="AU10" s="38"/>
      <c r="AV10" s="9"/>
      <c r="AW10" s="9"/>
      <c r="AX10" s="9"/>
    </row>
    <row r="11" spans="1:66" ht="15.75" customHeight="1" x14ac:dyDescent="0.3">
      <c r="A11" s="13"/>
      <c r="B11" s="13"/>
      <c r="C11" s="13"/>
      <c r="D11" s="9"/>
      <c r="E11" s="8"/>
      <c r="F11" s="8"/>
      <c r="G11" s="30"/>
      <c r="H11" s="264"/>
      <c r="I11" s="7"/>
      <c r="J11" s="7"/>
      <c r="K11" s="325"/>
      <c r="L11" s="325"/>
      <c r="M11" s="325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66" ht="15.75" customHeight="1" x14ac:dyDescent="0.3">
      <c r="A12" s="13"/>
      <c r="B12" s="105"/>
      <c r="C12" s="105"/>
      <c r="D12" s="104" t="s">
        <v>300</v>
      </c>
      <c r="E12" s="105"/>
      <c r="F12" s="105"/>
      <c r="G12" s="106"/>
      <c r="H12" s="105"/>
      <c r="I12" s="105"/>
      <c r="J12" s="41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60"/>
      <c r="AX12" s="160"/>
      <c r="AY12" s="160"/>
      <c r="AZ12" s="160"/>
    </row>
    <row r="13" spans="1:66" ht="15.75" customHeight="1" outlineLevel="1" x14ac:dyDescent="0.3">
      <c r="A13" s="233"/>
      <c r="B13" s="233"/>
      <c r="C13" s="233"/>
      <c r="D13" s="246"/>
      <c r="E13" s="218"/>
      <c r="F13" s="218"/>
      <c r="G13" s="450"/>
      <c r="H13" s="455"/>
      <c r="I13" s="238"/>
      <c r="J13" s="238"/>
      <c r="K13" s="454"/>
      <c r="L13" s="454"/>
      <c r="M13" s="454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</row>
    <row r="14" spans="1:66" ht="18" customHeight="1" outlineLevel="1" x14ac:dyDescent="0.3">
      <c r="A14" s="19"/>
      <c r="B14" s="20"/>
      <c r="C14" s="20"/>
      <c r="D14" s="21" t="s">
        <v>24</v>
      </c>
      <c r="E14" s="22"/>
      <c r="F14" s="22"/>
      <c r="G14" s="22"/>
      <c r="H14" s="22"/>
      <c r="I14" s="22"/>
      <c r="J14" s="8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66" ht="15.75" customHeight="1" outlineLevel="1" x14ac:dyDescent="0.3">
      <c r="A15" s="13"/>
      <c r="B15" s="13"/>
      <c r="C15" s="13"/>
      <c r="D15" s="9" t="s">
        <v>25</v>
      </c>
      <c r="E15" s="39" t="s">
        <v>19</v>
      </c>
      <c r="F15" s="40"/>
      <c r="G15" s="40"/>
      <c r="H15" s="265"/>
      <c r="I15" s="42">
        <f>YEAR(I8)</f>
        <v>2028</v>
      </c>
      <c r="J15" s="42"/>
      <c r="K15" s="326">
        <f>I15 + 1</f>
        <v>2029</v>
      </c>
      <c r="L15" s="326">
        <f>K15 + 1</f>
        <v>2030</v>
      </c>
      <c r="M15" s="326">
        <f t="shared" ref="M15:O15" si="5">L15 + 1</f>
        <v>2031</v>
      </c>
      <c r="N15" s="326">
        <f t="shared" si="5"/>
        <v>2032</v>
      </c>
      <c r="O15" s="326">
        <f t="shared" si="5"/>
        <v>2033</v>
      </c>
      <c r="P15" s="43"/>
      <c r="Q15" s="43"/>
      <c r="R15" s="43"/>
      <c r="S15" s="43"/>
      <c r="T15" s="43"/>
      <c r="U15" s="43"/>
      <c r="V15" s="43"/>
      <c r="W15" s="44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6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9"/>
      <c r="AW15" s="9"/>
      <c r="AX15" s="9"/>
    </row>
    <row r="16" spans="1:66" ht="15.75" customHeight="1" outlineLevel="1" x14ac:dyDescent="0.3">
      <c r="A16" s="13"/>
      <c r="B16" s="13"/>
      <c r="C16" s="13"/>
      <c r="D16" s="9" t="s">
        <v>26</v>
      </c>
      <c r="E16" s="39" t="s">
        <v>27</v>
      </c>
      <c r="F16" s="40"/>
      <c r="G16" s="40"/>
      <c r="H16" s="265"/>
      <c r="I16" s="47">
        <v>0.05</v>
      </c>
      <c r="J16" s="47"/>
      <c r="K16" s="327">
        <v>0.05</v>
      </c>
      <c r="L16" s="327">
        <v>3.7999999999999999E-2</v>
      </c>
      <c r="M16" s="327">
        <v>0.04</v>
      </c>
      <c r="N16" s="48">
        <v>0.04</v>
      </c>
      <c r="O16" s="48">
        <v>0.04</v>
      </c>
      <c r="P16" s="43"/>
      <c r="Q16" s="43"/>
      <c r="R16" s="43"/>
      <c r="S16" s="43"/>
      <c r="T16" s="43"/>
      <c r="U16" s="43"/>
      <c r="V16" s="43"/>
      <c r="W16" s="44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6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9"/>
      <c r="AW16" s="9"/>
      <c r="AX16" s="9"/>
    </row>
    <row r="17" spans="1:52" ht="15.75" customHeight="1" outlineLevel="1" x14ac:dyDescent="0.3">
      <c r="A17" s="13"/>
      <c r="B17" s="13"/>
      <c r="C17" s="13"/>
      <c r="D17" s="9" t="s">
        <v>28</v>
      </c>
      <c r="E17" s="39" t="s">
        <v>27</v>
      </c>
      <c r="F17" s="40"/>
      <c r="G17" s="40"/>
      <c r="H17" s="265"/>
      <c r="I17" s="49"/>
      <c r="J17" s="49"/>
      <c r="K17" s="328">
        <f>INDEX($K$16:$O$16,, MATCH(K$6, $K$15:$O$15, 0))</f>
        <v>0.05</v>
      </c>
      <c r="L17" s="328">
        <f t="shared" ref="L17:AT17" si="6">INDEX($K$16:$O$16,, MATCH(L$6, $K$15:$O$15, 0))</f>
        <v>0.05</v>
      </c>
      <c r="M17" s="328">
        <f t="shared" si="6"/>
        <v>0.05</v>
      </c>
      <c r="N17" s="45">
        <f t="shared" si="6"/>
        <v>0.05</v>
      </c>
      <c r="O17" s="45">
        <f t="shared" si="6"/>
        <v>0.05</v>
      </c>
      <c r="P17" s="45">
        <f t="shared" si="6"/>
        <v>0.05</v>
      </c>
      <c r="Q17" s="45">
        <f t="shared" si="6"/>
        <v>0.05</v>
      </c>
      <c r="R17" s="45">
        <f t="shared" si="6"/>
        <v>0.05</v>
      </c>
      <c r="S17" s="45">
        <f t="shared" si="6"/>
        <v>0.05</v>
      </c>
      <c r="T17" s="45">
        <f t="shared" si="6"/>
        <v>0.05</v>
      </c>
      <c r="U17" s="45">
        <f t="shared" si="6"/>
        <v>0.05</v>
      </c>
      <c r="V17" s="45">
        <f t="shared" si="6"/>
        <v>0.05</v>
      </c>
      <c r="W17" s="45">
        <f t="shared" si="6"/>
        <v>3.7999999999999999E-2</v>
      </c>
      <c r="X17" s="45">
        <f t="shared" si="6"/>
        <v>3.7999999999999999E-2</v>
      </c>
      <c r="Y17" s="45">
        <f t="shared" si="6"/>
        <v>3.7999999999999999E-2</v>
      </c>
      <c r="Z17" s="45">
        <f t="shared" si="6"/>
        <v>3.7999999999999999E-2</v>
      </c>
      <c r="AA17" s="45">
        <f t="shared" si="6"/>
        <v>3.7999999999999999E-2</v>
      </c>
      <c r="AB17" s="45">
        <f t="shared" si="6"/>
        <v>3.7999999999999999E-2</v>
      </c>
      <c r="AC17" s="45">
        <f t="shared" si="6"/>
        <v>3.7999999999999999E-2</v>
      </c>
      <c r="AD17" s="45">
        <f t="shared" si="6"/>
        <v>3.7999999999999999E-2</v>
      </c>
      <c r="AE17" s="45">
        <f t="shared" si="6"/>
        <v>3.7999999999999999E-2</v>
      </c>
      <c r="AF17" s="45">
        <f t="shared" si="6"/>
        <v>3.7999999999999999E-2</v>
      </c>
      <c r="AG17" s="45">
        <f t="shared" si="6"/>
        <v>3.7999999999999999E-2</v>
      </c>
      <c r="AH17" s="45">
        <f t="shared" si="6"/>
        <v>3.7999999999999999E-2</v>
      </c>
      <c r="AI17" s="45">
        <f t="shared" si="6"/>
        <v>0.04</v>
      </c>
      <c r="AJ17" s="45">
        <f t="shared" si="6"/>
        <v>0.04</v>
      </c>
      <c r="AK17" s="45">
        <f t="shared" si="6"/>
        <v>0.04</v>
      </c>
      <c r="AL17" s="45">
        <f t="shared" si="6"/>
        <v>0.04</v>
      </c>
      <c r="AM17" s="45">
        <f t="shared" si="6"/>
        <v>0.04</v>
      </c>
      <c r="AN17" s="45">
        <f t="shared" si="6"/>
        <v>0.04</v>
      </c>
      <c r="AO17" s="45">
        <f t="shared" si="6"/>
        <v>0.04</v>
      </c>
      <c r="AP17" s="45">
        <f t="shared" si="6"/>
        <v>0.04</v>
      </c>
      <c r="AQ17" s="45">
        <f t="shared" si="6"/>
        <v>0.04</v>
      </c>
      <c r="AR17" s="45">
        <f t="shared" si="6"/>
        <v>0.04</v>
      </c>
      <c r="AS17" s="45">
        <f t="shared" si="6"/>
        <v>0.04</v>
      </c>
      <c r="AT17" s="45">
        <f t="shared" si="6"/>
        <v>0.04</v>
      </c>
      <c r="AU17" s="45"/>
      <c r="AV17" s="9"/>
      <c r="AW17" s="9"/>
      <c r="AX17" s="9"/>
    </row>
    <row r="18" spans="1:52" ht="15.75" customHeight="1" outlineLevel="1" x14ac:dyDescent="0.3">
      <c r="A18" s="13"/>
      <c r="B18" s="13"/>
      <c r="C18" s="13"/>
      <c r="D18" s="9" t="s">
        <v>29</v>
      </c>
      <c r="E18" s="39" t="s">
        <v>27</v>
      </c>
      <c r="F18" s="37" t="s">
        <v>379</v>
      </c>
      <c r="G18" s="247"/>
      <c r="H18" s="265"/>
      <c r="I18" s="49"/>
      <c r="J18" s="49"/>
      <c r="K18" s="328">
        <f>(1 + K17) ^ K10 - 1</f>
        <v>4.0182018919749929E-3</v>
      </c>
      <c r="L18" s="328">
        <f t="shared" ref="L18:AT18" si="7">(1 + L17) ^ L10 - 1</f>
        <v>3.6156562034164175E-3</v>
      </c>
      <c r="M18" s="328">
        <f t="shared" si="7"/>
        <v>4.0182018919749929E-3</v>
      </c>
      <c r="N18" s="45">
        <f t="shared" si="7"/>
        <v>3.884002059069358E-3</v>
      </c>
      <c r="O18" s="45">
        <f t="shared" si="7"/>
        <v>4.0182018919749929E-3</v>
      </c>
      <c r="P18" s="45">
        <f t="shared" si="7"/>
        <v>3.884002059069358E-3</v>
      </c>
      <c r="Q18" s="45">
        <f t="shared" si="7"/>
        <v>4.0182018919749929E-3</v>
      </c>
      <c r="R18" s="45">
        <f t="shared" si="7"/>
        <v>4.0182018919749929E-3</v>
      </c>
      <c r="S18" s="45">
        <f t="shared" si="7"/>
        <v>3.884002059069358E-3</v>
      </c>
      <c r="T18" s="45">
        <f t="shared" si="7"/>
        <v>4.0182018919749929E-3</v>
      </c>
      <c r="U18" s="45">
        <f t="shared" si="7"/>
        <v>3.884002059069358E-3</v>
      </c>
      <c r="V18" s="45">
        <f t="shared" si="7"/>
        <v>4.0182018919749929E-3</v>
      </c>
      <c r="W18" s="45">
        <f t="shared" si="7"/>
        <v>3.0701101296430888E-3</v>
      </c>
      <c r="X18" s="45">
        <f t="shared" si="7"/>
        <v>2.7626754424510125E-3</v>
      </c>
      <c r="Y18" s="45">
        <f t="shared" si="7"/>
        <v>3.0701101296430888E-3</v>
      </c>
      <c r="Z18" s="45">
        <f t="shared" si="7"/>
        <v>2.9676214291514125E-3</v>
      </c>
      <c r="AA18" s="45">
        <f t="shared" si="7"/>
        <v>3.0701101296430888E-3</v>
      </c>
      <c r="AB18" s="45">
        <f t="shared" si="7"/>
        <v>2.9676214291514125E-3</v>
      </c>
      <c r="AC18" s="45">
        <f t="shared" si="7"/>
        <v>3.0701101296430888E-3</v>
      </c>
      <c r="AD18" s="45">
        <f t="shared" si="7"/>
        <v>3.0701101296430888E-3</v>
      </c>
      <c r="AE18" s="45">
        <f t="shared" si="7"/>
        <v>2.9676214291514125E-3</v>
      </c>
      <c r="AF18" s="45">
        <f t="shared" si="7"/>
        <v>3.0701101296430888E-3</v>
      </c>
      <c r="AG18" s="45">
        <f t="shared" si="7"/>
        <v>2.9676214291514125E-3</v>
      </c>
      <c r="AH18" s="45">
        <f t="shared" si="7"/>
        <v>3.0701101296430888E-3</v>
      </c>
      <c r="AI18" s="45">
        <f t="shared" si="7"/>
        <v>3.2288217106277717E-3</v>
      </c>
      <c r="AJ18" s="45">
        <f t="shared" si="7"/>
        <v>2.9054709560047964E-3</v>
      </c>
      <c r="AK18" s="45">
        <f t="shared" si="7"/>
        <v>3.2288217106277717E-3</v>
      </c>
      <c r="AL18" s="45">
        <f t="shared" si="7"/>
        <v>3.1210265437677798E-3</v>
      </c>
      <c r="AM18" s="45">
        <f t="shared" si="7"/>
        <v>3.2288217106277717E-3</v>
      </c>
      <c r="AN18" s="45">
        <f t="shared" si="7"/>
        <v>3.1210265437677798E-3</v>
      </c>
      <c r="AO18" s="45">
        <f t="shared" si="7"/>
        <v>3.2288217106277717E-3</v>
      </c>
      <c r="AP18" s="45">
        <f t="shared" si="7"/>
        <v>3.2288217106277717E-3</v>
      </c>
      <c r="AQ18" s="45">
        <f t="shared" si="7"/>
        <v>3.1210265437677798E-3</v>
      </c>
      <c r="AR18" s="45">
        <f t="shared" si="7"/>
        <v>3.2288217106277717E-3</v>
      </c>
      <c r="AS18" s="45">
        <f t="shared" si="7"/>
        <v>3.1210265437677798E-3</v>
      </c>
      <c r="AT18" s="45">
        <f t="shared" si="7"/>
        <v>3.2288217106277717E-3</v>
      </c>
      <c r="AU18" s="45"/>
      <c r="AV18" s="9"/>
      <c r="AW18" s="9"/>
      <c r="AX18" s="9"/>
    </row>
    <row r="19" spans="1:52" ht="15.75" customHeight="1" outlineLevel="1" x14ac:dyDescent="0.3">
      <c r="A19" s="13"/>
      <c r="B19" s="13"/>
      <c r="C19" s="13"/>
      <c r="D19" s="9" t="s">
        <v>30</v>
      </c>
      <c r="E19" s="39" t="s">
        <v>27</v>
      </c>
      <c r="F19" s="40"/>
      <c r="G19" s="40"/>
      <c r="H19" s="265"/>
      <c r="I19" s="47">
        <v>1</v>
      </c>
      <c r="J19" s="47"/>
      <c r="K19" s="315">
        <f>I19 * (1 + K18)</f>
        <v>1.004018201891975</v>
      </c>
      <c r="L19" s="315">
        <f>K19 * (1 + L18)</f>
        <v>1.0076483865319887</v>
      </c>
      <c r="M19" s="315">
        <f>L19 * (1 + M18)</f>
        <v>1.0116973211851972</v>
      </c>
      <c r="N19" s="43">
        <f t="shared" ref="N19:AT19" si="8">M19 * (1 + N18)</f>
        <v>1.0156267556638354</v>
      </c>
      <c r="O19" s="43">
        <f t="shared" si="8"/>
        <v>1.0197077490149842</v>
      </c>
      <c r="P19" s="43">
        <f t="shared" si="8"/>
        <v>1.0236682960118073</v>
      </c>
      <c r="Q19" s="43">
        <f t="shared" si="8"/>
        <v>1.0277816018955968</v>
      </c>
      <c r="R19" s="43">
        <f t="shared" si="8"/>
        <v>1.0319114358728707</v>
      </c>
      <c r="S19" s="43">
        <f t="shared" si="8"/>
        <v>1.0359193820145782</v>
      </c>
      <c r="T19" s="43">
        <f t="shared" si="8"/>
        <v>1.0400819152353227</v>
      </c>
      <c r="U19" s="43">
        <f t="shared" si="8"/>
        <v>1.0441215955356975</v>
      </c>
      <c r="V19" s="43">
        <f t="shared" si="8"/>
        <v>1.048317086906331</v>
      </c>
      <c r="W19" s="43">
        <f t="shared" si="8"/>
        <v>1.05153553581392</v>
      </c>
      <c r="X19" s="43">
        <f t="shared" si="8"/>
        <v>1.0544405872155778</v>
      </c>
      <c r="Y19" s="43">
        <f t="shared" si="8"/>
        <v>1.0576778359434951</v>
      </c>
      <c r="Z19" s="43">
        <f t="shared" si="8"/>
        <v>1.0608166233545795</v>
      </c>
      <c r="AA19" s="43">
        <f t="shared" si="8"/>
        <v>1.0640734472156341</v>
      </c>
      <c r="AB19" s="43">
        <f t="shared" si="8"/>
        <v>1.0672312143797822</v>
      </c>
      <c r="AC19" s="43">
        <f t="shared" si="8"/>
        <v>1.0705077317417209</v>
      </c>
      <c r="AD19" s="43">
        <f t="shared" si="8"/>
        <v>1.0737943083728023</v>
      </c>
      <c r="AE19" s="43">
        <f t="shared" si="8"/>
        <v>1.0769809233728302</v>
      </c>
      <c r="AF19" s="43">
        <f t="shared" si="8"/>
        <v>1.0802873734151095</v>
      </c>
      <c r="AG19" s="43">
        <f t="shared" si="8"/>
        <v>1.0834932573740979</v>
      </c>
      <c r="AH19" s="43">
        <f t="shared" si="8"/>
        <v>1.086819700998962</v>
      </c>
      <c r="AI19" s="43">
        <f t="shared" si="8"/>
        <v>1.0903288480450855</v>
      </c>
      <c r="AJ19" s="43">
        <f t="shared" si="8"/>
        <v>1.0934967668455746</v>
      </c>
      <c r="AK19" s="43">
        <f t="shared" si="8"/>
        <v>1.097027472946867</v>
      </c>
      <c r="AL19" s="43">
        <f t="shared" si="8"/>
        <v>1.1004513248091767</v>
      </c>
      <c r="AM19" s="43">
        <f t="shared" si="8"/>
        <v>1.1040044859382097</v>
      </c>
      <c r="AN19" s="43">
        <f t="shared" si="8"/>
        <v>1.1074501132432615</v>
      </c>
      <c r="AO19" s="43">
        <f t="shared" si="8"/>
        <v>1.1110258722123385</v>
      </c>
      <c r="AP19" s="43">
        <f t="shared" si="8"/>
        <v>1.1146131766696068</v>
      </c>
      <c r="AQ19" s="43">
        <f t="shared" si="8"/>
        <v>1.1180919139800261</v>
      </c>
      <c r="AR19" s="43">
        <f t="shared" si="8"/>
        <v>1.1217020334263621</v>
      </c>
      <c r="AS19" s="43">
        <f t="shared" si="8"/>
        <v>1.125202895246884</v>
      </c>
      <c r="AT19" s="43">
        <f t="shared" si="8"/>
        <v>1.1288359747839183</v>
      </c>
      <c r="AU19" s="43"/>
      <c r="AV19" s="9"/>
      <c r="AW19" s="9"/>
      <c r="AX19" s="9"/>
    </row>
    <row r="20" spans="1:52" ht="15.75" customHeight="1" outlineLevel="1" x14ac:dyDescent="0.3">
      <c r="A20" s="13"/>
      <c r="B20" s="13"/>
      <c r="C20" s="13"/>
      <c r="D20" s="9"/>
      <c r="E20" s="39"/>
      <c r="F20" s="40"/>
      <c r="G20" s="40"/>
      <c r="H20" s="46"/>
      <c r="I20" s="47"/>
      <c r="J20" s="47"/>
      <c r="K20" s="315"/>
      <c r="L20" s="315"/>
      <c r="M20" s="315"/>
      <c r="N20" s="43"/>
      <c r="O20" s="43"/>
      <c r="P20" s="43"/>
      <c r="Q20" s="43"/>
      <c r="R20" s="43"/>
      <c r="S20" s="43"/>
      <c r="T20" s="43"/>
      <c r="U20" s="43"/>
      <c r="V20" s="43"/>
      <c r="W20" s="44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6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9"/>
      <c r="AW20" s="9"/>
      <c r="AX20" s="9"/>
    </row>
    <row r="21" spans="1:52" ht="15.75" customHeight="1" outlineLevel="1" x14ac:dyDescent="0.3">
      <c r="A21" s="13"/>
      <c r="B21" s="13"/>
      <c r="C21" s="13"/>
      <c r="D21" s="9" t="s">
        <v>31</v>
      </c>
      <c r="E21" s="39" t="s">
        <v>27</v>
      </c>
      <c r="F21" s="8"/>
      <c r="G21" s="30"/>
      <c r="H21" s="46">
        <v>0.2</v>
      </c>
      <c r="I21" s="7"/>
      <c r="J21" s="7"/>
      <c r="K21" s="329"/>
      <c r="L21" s="325"/>
      <c r="M21" s="325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2" ht="15.75" customHeight="1" outlineLevel="1" x14ac:dyDescent="0.3">
      <c r="A22" s="13"/>
      <c r="B22" s="13"/>
      <c r="C22" s="13"/>
      <c r="D22" s="9" t="s">
        <v>32</v>
      </c>
      <c r="E22" s="39" t="s">
        <v>27</v>
      </c>
      <c r="F22" s="8"/>
      <c r="G22" s="30"/>
      <c r="H22" s="46">
        <v>0.2</v>
      </c>
      <c r="I22" s="7"/>
      <c r="J22" s="7"/>
      <c r="K22" s="325"/>
      <c r="L22" s="325"/>
      <c r="M22" s="325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2" ht="15.75" customHeight="1" x14ac:dyDescent="0.3">
      <c r="A23" s="13"/>
      <c r="B23" s="13"/>
      <c r="C23" s="13"/>
      <c r="D23" s="9"/>
      <c r="E23" s="39"/>
      <c r="F23" s="8"/>
      <c r="G23" s="30"/>
      <c r="H23" s="46"/>
      <c r="I23" s="7"/>
      <c r="J23" s="7"/>
      <c r="K23" s="325"/>
      <c r="L23" s="325"/>
      <c r="M23" s="325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2" ht="15.75" customHeight="1" x14ac:dyDescent="0.3">
      <c r="A24" s="13"/>
      <c r="B24" s="105"/>
      <c r="C24" s="105"/>
      <c r="D24" s="104" t="s">
        <v>301</v>
      </c>
      <c r="E24" s="105"/>
      <c r="F24" s="105"/>
      <c r="G24" s="106"/>
      <c r="H24" s="105"/>
      <c r="I24" s="105"/>
      <c r="J24" s="41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60"/>
      <c r="AX24" s="160"/>
      <c r="AY24" s="160"/>
      <c r="AZ24" s="160"/>
    </row>
    <row r="25" spans="1:52" ht="15.75" customHeight="1" outlineLevel="1" x14ac:dyDescent="0.3">
      <c r="A25" s="233"/>
      <c r="B25" s="233"/>
      <c r="C25" s="233"/>
      <c r="D25" s="246"/>
      <c r="E25" s="502"/>
      <c r="F25" s="218"/>
      <c r="G25" s="450"/>
      <c r="H25" s="396"/>
      <c r="I25" s="238"/>
      <c r="J25" s="238"/>
      <c r="K25" s="454"/>
      <c r="L25" s="454"/>
      <c r="M25" s="454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</row>
    <row r="26" spans="1:52" ht="18" customHeight="1" outlineLevel="1" x14ac:dyDescent="0.3">
      <c r="A26" s="19"/>
      <c r="B26" s="20"/>
      <c r="C26" s="20"/>
      <c r="D26" s="21" t="s">
        <v>33</v>
      </c>
      <c r="E26" s="22"/>
      <c r="F26" s="22"/>
      <c r="G26" s="22"/>
      <c r="H26" s="22"/>
      <c r="I26" s="22"/>
      <c r="J26" s="8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2" ht="15.75" customHeight="1" outlineLevel="1" x14ac:dyDescent="0.3">
      <c r="A27" s="13"/>
      <c r="B27" s="13"/>
      <c r="C27" s="13"/>
      <c r="D27" s="19" t="s">
        <v>25</v>
      </c>
      <c r="E27" s="8" t="s">
        <v>19</v>
      </c>
      <c r="F27" s="8"/>
      <c r="G27" s="30"/>
      <c r="H27" s="8"/>
      <c r="I27" s="7">
        <f>YEAR($I$8)</f>
        <v>2028</v>
      </c>
      <c r="J27" s="7"/>
      <c r="K27" s="264">
        <f>I27 + 1</f>
        <v>2029</v>
      </c>
      <c r="L27" s="264">
        <f>K27 + 1</f>
        <v>2030</v>
      </c>
      <c r="M27" s="264">
        <f t="shared" ref="M27:O27" si="9">L27 + 1</f>
        <v>2031</v>
      </c>
      <c r="N27" s="8">
        <f t="shared" si="9"/>
        <v>2032</v>
      </c>
      <c r="O27" s="8">
        <f t="shared" si="9"/>
        <v>2033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2" ht="15.75" customHeight="1" outlineLevel="1" x14ac:dyDescent="0.3">
      <c r="A28" s="13"/>
      <c r="B28" s="13"/>
      <c r="C28" s="13"/>
      <c r="D28" s="19" t="s">
        <v>34</v>
      </c>
      <c r="E28" s="8" t="s">
        <v>27</v>
      </c>
      <c r="F28" s="8"/>
      <c r="G28" s="30"/>
      <c r="H28" s="8"/>
      <c r="I28" s="47">
        <v>0</v>
      </c>
      <c r="J28" s="47"/>
      <c r="K28" s="265">
        <f>I28</f>
        <v>0</v>
      </c>
      <c r="L28" s="330">
        <v>1.1499999999999999</v>
      </c>
      <c r="M28" s="330">
        <v>0.2</v>
      </c>
      <c r="N28" s="46">
        <v>0.2</v>
      </c>
      <c r="O28" s="46">
        <v>0.2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2" ht="12.45" outlineLevel="1" x14ac:dyDescent="0.3">
      <c r="A29" s="13"/>
      <c r="B29" s="13"/>
      <c r="C29" s="13"/>
      <c r="D29" s="19" t="s">
        <v>35</v>
      </c>
      <c r="E29" s="8" t="s">
        <v>36</v>
      </c>
      <c r="F29" s="50"/>
      <c r="G29" s="30"/>
      <c r="H29" s="8"/>
      <c r="I29" s="51">
        <v>5000000</v>
      </c>
      <c r="J29" s="47"/>
      <c r="K29" s="264"/>
      <c r="L29" s="264"/>
      <c r="M29" s="264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9"/>
      <c r="AX29" s="9"/>
    </row>
    <row r="30" spans="1:52" ht="12.45" outlineLevel="1" x14ac:dyDescent="0.3">
      <c r="A30" s="13"/>
      <c r="B30" s="13"/>
      <c r="C30" s="13"/>
      <c r="D30" s="19"/>
      <c r="E30" s="8"/>
      <c r="F30" s="8"/>
      <c r="G30" s="30"/>
      <c r="H30" s="8"/>
      <c r="I30" s="47"/>
      <c r="J30" s="47"/>
      <c r="K30" s="264"/>
      <c r="L30" s="264"/>
      <c r="M30" s="264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9"/>
      <c r="AX30" s="9"/>
    </row>
    <row r="31" spans="1:52" ht="15.75" customHeight="1" outlineLevel="1" x14ac:dyDescent="0.3">
      <c r="A31" s="13"/>
      <c r="B31" s="13"/>
      <c r="C31" s="13"/>
      <c r="D31" s="19" t="s">
        <v>37</v>
      </c>
      <c r="E31" s="8" t="s">
        <v>19</v>
      </c>
      <c r="F31" s="8"/>
      <c r="G31" s="30"/>
      <c r="H31" s="8"/>
      <c r="I31" s="49"/>
      <c r="J31" s="49"/>
      <c r="K31" s="264">
        <f t="shared" ref="K31:V31" si="10">MONTH(K7)</f>
        <v>1</v>
      </c>
      <c r="L31" s="264">
        <f t="shared" si="10"/>
        <v>2</v>
      </c>
      <c r="M31" s="264">
        <f t="shared" si="10"/>
        <v>3</v>
      </c>
      <c r="N31" s="8">
        <f t="shared" si="10"/>
        <v>4</v>
      </c>
      <c r="O31" s="8">
        <f t="shared" si="10"/>
        <v>5</v>
      </c>
      <c r="P31" s="8">
        <f t="shared" si="10"/>
        <v>6</v>
      </c>
      <c r="Q31" s="8">
        <f t="shared" si="10"/>
        <v>7</v>
      </c>
      <c r="R31" s="8">
        <f t="shared" si="10"/>
        <v>8</v>
      </c>
      <c r="S31" s="8">
        <f t="shared" si="10"/>
        <v>9</v>
      </c>
      <c r="T31" s="8">
        <f t="shared" si="10"/>
        <v>10</v>
      </c>
      <c r="U31" s="8">
        <f t="shared" si="10"/>
        <v>11</v>
      </c>
      <c r="V31" s="8">
        <f t="shared" si="10"/>
        <v>12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9"/>
      <c r="AX31" s="9"/>
    </row>
    <row r="32" spans="1:52" ht="15.75" customHeight="1" outlineLevel="1" x14ac:dyDescent="0.3">
      <c r="A32" s="13"/>
      <c r="B32" s="13"/>
      <c r="C32" s="13"/>
      <c r="D32" s="19" t="s">
        <v>38</v>
      </c>
      <c r="E32" s="8" t="s">
        <v>19</v>
      </c>
      <c r="F32" s="8"/>
      <c r="G32" s="30"/>
      <c r="H32" s="8"/>
      <c r="I32" s="52"/>
      <c r="J32" s="52"/>
      <c r="K32" s="331">
        <v>0.75</v>
      </c>
      <c r="L32" s="331">
        <v>0.85</v>
      </c>
      <c r="M32" s="331">
        <v>0.9</v>
      </c>
      <c r="N32" s="53">
        <v>1.1000000000000001</v>
      </c>
      <c r="O32" s="53">
        <v>1.2</v>
      </c>
      <c r="P32" s="53">
        <v>1.25</v>
      </c>
      <c r="Q32" s="53">
        <v>1.2</v>
      </c>
      <c r="R32" s="53">
        <v>1.1000000000000001</v>
      </c>
      <c r="S32" s="53">
        <v>1.05</v>
      </c>
      <c r="T32" s="53">
        <v>0.95</v>
      </c>
      <c r="U32" s="53">
        <v>0.85</v>
      </c>
      <c r="V32" s="54">
        <v>0.8</v>
      </c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4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4"/>
      <c r="AU32" s="53"/>
      <c r="AV32" s="9"/>
      <c r="AW32" s="9"/>
      <c r="AX32" s="9"/>
    </row>
    <row r="33" spans="1:50" ht="15.75" customHeight="1" outlineLevel="1" x14ac:dyDescent="0.3">
      <c r="A33" s="13"/>
      <c r="B33" s="13"/>
      <c r="C33" s="13"/>
      <c r="D33" s="19"/>
      <c r="E33" s="8"/>
      <c r="F33" s="8"/>
      <c r="G33" s="30"/>
      <c r="H33" s="8"/>
      <c r="I33" s="52"/>
      <c r="J33" s="52"/>
      <c r="K33" s="331"/>
      <c r="L33" s="331"/>
      <c r="M33" s="331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9"/>
      <c r="AW33" s="9"/>
      <c r="AX33" s="9"/>
    </row>
    <row r="34" spans="1:50" ht="13.5" customHeight="1" outlineLevel="1" x14ac:dyDescent="0.3">
      <c r="A34" s="13"/>
      <c r="B34" s="13"/>
      <c r="C34" s="13"/>
      <c r="D34" s="9" t="s">
        <v>39</v>
      </c>
      <c r="E34" s="8" t="s">
        <v>40</v>
      </c>
      <c r="F34" s="8"/>
      <c r="G34" s="30"/>
      <c r="H34" s="55">
        <v>3</v>
      </c>
      <c r="I34" s="52"/>
      <c r="J34" s="52"/>
      <c r="K34" s="267"/>
      <c r="L34" s="267"/>
      <c r="M34" s="267"/>
      <c r="N34" s="36"/>
      <c r="O34" s="3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ht="17.25" customHeight="1" outlineLevel="1" x14ac:dyDescent="0.3">
      <c r="A35" s="13"/>
      <c r="B35" s="13"/>
      <c r="C35" s="13"/>
      <c r="D35" s="9" t="s">
        <v>41</v>
      </c>
      <c r="E35" s="8" t="s">
        <v>40</v>
      </c>
      <c r="F35" s="8"/>
      <c r="G35" s="30"/>
      <c r="H35" s="55">
        <v>1</v>
      </c>
      <c r="I35" s="42"/>
      <c r="J35" s="42"/>
      <c r="K35" s="332"/>
      <c r="L35" s="332"/>
      <c r="M35" s="332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15.75" customHeight="1" outlineLevel="1" x14ac:dyDescent="0.3">
      <c r="A36" s="19"/>
      <c r="B36" s="19"/>
      <c r="C36" s="19"/>
      <c r="D36" s="56"/>
      <c r="E36" s="8"/>
      <c r="F36" s="8"/>
      <c r="G36" s="8"/>
      <c r="H36" s="8"/>
      <c r="I36" s="8"/>
      <c r="J36" s="8"/>
      <c r="K36" s="325"/>
      <c r="L36" s="325"/>
      <c r="M36" s="325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ht="18" customHeight="1" outlineLevel="1" x14ac:dyDescent="0.3">
      <c r="A37" s="19"/>
      <c r="B37" s="19"/>
      <c r="C37" s="19"/>
      <c r="D37" s="57" t="s">
        <v>42</v>
      </c>
      <c r="E37" s="58"/>
      <c r="F37" s="59"/>
      <c r="G37" s="60"/>
      <c r="H37" s="58"/>
      <c r="I37" s="58"/>
      <c r="J37" s="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ht="15.75" customHeight="1" outlineLevel="1" x14ac:dyDescent="0.3">
      <c r="A38" s="13"/>
      <c r="B38" s="13"/>
      <c r="C38" s="13"/>
      <c r="D38" s="9" t="s">
        <v>43</v>
      </c>
      <c r="E38" s="39" t="s">
        <v>36</v>
      </c>
      <c r="F38" s="40"/>
      <c r="G38" s="40"/>
      <c r="H38" s="61">
        <v>120</v>
      </c>
      <c r="I38" s="7"/>
      <c r="J38" s="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ht="15.75" customHeight="1" outlineLevel="1" x14ac:dyDescent="0.3">
      <c r="A39" s="13"/>
      <c r="B39" s="13"/>
      <c r="C39" s="13"/>
      <c r="D39" s="9" t="s">
        <v>44</v>
      </c>
      <c r="E39" s="39" t="s">
        <v>19</v>
      </c>
      <c r="F39" s="40"/>
      <c r="G39" s="40"/>
      <c r="H39" s="61">
        <v>5</v>
      </c>
      <c r="I39" s="7"/>
      <c r="J39" s="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ht="15.75" customHeight="1" outlineLevel="1" x14ac:dyDescent="0.3">
      <c r="A40" s="13"/>
      <c r="B40" s="13"/>
      <c r="C40" s="13"/>
      <c r="D40" s="9" t="s">
        <v>45</v>
      </c>
      <c r="E40" s="39" t="s">
        <v>36</v>
      </c>
      <c r="F40" s="40"/>
      <c r="G40" s="40"/>
      <c r="H40" s="61">
        <v>95</v>
      </c>
      <c r="I40" s="7"/>
      <c r="J40" s="7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ht="15.75" customHeight="1" outlineLevel="1" x14ac:dyDescent="0.3">
      <c r="A41" s="13"/>
      <c r="B41" s="13"/>
      <c r="C41" s="13"/>
      <c r="D41" s="19" t="s">
        <v>46</v>
      </c>
      <c r="E41" s="8" t="s">
        <v>27</v>
      </c>
      <c r="F41" s="8"/>
      <c r="G41" s="30"/>
      <c r="H41" s="47">
        <v>0.45</v>
      </c>
      <c r="I41" s="7"/>
      <c r="J41" s="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ht="15.75" customHeight="1" outlineLevel="1" x14ac:dyDescent="0.3">
      <c r="A42" s="13"/>
      <c r="B42" s="13"/>
      <c r="C42" s="13"/>
      <c r="D42" s="19"/>
      <c r="E42" s="8"/>
      <c r="F42" s="8"/>
      <c r="G42" s="30"/>
      <c r="H42" s="47"/>
      <c r="I42" s="7"/>
      <c r="J42" s="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ht="18" customHeight="1" outlineLevel="1" x14ac:dyDescent="0.3">
      <c r="A43" s="19"/>
      <c r="B43" s="19"/>
      <c r="C43" s="19"/>
      <c r="D43" s="57" t="s">
        <v>47</v>
      </c>
      <c r="E43" s="58"/>
      <c r="F43" s="58"/>
      <c r="G43" s="60"/>
      <c r="H43" s="58"/>
      <c r="I43" s="58"/>
      <c r="J43" s="8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ht="15.75" customHeight="1" outlineLevel="1" x14ac:dyDescent="0.3">
      <c r="A44" s="13"/>
      <c r="B44" s="13"/>
      <c r="C44" s="13"/>
      <c r="D44" s="62" t="s">
        <v>48</v>
      </c>
      <c r="E44" s="63"/>
      <c r="F44" s="64"/>
      <c r="G44" s="65"/>
      <c r="H44" s="66"/>
      <c r="I44" s="64"/>
      <c r="J44" s="6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ht="15.75" customHeight="1" outlineLevel="1" x14ac:dyDescent="0.3">
      <c r="A45" s="13"/>
      <c r="B45" s="13"/>
      <c r="C45" s="13"/>
      <c r="D45" s="6" t="s">
        <v>49</v>
      </c>
      <c r="E45" s="7" t="s">
        <v>50</v>
      </c>
      <c r="F45" s="67"/>
      <c r="G45" s="40"/>
      <c r="H45" s="42"/>
      <c r="I45" s="67">
        <v>380</v>
      </c>
      <c r="J45" s="6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ht="15.75" customHeight="1" outlineLevel="1" x14ac:dyDescent="0.3">
      <c r="A46" s="13"/>
      <c r="B46" s="13"/>
      <c r="C46" s="13"/>
      <c r="D46" s="6" t="s">
        <v>51</v>
      </c>
      <c r="E46" s="7" t="s">
        <v>50</v>
      </c>
      <c r="F46" s="67"/>
      <c r="G46" s="40"/>
      <c r="H46" s="42"/>
      <c r="I46" s="67">
        <v>75</v>
      </c>
      <c r="J46" s="6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ht="15.75" customHeight="1" outlineLevel="1" x14ac:dyDescent="0.3">
      <c r="A47" s="13"/>
      <c r="B47" s="13"/>
      <c r="C47" s="13"/>
      <c r="D47" s="6" t="s">
        <v>52</v>
      </c>
      <c r="E47" s="7" t="s">
        <v>50</v>
      </c>
      <c r="F47" s="67"/>
      <c r="G47" s="40"/>
      <c r="H47" s="42"/>
      <c r="I47" s="67">
        <v>4500</v>
      </c>
      <c r="J47" s="6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ht="15.75" customHeight="1" outlineLevel="1" x14ac:dyDescent="0.3">
      <c r="A48" s="13"/>
      <c r="B48" s="13"/>
      <c r="C48" s="13"/>
      <c r="D48" s="6" t="s">
        <v>53</v>
      </c>
      <c r="E48" s="7" t="s">
        <v>50</v>
      </c>
      <c r="F48" s="68"/>
      <c r="G48" s="40"/>
      <c r="H48" s="42"/>
      <c r="I48" s="68">
        <v>1500</v>
      </c>
      <c r="J48" s="68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ht="15.75" customHeight="1" outlineLevel="1" x14ac:dyDescent="0.3">
      <c r="A49" s="13"/>
      <c r="B49" s="13"/>
      <c r="C49" s="13"/>
      <c r="D49" s="6" t="s">
        <v>54</v>
      </c>
      <c r="E49" s="7" t="s">
        <v>50</v>
      </c>
      <c r="F49" s="67"/>
      <c r="G49" s="40"/>
      <c r="H49" s="42"/>
      <c r="I49" s="67">
        <v>234</v>
      </c>
      <c r="J49" s="6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ht="15.75" customHeight="1" outlineLevel="1" x14ac:dyDescent="0.3">
      <c r="A50" s="13"/>
      <c r="B50" s="13"/>
      <c r="C50" s="13"/>
      <c r="D50" s="62" t="s">
        <v>55</v>
      </c>
      <c r="E50" s="63"/>
      <c r="F50" s="64"/>
      <c r="G50" s="65"/>
      <c r="H50" s="66"/>
      <c r="I50" s="64"/>
      <c r="J50" s="64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ht="15.75" customHeight="1" outlineLevel="1" x14ac:dyDescent="0.3">
      <c r="A51" s="13"/>
      <c r="B51" s="13"/>
      <c r="C51" s="13"/>
      <c r="D51" s="6" t="s">
        <v>56</v>
      </c>
      <c r="E51" s="7" t="s">
        <v>36</v>
      </c>
      <c r="F51" s="69"/>
      <c r="G51" s="40"/>
      <c r="H51" s="70"/>
      <c r="I51" s="69">
        <v>0.17</v>
      </c>
      <c r="J51" s="6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ht="15.75" customHeight="1" outlineLevel="1" x14ac:dyDescent="0.3">
      <c r="A52" s="13"/>
      <c r="B52" s="13"/>
      <c r="C52" s="13"/>
      <c r="D52" s="6" t="s">
        <v>57</v>
      </c>
      <c r="E52" s="7" t="s">
        <v>36</v>
      </c>
      <c r="F52" s="69"/>
      <c r="G52" s="40"/>
      <c r="H52" s="70"/>
      <c r="I52" s="69">
        <v>0.01</v>
      </c>
      <c r="J52" s="6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ht="15.75" customHeight="1" outlineLevel="1" x14ac:dyDescent="0.3">
      <c r="A53" s="13"/>
      <c r="B53" s="13"/>
      <c r="C53" s="13"/>
      <c r="D53" s="6" t="s">
        <v>52</v>
      </c>
      <c r="E53" s="7" t="s">
        <v>36</v>
      </c>
      <c r="F53" s="69"/>
      <c r="G53" s="40"/>
      <c r="H53" s="70"/>
      <c r="I53" s="69">
        <v>7.0000000000000001E-3</v>
      </c>
      <c r="J53" s="6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ht="15.75" customHeight="1" outlineLevel="1" x14ac:dyDescent="0.3">
      <c r="A54" s="13"/>
      <c r="B54" s="13"/>
      <c r="C54" s="13"/>
      <c r="D54" s="6" t="s">
        <v>58</v>
      </c>
      <c r="E54" s="7" t="s">
        <v>36</v>
      </c>
      <c r="F54" s="69"/>
      <c r="G54" s="40"/>
      <c r="H54" s="70"/>
      <c r="I54" s="69">
        <v>8.0000000000000002E-3</v>
      </c>
      <c r="J54" s="6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ht="15.75" customHeight="1" outlineLevel="1" x14ac:dyDescent="0.3">
      <c r="A55" s="13"/>
      <c r="B55" s="13"/>
      <c r="C55" s="13"/>
      <c r="D55" s="6" t="s">
        <v>59</v>
      </c>
      <c r="E55" s="7" t="s">
        <v>36</v>
      </c>
      <c r="F55" s="69"/>
      <c r="G55" s="40"/>
      <c r="H55" s="70"/>
      <c r="I55" s="69">
        <v>5.0000000000000001E-3</v>
      </c>
      <c r="J55" s="6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ht="15.75" customHeight="1" outlineLevel="1" x14ac:dyDescent="0.3">
      <c r="A56" s="13"/>
      <c r="B56" s="13"/>
      <c r="C56" s="13"/>
      <c r="D56" s="6" t="s">
        <v>60</v>
      </c>
      <c r="E56" s="7" t="s">
        <v>36</v>
      </c>
      <c r="F56" s="69"/>
      <c r="G56" s="40"/>
      <c r="H56" s="70"/>
      <c r="I56" s="69">
        <v>0.8</v>
      </c>
      <c r="J56" s="6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ht="15.75" customHeight="1" outlineLevel="1" x14ac:dyDescent="0.3">
      <c r="A57" s="13"/>
      <c r="B57" s="13"/>
      <c r="C57" s="13"/>
      <c r="D57" s="6"/>
      <c r="E57" s="7"/>
      <c r="F57" s="69"/>
      <c r="G57" s="40"/>
      <c r="H57" s="70"/>
      <c r="I57" s="69"/>
      <c r="J57" s="6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ht="18" customHeight="1" outlineLevel="1" x14ac:dyDescent="0.3">
      <c r="A58" s="19"/>
      <c r="B58" s="19"/>
      <c r="C58" s="19"/>
      <c r="D58" s="57" t="s">
        <v>61</v>
      </c>
      <c r="E58" s="71"/>
      <c r="F58" s="72"/>
      <c r="G58" s="72"/>
      <c r="H58" s="73"/>
      <c r="I58" s="75"/>
      <c r="J58" s="7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ht="15.75" customHeight="1" outlineLevel="1" x14ac:dyDescent="0.3">
      <c r="A59" s="13"/>
      <c r="B59" s="13"/>
      <c r="C59" s="13"/>
      <c r="D59" s="9" t="s">
        <v>62</v>
      </c>
      <c r="E59" s="39" t="s">
        <v>63</v>
      </c>
      <c r="F59" s="37" t="s">
        <v>380</v>
      </c>
      <c r="G59" s="40"/>
      <c r="H59" s="70"/>
      <c r="I59" s="78">
        <v>20</v>
      </c>
      <c r="J59" s="78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ht="15.75" customHeight="1" outlineLevel="1" x14ac:dyDescent="0.3">
      <c r="A60" s="13"/>
      <c r="B60" s="13"/>
      <c r="C60" s="13"/>
      <c r="D60" s="9" t="s">
        <v>64</v>
      </c>
      <c r="E60" s="39" t="s">
        <v>63</v>
      </c>
      <c r="F60" s="37" t="s">
        <v>380</v>
      </c>
      <c r="G60" s="40"/>
      <c r="H60" s="70"/>
      <c r="I60" s="78">
        <v>5</v>
      </c>
      <c r="J60" s="78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ht="15.75" customHeight="1" outlineLevel="1" x14ac:dyDescent="0.3">
      <c r="A61" s="13"/>
      <c r="B61" s="13"/>
      <c r="C61" s="13"/>
      <c r="D61" s="9"/>
      <c r="E61" s="39"/>
      <c r="F61" s="40"/>
      <c r="G61" s="40"/>
      <c r="H61" s="46"/>
      <c r="I61" s="46"/>
      <c r="J61" s="4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ht="18" customHeight="1" outlineLevel="1" x14ac:dyDescent="0.3">
      <c r="A62" s="19"/>
      <c r="B62" s="19"/>
      <c r="C62" s="19"/>
      <c r="D62" s="57" t="s">
        <v>65</v>
      </c>
      <c r="E62" s="79"/>
      <c r="F62" s="79"/>
      <c r="G62" s="80"/>
      <c r="H62" s="79"/>
      <c r="I62" s="81"/>
      <c r="J62" s="8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ht="15.75" customHeight="1" outlineLevel="1" x14ac:dyDescent="0.3">
      <c r="A63" s="13"/>
      <c r="B63" s="13"/>
      <c r="C63" s="13"/>
      <c r="D63" s="9" t="s">
        <v>66</v>
      </c>
      <c r="E63" s="39" t="s">
        <v>63</v>
      </c>
      <c r="F63" s="40"/>
      <c r="G63" s="40"/>
      <c r="H63" s="61"/>
      <c r="I63" s="61">
        <v>4500000</v>
      </c>
      <c r="J63" s="61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ht="15.75" customHeight="1" outlineLevel="1" x14ac:dyDescent="0.3">
      <c r="A64" s="13"/>
      <c r="B64" s="13"/>
      <c r="C64" s="13"/>
      <c r="D64" s="9" t="s">
        <v>67</v>
      </c>
      <c r="E64" s="39" t="s">
        <v>63</v>
      </c>
      <c r="F64" s="83"/>
      <c r="G64" s="40"/>
      <c r="H64" s="61"/>
      <c r="I64" s="61">
        <v>4000000</v>
      </c>
      <c r="J64" s="61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ht="15.75" customHeight="1" outlineLevel="1" x14ac:dyDescent="0.3">
      <c r="A65" s="13"/>
      <c r="B65" s="13"/>
      <c r="C65" s="13"/>
      <c r="D65" s="9" t="s">
        <v>68</v>
      </c>
      <c r="E65" s="8" t="s">
        <v>63</v>
      </c>
      <c r="F65" s="40"/>
      <c r="G65" s="40"/>
      <c r="H65" s="61"/>
      <c r="I65" s="61">
        <v>8000000</v>
      </c>
      <c r="J65" s="61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ht="15.75" customHeight="1" outlineLevel="1" x14ac:dyDescent="0.3">
      <c r="A66" s="13"/>
      <c r="B66" s="13"/>
      <c r="C66" s="13"/>
      <c r="D66" s="9"/>
      <c r="E66" s="39"/>
      <c r="F66" s="40"/>
      <c r="G66" s="40"/>
      <c r="H66" s="61"/>
      <c r="I66" s="7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ht="18" customHeight="1" outlineLevel="1" x14ac:dyDescent="0.3">
      <c r="A67" s="19"/>
      <c r="B67" s="20"/>
      <c r="C67" s="20"/>
      <c r="D67" s="21" t="s">
        <v>69</v>
      </c>
      <c r="E67" s="22"/>
      <c r="F67" s="85"/>
      <c r="G67" s="22"/>
      <c r="H67" s="22"/>
      <c r="I67" s="22"/>
      <c r="J67" s="8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ht="15.75" customHeight="1" outlineLevel="1" x14ac:dyDescent="0.3">
      <c r="A68" s="13"/>
      <c r="B68" s="13"/>
      <c r="C68" s="13"/>
      <c r="D68" s="56" t="str">
        <f t="shared" ref="D68:D76" si="11">D77</f>
        <v>Процессное оборудование</v>
      </c>
      <c r="E68" s="39"/>
      <c r="F68" s="39"/>
      <c r="G68" s="87"/>
      <c r="H68" s="39"/>
      <c r="I68" s="42"/>
      <c r="J68" s="42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</row>
    <row r="69" spans="1:50" ht="15.75" customHeight="1" outlineLevel="2" x14ac:dyDescent="0.3">
      <c r="A69" s="13"/>
      <c r="B69" s="13"/>
      <c r="C69" s="13"/>
      <c r="D69" s="19" t="str">
        <f t="shared" si="11"/>
        <v xml:space="preserve">  Приемка сырья  </v>
      </c>
      <c r="E69" s="8" t="s">
        <v>27</v>
      </c>
      <c r="F69" s="8"/>
      <c r="G69" s="43">
        <f t="shared" ref="G69:G72" si="12">SUM(K69:AU69)</f>
        <v>1</v>
      </c>
      <c r="H69" s="88">
        <v>1</v>
      </c>
      <c r="I69" s="7"/>
      <c r="J69" s="7"/>
      <c r="K69" s="88">
        <v>0.5</v>
      </c>
      <c r="L69" s="88">
        <v>0.5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Z69" s="88">
        <v>0</v>
      </c>
      <c r="AA69" s="88">
        <v>0</v>
      </c>
      <c r="AB69" s="88">
        <v>0</v>
      </c>
      <c r="AC69" s="88">
        <v>0</v>
      </c>
      <c r="AD69" s="88">
        <v>0</v>
      </c>
      <c r="AE69" s="88">
        <v>0</v>
      </c>
      <c r="AF69" s="88">
        <v>0</v>
      </c>
      <c r="AG69" s="88">
        <v>0</v>
      </c>
      <c r="AH69" s="88">
        <v>0</v>
      </c>
      <c r="AI69" s="88">
        <v>0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0</v>
      </c>
      <c r="AR69" s="88">
        <v>0</v>
      </c>
      <c r="AS69" s="88">
        <v>0</v>
      </c>
      <c r="AT69" s="88">
        <v>0</v>
      </c>
      <c r="AU69" s="89"/>
      <c r="AV69" s="89"/>
      <c r="AW69" s="89"/>
      <c r="AX69" s="89"/>
    </row>
    <row r="70" spans="1:50" ht="15.75" customHeight="1" outlineLevel="2" x14ac:dyDescent="0.3">
      <c r="A70" s="13"/>
      <c r="B70" s="13"/>
      <c r="C70" s="13"/>
      <c r="D70" s="19" t="str">
        <f t="shared" si="11"/>
        <v xml:space="preserve">  Миксинг </v>
      </c>
      <c r="E70" s="8" t="s">
        <v>27</v>
      </c>
      <c r="F70" s="8"/>
      <c r="G70" s="43">
        <f t="shared" si="12"/>
        <v>1</v>
      </c>
      <c r="H70" s="88">
        <v>1</v>
      </c>
      <c r="I70" s="7"/>
      <c r="J70" s="7"/>
      <c r="K70" s="88">
        <v>0.5</v>
      </c>
      <c r="L70" s="88">
        <v>0.5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0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v>0</v>
      </c>
      <c r="AI70" s="88">
        <v>0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</v>
      </c>
      <c r="AT70" s="88">
        <v>0</v>
      </c>
      <c r="AU70" s="89"/>
      <c r="AV70" s="89"/>
      <c r="AW70" s="89"/>
      <c r="AX70" s="89"/>
    </row>
    <row r="71" spans="1:50" ht="15.75" customHeight="1" outlineLevel="2" x14ac:dyDescent="0.3">
      <c r="A71" s="13"/>
      <c r="B71" s="13"/>
      <c r="C71" s="13"/>
      <c r="D71" s="19" t="str">
        <f t="shared" si="11"/>
        <v xml:space="preserve">  Декантация и деактивация</v>
      </c>
      <c r="E71" s="8" t="s">
        <v>27</v>
      </c>
      <c r="F71" s="8"/>
      <c r="G71" s="43">
        <f t="shared" si="12"/>
        <v>1</v>
      </c>
      <c r="H71" s="88">
        <v>1</v>
      </c>
      <c r="I71" s="7"/>
      <c r="J71" s="7"/>
      <c r="K71" s="88">
        <v>0.5</v>
      </c>
      <c r="L71" s="88">
        <v>0.5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0</v>
      </c>
      <c r="AP71" s="88">
        <v>0</v>
      </c>
      <c r="AQ71" s="88">
        <v>0</v>
      </c>
      <c r="AR71" s="88">
        <v>0</v>
      </c>
      <c r="AS71" s="88">
        <v>0</v>
      </c>
      <c r="AT71" s="88">
        <v>0</v>
      </c>
      <c r="AU71" s="89"/>
      <c r="AV71" s="89"/>
      <c r="AW71" s="89"/>
      <c r="AX71" s="89"/>
    </row>
    <row r="72" spans="1:50" ht="15.75" customHeight="1" outlineLevel="2" x14ac:dyDescent="0.3">
      <c r="A72" s="13"/>
      <c r="B72" s="13"/>
      <c r="C72" s="13"/>
      <c r="D72" s="19" t="str">
        <f t="shared" si="11"/>
        <v xml:space="preserve">  Гомогенизация и стерилизация</v>
      </c>
      <c r="E72" s="8" t="s">
        <v>27</v>
      </c>
      <c r="F72" s="8"/>
      <c r="G72" s="315">
        <f t="shared" si="12"/>
        <v>1</v>
      </c>
      <c r="H72" s="88">
        <v>1</v>
      </c>
      <c r="I72" s="7"/>
      <c r="J72" s="7"/>
      <c r="K72" s="88">
        <v>0.5</v>
      </c>
      <c r="L72" s="88">
        <v>0.5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  <c r="X72" s="88">
        <v>0</v>
      </c>
      <c r="Y72" s="88">
        <v>0</v>
      </c>
      <c r="Z72" s="88">
        <v>0</v>
      </c>
      <c r="AA72" s="88">
        <v>0</v>
      </c>
      <c r="AB72" s="88">
        <v>0</v>
      </c>
      <c r="AC72" s="88">
        <v>0</v>
      </c>
      <c r="AD72" s="88">
        <v>0</v>
      </c>
      <c r="AE72" s="88">
        <v>0</v>
      </c>
      <c r="AF72" s="88">
        <v>0</v>
      </c>
      <c r="AG72" s="88">
        <v>0</v>
      </c>
      <c r="AH72" s="88">
        <v>0</v>
      </c>
      <c r="AI72" s="88">
        <v>0</v>
      </c>
      <c r="AJ72" s="88">
        <v>0</v>
      </c>
      <c r="AK72" s="88">
        <v>0</v>
      </c>
      <c r="AL72" s="88">
        <v>0</v>
      </c>
      <c r="AM72" s="88">
        <v>0</v>
      </c>
      <c r="AN72" s="88">
        <v>0</v>
      </c>
      <c r="AO72" s="88">
        <v>0</v>
      </c>
      <c r="AP72" s="88">
        <v>0</v>
      </c>
      <c r="AQ72" s="88">
        <v>0</v>
      </c>
      <c r="AR72" s="88">
        <v>0</v>
      </c>
      <c r="AS72" s="88">
        <v>0</v>
      </c>
      <c r="AT72" s="88">
        <v>0</v>
      </c>
      <c r="AU72" s="89"/>
      <c r="AV72" s="89"/>
      <c r="AW72" s="89"/>
      <c r="AX72" s="89"/>
    </row>
    <row r="73" spans="1:50" ht="15.75" customHeight="1" outlineLevel="1" x14ac:dyDescent="0.3">
      <c r="A73" s="13"/>
      <c r="B73" s="13"/>
      <c r="C73" s="13"/>
      <c r="D73" s="56" t="str">
        <f t="shared" si="11"/>
        <v>Упаковочная линия</v>
      </c>
      <c r="E73" s="39"/>
      <c r="F73" s="39"/>
      <c r="G73" s="264"/>
      <c r="H73" s="88"/>
      <c r="I73" s="7"/>
      <c r="J73" s="7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9"/>
      <c r="AV73" s="89"/>
      <c r="AW73" s="89"/>
      <c r="AX73" s="89"/>
    </row>
    <row r="74" spans="1:50" ht="15.75" customHeight="1" outlineLevel="2" x14ac:dyDescent="0.3">
      <c r="A74" s="13"/>
      <c r="B74" s="13"/>
      <c r="C74" s="13"/>
      <c r="D74" s="19" t="str">
        <f t="shared" si="11"/>
        <v xml:space="preserve">  Фасовка</v>
      </c>
      <c r="E74" s="8" t="s">
        <v>27</v>
      </c>
      <c r="F74" s="8"/>
      <c r="G74" s="315">
        <f t="shared" ref="G74:G76" si="13">SUM(K74:AU74)</f>
        <v>1</v>
      </c>
      <c r="H74" s="88">
        <v>1</v>
      </c>
      <c r="I74" s="7"/>
      <c r="J74" s="7"/>
      <c r="K74" s="88">
        <v>0.5</v>
      </c>
      <c r="L74" s="88">
        <v>0.5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  <c r="X74" s="88">
        <v>0</v>
      </c>
      <c r="Y74" s="88">
        <v>0</v>
      </c>
      <c r="Z74" s="88">
        <v>0</v>
      </c>
      <c r="AA74" s="88">
        <v>0</v>
      </c>
      <c r="AB74" s="88">
        <v>0</v>
      </c>
      <c r="AC74" s="88">
        <v>0</v>
      </c>
      <c r="AD74" s="88">
        <v>0</v>
      </c>
      <c r="AE74" s="88">
        <v>0</v>
      </c>
      <c r="AF74" s="88">
        <v>0</v>
      </c>
      <c r="AG74" s="88">
        <v>0</v>
      </c>
      <c r="AH74" s="88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0</v>
      </c>
      <c r="AO74" s="88">
        <v>0</v>
      </c>
      <c r="AP74" s="88">
        <v>0</v>
      </c>
      <c r="AQ74" s="88">
        <v>0</v>
      </c>
      <c r="AR74" s="88">
        <v>0</v>
      </c>
      <c r="AS74" s="88">
        <v>0</v>
      </c>
      <c r="AT74" s="88">
        <v>0</v>
      </c>
      <c r="AU74" s="89"/>
      <c r="AV74" s="91"/>
      <c r="AW74" s="91"/>
      <c r="AX74" s="91"/>
    </row>
    <row r="75" spans="1:50" ht="15.75" customHeight="1" outlineLevel="2" x14ac:dyDescent="0.3">
      <c r="A75" s="13"/>
      <c r="B75" s="13"/>
      <c r="C75" s="13"/>
      <c r="D75" s="19" t="str">
        <f t="shared" si="11"/>
        <v xml:space="preserve">  Группировка</v>
      </c>
      <c r="E75" s="8" t="s">
        <v>27</v>
      </c>
      <c r="F75" s="8"/>
      <c r="G75" s="315">
        <f t="shared" si="13"/>
        <v>1</v>
      </c>
      <c r="H75" s="88">
        <v>1</v>
      </c>
      <c r="I75" s="7"/>
      <c r="J75" s="7"/>
      <c r="K75" s="88">
        <v>0.5</v>
      </c>
      <c r="L75" s="88">
        <v>0.5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0</v>
      </c>
      <c r="AC75" s="88">
        <v>0</v>
      </c>
      <c r="AD75" s="88">
        <v>0</v>
      </c>
      <c r="AE75" s="88">
        <v>0</v>
      </c>
      <c r="AF75" s="88">
        <v>0</v>
      </c>
      <c r="AG75" s="88">
        <v>0</v>
      </c>
      <c r="AH75" s="88">
        <v>0</v>
      </c>
      <c r="AI75" s="88">
        <v>0</v>
      </c>
      <c r="AJ75" s="88">
        <v>0</v>
      </c>
      <c r="AK75" s="88">
        <v>0</v>
      </c>
      <c r="AL75" s="88">
        <v>0</v>
      </c>
      <c r="AM75" s="88">
        <v>0</v>
      </c>
      <c r="AN75" s="88">
        <v>0</v>
      </c>
      <c r="AO75" s="88">
        <v>0</v>
      </c>
      <c r="AP75" s="88">
        <v>0</v>
      </c>
      <c r="AQ75" s="88">
        <v>0</v>
      </c>
      <c r="AR75" s="88">
        <v>0</v>
      </c>
      <c r="AS75" s="88">
        <v>0</v>
      </c>
      <c r="AT75" s="88">
        <v>0</v>
      </c>
      <c r="AU75" s="89"/>
      <c r="AV75" s="91"/>
      <c r="AW75" s="91"/>
      <c r="AX75" s="91"/>
    </row>
    <row r="76" spans="1:50" s="397" customFormat="1" ht="15.75" customHeight="1" outlineLevel="1" x14ac:dyDescent="0.3">
      <c r="A76" s="13"/>
      <c r="B76" s="13"/>
      <c r="C76" s="13"/>
      <c r="D76" s="398" t="str">
        <f t="shared" si="11"/>
        <v xml:space="preserve">Работа над технологией </v>
      </c>
      <c r="E76" s="399" t="s">
        <v>27</v>
      </c>
      <c r="F76" s="399"/>
      <c r="G76" s="400">
        <f t="shared" si="13"/>
        <v>1</v>
      </c>
      <c r="H76" s="401">
        <v>1</v>
      </c>
      <c r="I76" s="402"/>
      <c r="J76" s="402"/>
      <c r="K76" s="401">
        <v>0.5</v>
      </c>
      <c r="L76" s="401">
        <v>0.5</v>
      </c>
      <c r="M76" s="401">
        <v>0</v>
      </c>
      <c r="N76" s="401">
        <v>0</v>
      </c>
      <c r="O76" s="401">
        <v>0</v>
      </c>
      <c r="P76" s="401">
        <v>0</v>
      </c>
      <c r="Q76" s="401">
        <v>0</v>
      </c>
      <c r="R76" s="401">
        <v>0</v>
      </c>
      <c r="S76" s="401">
        <v>0</v>
      </c>
      <c r="T76" s="401">
        <v>0</v>
      </c>
      <c r="U76" s="401">
        <v>0</v>
      </c>
      <c r="V76" s="401">
        <v>0</v>
      </c>
      <c r="W76" s="401">
        <v>0</v>
      </c>
      <c r="X76" s="401">
        <v>0</v>
      </c>
      <c r="Y76" s="401">
        <v>0</v>
      </c>
      <c r="Z76" s="401">
        <v>0</v>
      </c>
      <c r="AA76" s="401">
        <v>0</v>
      </c>
      <c r="AB76" s="401">
        <v>0</v>
      </c>
      <c r="AC76" s="401">
        <v>0</v>
      </c>
      <c r="AD76" s="401">
        <v>0</v>
      </c>
      <c r="AE76" s="401">
        <v>0</v>
      </c>
      <c r="AF76" s="401">
        <v>0</v>
      </c>
      <c r="AG76" s="401">
        <v>0</v>
      </c>
      <c r="AH76" s="401">
        <v>0</v>
      </c>
      <c r="AI76" s="401">
        <v>0</v>
      </c>
      <c r="AJ76" s="401">
        <v>0</v>
      </c>
      <c r="AK76" s="401">
        <v>0</v>
      </c>
      <c r="AL76" s="401">
        <v>0</v>
      </c>
      <c r="AM76" s="401">
        <v>0</v>
      </c>
      <c r="AN76" s="401">
        <v>0</v>
      </c>
      <c r="AO76" s="401">
        <v>0</v>
      </c>
      <c r="AP76" s="401">
        <v>0</v>
      </c>
      <c r="AQ76" s="401">
        <v>0</v>
      </c>
      <c r="AR76" s="401">
        <v>0</v>
      </c>
      <c r="AS76" s="401">
        <v>0</v>
      </c>
      <c r="AT76" s="401">
        <v>0</v>
      </c>
      <c r="AU76" s="403"/>
      <c r="AV76" s="403"/>
      <c r="AW76" s="403"/>
      <c r="AX76" s="403"/>
    </row>
    <row r="77" spans="1:50" ht="15.75" customHeight="1" outlineLevel="1" x14ac:dyDescent="0.3">
      <c r="A77" s="13"/>
      <c r="B77" s="13"/>
      <c r="C77" s="13"/>
      <c r="D77" s="56" t="s">
        <v>70</v>
      </c>
      <c r="E77" s="8"/>
      <c r="F77" s="8"/>
      <c r="G77" s="264"/>
      <c r="H77" s="76"/>
      <c r="I77" s="7"/>
      <c r="J77" s="7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2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2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</row>
    <row r="78" spans="1:50" ht="15.75" customHeight="1" outlineLevel="2" x14ac:dyDescent="0.3">
      <c r="A78" s="13"/>
      <c r="B78" s="13"/>
      <c r="C78" s="13"/>
      <c r="D78" s="19" t="s">
        <v>71</v>
      </c>
      <c r="E78" s="8" t="s">
        <v>72</v>
      </c>
      <c r="F78" s="8"/>
      <c r="G78" s="266">
        <f t="shared" ref="G78:G81" si="14">SUM(K78:AU78)</f>
        <v>90000000</v>
      </c>
      <c r="H78" s="103">
        <v>90000000</v>
      </c>
      <c r="I78" s="7"/>
      <c r="J78" s="7"/>
      <c r="K78" s="101">
        <f t="shared" ref="K78:L78" si="15">K69*$H78</f>
        <v>45000000</v>
      </c>
      <c r="L78" s="101">
        <f t="shared" si="15"/>
        <v>45000000</v>
      </c>
      <c r="M78" s="101">
        <f>M69*$H78</f>
        <v>0</v>
      </c>
      <c r="N78" s="101">
        <f>N69*$H78</f>
        <v>0</v>
      </c>
      <c r="O78" s="101">
        <f>O69*$H78</f>
        <v>0</v>
      </c>
      <c r="P78" s="266">
        <f>P69*$H78</f>
        <v>0</v>
      </c>
      <c r="Q78" s="101">
        <f t="shared" ref="Q78:AT78" si="16">Q69*$H78</f>
        <v>0</v>
      </c>
      <c r="R78" s="101">
        <f t="shared" si="16"/>
        <v>0</v>
      </c>
      <c r="S78" s="101">
        <f t="shared" si="16"/>
        <v>0</v>
      </c>
      <c r="T78" s="101">
        <f t="shared" si="16"/>
        <v>0</v>
      </c>
      <c r="U78" s="101">
        <f t="shared" si="16"/>
        <v>0</v>
      </c>
      <c r="V78" s="102">
        <f t="shared" si="16"/>
        <v>0</v>
      </c>
      <c r="W78" s="101">
        <f t="shared" si="16"/>
        <v>0</v>
      </c>
      <c r="X78" s="101">
        <f t="shared" si="16"/>
        <v>0</v>
      </c>
      <c r="Y78" s="101">
        <f t="shared" si="16"/>
        <v>0</v>
      </c>
      <c r="Z78" s="101">
        <f t="shared" si="16"/>
        <v>0</v>
      </c>
      <c r="AA78" s="101">
        <f t="shared" si="16"/>
        <v>0</v>
      </c>
      <c r="AB78" s="101">
        <f t="shared" si="16"/>
        <v>0</v>
      </c>
      <c r="AC78" s="101">
        <f t="shared" si="16"/>
        <v>0</v>
      </c>
      <c r="AD78" s="101">
        <f t="shared" si="16"/>
        <v>0</v>
      </c>
      <c r="AE78" s="101">
        <f t="shared" si="16"/>
        <v>0</v>
      </c>
      <c r="AF78" s="101">
        <f t="shared" si="16"/>
        <v>0</v>
      </c>
      <c r="AG78" s="101">
        <f t="shared" si="16"/>
        <v>0</v>
      </c>
      <c r="AH78" s="102">
        <f t="shared" si="16"/>
        <v>0</v>
      </c>
      <c r="AI78" s="101">
        <f t="shared" si="16"/>
        <v>0</v>
      </c>
      <c r="AJ78" s="101">
        <f t="shared" si="16"/>
        <v>0</v>
      </c>
      <c r="AK78" s="101">
        <f t="shared" si="16"/>
        <v>0</v>
      </c>
      <c r="AL78" s="101">
        <f t="shared" si="16"/>
        <v>0</v>
      </c>
      <c r="AM78" s="101">
        <f t="shared" si="16"/>
        <v>0</v>
      </c>
      <c r="AN78" s="101">
        <f t="shared" si="16"/>
        <v>0</v>
      </c>
      <c r="AO78" s="101">
        <f t="shared" si="16"/>
        <v>0</v>
      </c>
      <c r="AP78" s="101">
        <f t="shared" si="16"/>
        <v>0</v>
      </c>
      <c r="AQ78" s="101">
        <f t="shared" si="16"/>
        <v>0</v>
      </c>
      <c r="AR78" s="101">
        <f t="shared" si="16"/>
        <v>0</v>
      </c>
      <c r="AS78" s="101">
        <f t="shared" si="16"/>
        <v>0</v>
      </c>
      <c r="AT78" s="101">
        <f t="shared" si="16"/>
        <v>0</v>
      </c>
      <c r="AU78" s="101"/>
      <c r="AV78" s="101"/>
      <c r="AW78" s="101"/>
      <c r="AX78" s="101"/>
    </row>
    <row r="79" spans="1:50" ht="15.75" customHeight="1" outlineLevel="2" x14ac:dyDescent="0.3">
      <c r="A79" s="13"/>
      <c r="B79" s="13"/>
      <c r="C79" s="13"/>
      <c r="D79" s="19" t="s">
        <v>75</v>
      </c>
      <c r="E79" s="8" t="s">
        <v>72</v>
      </c>
      <c r="F79" s="8"/>
      <c r="G79" s="266">
        <f t="shared" si="14"/>
        <v>70000000</v>
      </c>
      <c r="H79" s="103">
        <v>70000000</v>
      </c>
      <c r="I79" s="7"/>
      <c r="J79" s="7"/>
      <c r="K79" s="101">
        <f t="shared" ref="K79:M79" si="17">K70*$H79</f>
        <v>35000000</v>
      </c>
      <c r="L79" s="101">
        <f t="shared" si="17"/>
        <v>35000000</v>
      </c>
      <c r="M79" s="101">
        <f t="shared" si="17"/>
        <v>0</v>
      </c>
      <c r="N79" s="101">
        <f>N70*$H79</f>
        <v>0</v>
      </c>
      <c r="O79" s="101">
        <f>O70*$H79</f>
        <v>0</v>
      </c>
      <c r="P79" s="101">
        <f t="shared" ref="P79:AT79" si="18">P70*$H79</f>
        <v>0</v>
      </c>
      <c r="Q79" s="101">
        <f t="shared" si="18"/>
        <v>0</v>
      </c>
      <c r="R79" s="101">
        <f t="shared" si="18"/>
        <v>0</v>
      </c>
      <c r="S79" s="101">
        <f t="shared" si="18"/>
        <v>0</v>
      </c>
      <c r="T79" s="101">
        <f t="shared" si="18"/>
        <v>0</v>
      </c>
      <c r="U79" s="101">
        <f t="shared" si="18"/>
        <v>0</v>
      </c>
      <c r="V79" s="102">
        <f t="shared" si="18"/>
        <v>0</v>
      </c>
      <c r="W79" s="101">
        <f t="shared" si="18"/>
        <v>0</v>
      </c>
      <c r="X79" s="101">
        <f t="shared" si="18"/>
        <v>0</v>
      </c>
      <c r="Y79" s="101">
        <f t="shared" si="18"/>
        <v>0</v>
      </c>
      <c r="Z79" s="101">
        <f t="shared" si="18"/>
        <v>0</v>
      </c>
      <c r="AA79" s="101">
        <f t="shared" si="18"/>
        <v>0</v>
      </c>
      <c r="AB79" s="101">
        <f t="shared" si="18"/>
        <v>0</v>
      </c>
      <c r="AC79" s="101">
        <f t="shared" si="18"/>
        <v>0</v>
      </c>
      <c r="AD79" s="101">
        <f t="shared" si="18"/>
        <v>0</v>
      </c>
      <c r="AE79" s="101">
        <f t="shared" si="18"/>
        <v>0</v>
      </c>
      <c r="AF79" s="101">
        <f t="shared" si="18"/>
        <v>0</v>
      </c>
      <c r="AG79" s="101">
        <f t="shared" si="18"/>
        <v>0</v>
      </c>
      <c r="AH79" s="102">
        <f t="shared" si="18"/>
        <v>0</v>
      </c>
      <c r="AI79" s="101">
        <f t="shared" si="18"/>
        <v>0</v>
      </c>
      <c r="AJ79" s="101">
        <f t="shared" si="18"/>
        <v>0</v>
      </c>
      <c r="AK79" s="101">
        <f t="shared" si="18"/>
        <v>0</v>
      </c>
      <c r="AL79" s="101">
        <f t="shared" si="18"/>
        <v>0</v>
      </c>
      <c r="AM79" s="101">
        <f t="shared" si="18"/>
        <v>0</v>
      </c>
      <c r="AN79" s="101">
        <f t="shared" si="18"/>
        <v>0</v>
      </c>
      <c r="AO79" s="101">
        <f t="shared" si="18"/>
        <v>0</v>
      </c>
      <c r="AP79" s="101">
        <f t="shared" si="18"/>
        <v>0</v>
      </c>
      <c r="AQ79" s="101">
        <f t="shared" si="18"/>
        <v>0</v>
      </c>
      <c r="AR79" s="101">
        <f t="shared" si="18"/>
        <v>0</v>
      </c>
      <c r="AS79" s="101">
        <f t="shared" si="18"/>
        <v>0</v>
      </c>
      <c r="AT79" s="101">
        <f t="shared" si="18"/>
        <v>0</v>
      </c>
      <c r="AU79" s="101"/>
      <c r="AV79" s="101"/>
      <c r="AW79" s="101"/>
      <c r="AX79" s="101"/>
    </row>
    <row r="80" spans="1:50" ht="15.75" customHeight="1" outlineLevel="2" x14ac:dyDescent="0.3">
      <c r="A80" s="13"/>
      <c r="B80" s="13"/>
      <c r="C80" s="13"/>
      <c r="D80" s="19" t="s">
        <v>77</v>
      </c>
      <c r="E80" s="8" t="s">
        <v>72</v>
      </c>
      <c r="F80" s="8"/>
      <c r="G80" s="266">
        <f t="shared" si="14"/>
        <v>55000000</v>
      </c>
      <c r="H80" s="103">
        <v>55000000</v>
      </c>
      <c r="I80" s="7"/>
      <c r="J80" s="7"/>
      <c r="K80" s="266">
        <f t="shared" ref="K80:N80" si="19">K71*$H80</f>
        <v>27500000</v>
      </c>
      <c r="L80" s="266">
        <f t="shared" si="19"/>
        <v>27500000</v>
      </c>
      <c r="M80" s="266">
        <f t="shared" si="19"/>
        <v>0</v>
      </c>
      <c r="N80" s="266">
        <f t="shared" si="19"/>
        <v>0</v>
      </c>
      <c r="O80" s="266">
        <f t="shared" ref="O80" si="20">O71*$H80</f>
        <v>0</v>
      </c>
      <c r="P80" s="266">
        <f t="shared" ref="P80:AT80" si="21">P71*$H80</f>
        <v>0</v>
      </c>
      <c r="Q80" s="266">
        <f t="shared" si="21"/>
        <v>0</v>
      </c>
      <c r="R80" s="266">
        <f t="shared" si="21"/>
        <v>0</v>
      </c>
      <c r="S80" s="266">
        <f t="shared" si="21"/>
        <v>0</v>
      </c>
      <c r="T80" s="266">
        <f t="shared" si="21"/>
        <v>0</v>
      </c>
      <c r="U80" s="266">
        <f t="shared" si="21"/>
        <v>0</v>
      </c>
      <c r="V80" s="333">
        <f t="shared" si="21"/>
        <v>0</v>
      </c>
      <c r="W80" s="266">
        <f t="shared" si="21"/>
        <v>0</v>
      </c>
      <c r="X80" s="266">
        <f t="shared" si="21"/>
        <v>0</v>
      </c>
      <c r="Y80" s="266">
        <f t="shared" si="21"/>
        <v>0</v>
      </c>
      <c r="Z80" s="266">
        <f t="shared" si="21"/>
        <v>0</v>
      </c>
      <c r="AA80" s="266">
        <f t="shared" si="21"/>
        <v>0</v>
      </c>
      <c r="AB80" s="266">
        <f t="shared" si="21"/>
        <v>0</v>
      </c>
      <c r="AC80" s="266">
        <f t="shared" si="21"/>
        <v>0</v>
      </c>
      <c r="AD80" s="266">
        <f t="shared" si="21"/>
        <v>0</v>
      </c>
      <c r="AE80" s="266">
        <f t="shared" si="21"/>
        <v>0</v>
      </c>
      <c r="AF80" s="266">
        <f t="shared" si="21"/>
        <v>0</v>
      </c>
      <c r="AG80" s="266">
        <f t="shared" si="21"/>
        <v>0</v>
      </c>
      <c r="AH80" s="333">
        <f t="shared" si="21"/>
        <v>0</v>
      </c>
      <c r="AI80" s="266">
        <f t="shared" si="21"/>
        <v>0</v>
      </c>
      <c r="AJ80" s="266">
        <f t="shared" si="21"/>
        <v>0</v>
      </c>
      <c r="AK80" s="266">
        <f t="shared" si="21"/>
        <v>0</v>
      </c>
      <c r="AL80" s="266">
        <f t="shared" si="21"/>
        <v>0</v>
      </c>
      <c r="AM80" s="266">
        <f t="shared" si="21"/>
        <v>0</v>
      </c>
      <c r="AN80" s="266">
        <f t="shared" si="21"/>
        <v>0</v>
      </c>
      <c r="AO80" s="266">
        <f t="shared" si="21"/>
        <v>0</v>
      </c>
      <c r="AP80" s="266">
        <f t="shared" si="21"/>
        <v>0</v>
      </c>
      <c r="AQ80" s="266">
        <f t="shared" si="21"/>
        <v>0</v>
      </c>
      <c r="AR80" s="266">
        <f t="shared" si="21"/>
        <v>0</v>
      </c>
      <c r="AS80" s="266">
        <f t="shared" si="21"/>
        <v>0</v>
      </c>
      <c r="AT80" s="266">
        <f t="shared" si="21"/>
        <v>0</v>
      </c>
      <c r="AU80" s="101"/>
      <c r="AV80" s="101"/>
      <c r="AW80" s="101"/>
      <c r="AX80" s="101"/>
    </row>
    <row r="81" spans="1:52" ht="15.75" customHeight="1" outlineLevel="2" x14ac:dyDescent="0.3">
      <c r="A81" s="13"/>
      <c r="B81" s="13"/>
      <c r="C81" s="13"/>
      <c r="D81" s="19" t="s">
        <v>78</v>
      </c>
      <c r="E81" s="8" t="s">
        <v>72</v>
      </c>
      <c r="F81" s="8"/>
      <c r="G81" s="266">
        <f t="shared" si="14"/>
        <v>90000000</v>
      </c>
      <c r="H81" s="103">
        <v>90000000</v>
      </c>
      <c r="I81" s="7"/>
      <c r="J81" s="7"/>
      <c r="K81" s="266">
        <f t="shared" ref="K81:M81" si="22">K72*$H81</f>
        <v>45000000</v>
      </c>
      <c r="L81" s="266">
        <f t="shared" si="22"/>
        <v>45000000</v>
      </c>
      <c r="M81" s="266">
        <f t="shared" si="22"/>
        <v>0</v>
      </c>
      <c r="N81" s="266">
        <f>N72*$H81</f>
        <v>0</v>
      </c>
      <c r="O81" s="266">
        <f>O72*$H81</f>
        <v>0</v>
      </c>
      <c r="P81" s="266">
        <f>P72*$H81</f>
        <v>0</v>
      </c>
      <c r="Q81" s="266">
        <f t="shared" ref="Q81:AT81" si="23">Q72*$H81</f>
        <v>0</v>
      </c>
      <c r="R81" s="266">
        <f t="shared" si="23"/>
        <v>0</v>
      </c>
      <c r="S81" s="266">
        <f t="shared" si="23"/>
        <v>0</v>
      </c>
      <c r="T81" s="266">
        <f t="shared" si="23"/>
        <v>0</v>
      </c>
      <c r="U81" s="266">
        <f t="shared" si="23"/>
        <v>0</v>
      </c>
      <c r="V81" s="333">
        <f t="shared" si="23"/>
        <v>0</v>
      </c>
      <c r="W81" s="266">
        <f t="shared" si="23"/>
        <v>0</v>
      </c>
      <c r="X81" s="266">
        <f t="shared" si="23"/>
        <v>0</v>
      </c>
      <c r="Y81" s="266">
        <f t="shared" si="23"/>
        <v>0</v>
      </c>
      <c r="Z81" s="266">
        <f t="shared" si="23"/>
        <v>0</v>
      </c>
      <c r="AA81" s="266">
        <f t="shared" si="23"/>
        <v>0</v>
      </c>
      <c r="AB81" s="266">
        <f t="shared" si="23"/>
        <v>0</v>
      </c>
      <c r="AC81" s="266">
        <f t="shared" si="23"/>
        <v>0</v>
      </c>
      <c r="AD81" s="266">
        <f t="shared" si="23"/>
        <v>0</v>
      </c>
      <c r="AE81" s="266">
        <f t="shared" si="23"/>
        <v>0</v>
      </c>
      <c r="AF81" s="266">
        <f t="shared" si="23"/>
        <v>0</v>
      </c>
      <c r="AG81" s="266">
        <f t="shared" si="23"/>
        <v>0</v>
      </c>
      <c r="AH81" s="333">
        <f t="shared" si="23"/>
        <v>0</v>
      </c>
      <c r="AI81" s="266">
        <f t="shared" si="23"/>
        <v>0</v>
      </c>
      <c r="AJ81" s="266">
        <f t="shared" si="23"/>
        <v>0</v>
      </c>
      <c r="AK81" s="266">
        <f t="shared" si="23"/>
        <v>0</v>
      </c>
      <c r="AL81" s="266">
        <f t="shared" si="23"/>
        <v>0</v>
      </c>
      <c r="AM81" s="266">
        <f t="shared" si="23"/>
        <v>0</v>
      </c>
      <c r="AN81" s="266">
        <f t="shared" si="23"/>
        <v>0</v>
      </c>
      <c r="AO81" s="266">
        <f t="shared" si="23"/>
        <v>0</v>
      </c>
      <c r="AP81" s="266">
        <f t="shared" si="23"/>
        <v>0</v>
      </c>
      <c r="AQ81" s="266">
        <f t="shared" si="23"/>
        <v>0</v>
      </c>
      <c r="AR81" s="266">
        <f t="shared" si="23"/>
        <v>0</v>
      </c>
      <c r="AS81" s="266">
        <f t="shared" si="23"/>
        <v>0</v>
      </c>
      <c r="AT81" s="266">
        <f t="shared" si="23"/>
        <v>0</v>
      </c>
      <c r="AU81" s="101"/>
      <c r="AV81" s="101"/>
      <c r="AW81" s="101"/>
      <c r="AX81" s="101"/>
    </row>
    <row r="82" spans="1:52" ht="15.75" customHeight="1" outlineLevel="1" x14ac:dyDescent="0.3">
      <c r="A82" s="13"/>
      <c r="B82" s="13"/>
      <c r="C82" s="13"/>
      <c r="D82" s="56" t="s">
        <v>79</v>
      </c>
      <c r="E82" s="8"/>
      <c r="F82" s="8"/>
      <c r="G82" s="264"/>
      <c r="H82" s="103"/>
      <c r="I82" s="7"/>
      <c r="J82" s="7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333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333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101"/>
      <c r="AV82" s="101"/>
      <c r="AW82" s="101"/>
      <c r="AX82" s="101"/>
    </row>
    <row r="83" spans="1:52" ht="15.75" customHeight="1" outlineLevel="2" x14ac:dyDescent="0.3">
      <c r="A83" s="13"/>
      <c r="B83" s="13"/>
      <c r="C83" s="13"/>
      <c r="D83" s="19" t="s">
        <v>80</v>
      </c>
      <c r="E83" s="8" t="s">
        <v>72</v>
      </c>
      <c r="F83" s="8"/>
      <c r="G83" s="266">
        <f t="shared" ref="G83:G85" si="24">SUM(K83:AU83)</f>
        <v>70000000</v>
      </c>
      <c r="H83" s="103">
        <v>70000000</v>
      </c>
      <c r="I83" s="7"/>
      <c r="J83" s="7"/>
      <c r="K83" s="266">
        <f t="shared" ref="K83:AT83" si="25">K74*$H83</f>
        <v>35000000</v>
      </c>
      <c r="L83" s="266">
        <f t="shared" si="25"/>
        <v>35000000</v>
      </c>
      <c r="M83" s="266">
        <f t="shared" si="25"/>
        <v>0</v>
      </c>
      <c r="N83" s="266">
        <f t="shared" si="25"/>
        <v>0</v>
      </c>
      <c r="O83" s="266">
        <f t="shared" si="25"/>
        <v>0</v>
      </c>
      <c r="P83" s="266">
        <f t="shared" si="25"/>
        <v>0</v>
      </c>
      <c r="Q83" s="266">
        <f t="shared" si="25"/>
        <v>0</v>
      </c>
      <c r="R83" s="266">
        <f t="shared" si="25"/>
        <v>0</v>
      </c>
      <c r="S83" s="266">
        <f t="shared" si="25"/>
        <v>0</v>
      </c>
      <c r="T83" s="266">
        <f t="shared" si="25"/>
        <v>0</v>
      </c>
      <c r="U83" s="266">
        <f t="shared" si="25"/>
        <v>0</v>
      </c>
      <c r="V83" s="333">
        <f t="shared" si="25"/>
        <v>0</v>
      </c>
      <c r="W83" s="266">
        <f t="shared" si="25"/>
        <v>0</v>
      </c>
      <c r="X83" s="266">
        <f t="shared" si="25"/>
        <v>0</v>
      </c>
      <c r="Y83" s="266">
        <f t="shared" si="25"/>
        <v>0</v>
      </c>
      <c r="Z83" s="266">
        <f t="shared" si="25"/>
        <v>0</v>
      </c>
      <c r="AA83" s="266">
        <f t="shared" si="25"/>
        <v>0</v>
      </c>
      <c r="AB83" s="266">
        <f t="shared" si="25"/>
        <v>0</v>
      </c>
      <c r="AC83" s="266">
        <f t="shared" si="25"/>
        <v>0</v>
      </c>
      <c r="AD83" s="266">
        <f t="shared" si="25"/>
        <v>0</v>
      </c>
      <c r="AE83" s="266">
        <f t="shared" si="25"/>
        <v>0</v>
      </c>
      <c r="AF83" s="266">
        <f t="shared" si="25"/>
        <v>0</v>
      </c>
      <c r="AG83" s="266">
        <f t="shared" si="25"/>
        <v>0</v>
      </c>
      <c r="AH83" s="333">
        <f t="shared" si="25"/>
        <v>0</v>
      </c>
      <c r="AI83" s="266">
        <f t="shared" si="25"/>
        <v>0</v>
      </c>
      <c r="AJ83" s="266">
        <f t="shared" si="25"/>
        <v>0</v>
      </c>
      <c r="AK83" s="266">
        <f t="shared" si="25"/>
        <v>0</v>
      </c>
      <c r="AL83" s="266">
        <f t="shared" si="25"/>
        <v>0</v>
      </c>
      <c r="AM83" s="266">
        <f t="shared" si="25"/>
        <v>0</v>
      </c>
      <c r="AN83" s="266">
        <f t="shared" si="25"/>
        <v>0</v>
      </c>
      <c r="AO83" s="266">
        <f t="shared" si="25"/>
        <v>0</v>
      </c>
      <c r="AP83" s="266">
        <f t="shared" si="25"/>
        <v>0</v>
      </c>
      <c r="AQ83" s="266">
        <f t="shared" si="25"/>
        <v>0</v>
      </c>
      <c r="AR83" s="266">
        <f t="shared" si="25"/>
        <v>0</v>
      </c>
      <c r="AS83" s="266">
        <f t="shared" si="25"/>
        <v>0</v>
      </c>
      <c r="AT83" s="266">
        <f t="shared" si="25"/>
        <v>0</v>
      </c>
      <c r="AU83" s="101"/>
      <c r="AV83" s="101"/>
      <c r="AW83" s="101"/>
      <c r="AX83" s="101"/>
    </row>
    <row r="84" spans="1:52" ht="15.75" customHeight="1" outlineLevel="2" x14ac:dyDescent="0.3">
      <c r="A84" s="13"/>
      <c r="B84" s="13"/>
      <c r="C84" s="13"/>
      <c r="D84" s="19" t="s">
        <v>83</v>
      </c>
      <c r="E84" s="8" t="s">
        <v>72</v>
      </c>
      <c r="F84" s="8"/>
      <c r="G84" s="101">
        <f t="shared" si="24"/>
        <v>40000000</v>
      </c>
      <c r="H84" s="103">
        <v>40000000</v>
      </c>
      <c r="I84" s="7"/>
      <c r="J84" s="7"/>
      <c r="K84" s="266">
        <f t="shared" ref="K84:AT84" si="26">K75*$H84</f>
        <v>20000000</v>
      </c>
      <c r="L84" s="266">
        <f t="shared" si="26"/>
        <v>20000000</v>
      </c>
      <c r="M84" s="266">
        <f t="shared" si="26"/>
        <v>0</v>
      </c>
      <c r="N84" s="266">
        <f t="shared" si="26"/>
        <v>0</v>
      </c>
      <c r="O84" s="266">
        <f t="shared" si="26"/>
        <v>0</v>
      </c>
      <c r="P84" s="266">
        <f t="shared" si="26"/>
        <v>0</v>
      </c>
      <c r="Q84" s="266">
        <f t="shared" si="26"/>
        <v>0</v>
      </c>
      <c r="R84" s="266">
        <f t="shared" si="26"/>
        <v>0</v>
      </c>
      <c r="S84" s="266">
        <f t="shared" si="26"/>
        <v>0</v>
      </c>
      <c r="T84" s="266">
        <f t="shared" si="26"/>
        <v>0</v>
      </c>
      <c r="U84" s="266">
        <f t="shared" si="26"/>
        <v>0</v>
      </c>
      <c r="V84" s="333">
        <f t="shared" si="26"/>
        <v>0</v>
      </c>
      <c r="W84" s="266">
        <f t="shared" si="26"/>
        <v>0</v>
      </c>
      <c r="X84" s="266">
        <f t="shared" si="26"/>
        <v>0</v>
      </c>
      <c r="Y84" s="266">
        <f t="shared" si="26"/>
        <v>0</v>
      </c>
      <c r="Z84" s="266">
        <f t="shared" si="26"/>
        <v>0</v>
      </c>
      <c r="AA84" s="266">
        <f t="shared" si="26"/>
        <v>0</v>
      </c>
      <c r="AB84" s="266">
        <f t="shared" si="26"/>
        <v>0</v>
      </c>
      <c r="AC84" s="266">
        <f t="shared" si="26"/>
        <v>0</v>
      </c>
      <c r="AD84" s="266">
        <f t="shared" si="26"/>
        <v>0</v>
      </c>
      <c r="AE84" s="266">
        <f t="shared" si="26"/>
        <v>0</v>
      </c>
      <c r="AF84" s="266">
        <f t="shared" si="26"/>
        <v>0</v>
      </c>
      <c r="AG84" s="266">
        <f t="shared" si="26"/>
        <v>0</v>
      </c>
      <c r="AH84" s="333">
        <f t="shared" si="26"/>
        <v>0</v>
      </c>
      <c r="AI84" s="266">
        <f t="shared" si="26"/>
        <v>0</v>
      </c>
      <c r="AJ84" s="266">
        <f t="shared" si="26"/>
        <v>0</v>
      </c>
      <c r="AK84" s="266">
        <f t="shared" si="26"/>
        <v>0</v>
      </c>
      <c r="AL84" s="266">
        <f t="shared" si="26"/>
        <v>0</v>
      </c>
      <c r="AM84" s="266">
        <f t="shared" si="26"/>
        <v>0</v>
      </c>
      <c r="AN84" s="266">
        <f t="shared" si="26"/>
        <v>0</v>
      </c>
      <c r="AO84" s="266">
        <f t="shared" si="26"/>
        <v>0</v>
      </c>
      <c r="AP84" s="266">
        <f t="shared" si="26"/>
        <v>0</v>
      </c>
      <c r="AQ84" s="266">
        <f t="shared" si="26"/>
        <v>0</v>
      </c>
      <c r="AR84" s="266">
        <f t="shared" si="26"/>
        <v>0</v>
      </c>
      <c r="AS84" s="266">
        <f t="shared" si="26"/>
        <v>0</v>
      </c>
      <c r="AT84" s="266">
        <f t="shared" si="26"/>
        <v>0</v>
      </c>
      <c r="AU84" s="101"/>
      <c r="AV84" s="101"/>
      <c r="AW84" s="101"/>
      <c r="AX84" s="101"/>
    </row>
    <row r="85" spans="1:52" ht="15.75" customHeight="1" outlineLevel="1" x14ac:dyDescent="0.3">
      <c r="A85" s="13"/>
      <c r="B85" s="13"/>
      <c r="C85" s="13"/>
      <c r="D85" s="124" t="s">
        <v>85</v>
      </c>
      <c r="E85" s="126" t="s">
        <v>72</v>
      </c>
      <c r="F85" s="126"/>
      <c r="G85" s="128">
        <f t="shared" si="24"/>
        <v>180000000</v>
      </c>
      <c r="H85" s="103">
        <v>180000000</v>
      </c>
      <c r="I85" s="7"/>
      <c r="J85" s="7"/>
      <c r="K85" s="334">
        <f t="shared" ref="K85:AT85" si="27">K76*$H85</f>
        <v>90000000</v>
      </c>
      <c r="L85" s="334">
        <f t="shared" si="27"/>
        <v>90000000</v>
      </c>
      <c r="M85" s="334">
        <f t="shared" si="27"/>
        <v>0</v>
      </c>
      <c r="N85" s="334">
        <f t="shared" si="27"/>
        <v>0</v>
      </c>
      <c r="O85" s="334">
        <f t="shared" si="27"/>
        <v>0</v>
      </c>
      <c r="P85" s="334">
        <f t="shared" si="27"/>
        <v>0</v>
      </c>
      <c r="Q85" s="334">
        <f t="shared" si="27"/>
        <v>0</v>
      </c>
      <c r="R85" s="334">
        <f t="shared" si="27"/>
        <v>0</v>
      </c>
      <c r="S85" s="334">
        <f t="shared" si="27"/>
        <v>0</v>
      </c>
      <c r="T85" s="334">
        <f t="shared" si="27"/>
        <v>0</v>
      </c>
      <c r="U85" s="334">
        <f t="shared" si="27"/>
        <v>0</v>
      </c>
      <c r="V85" s="335">
        <f t="shared" si="27"/>
        <v>0</v>
      </c>
      <c r="W85" s="334">
        <f t="shared" si="27"/>
        <v>0</v>
      </c>
      <c r="X85" s="334">
        <f t="shared" si="27"/>
        <v>0</v>
      </c>
      <c r="Y85" s="334">
        <f t="shared" si="27"/>
        <v>0</v>
      </c>
      <c r="Z85" s="334">
        <f t="shared" si="27"/>
        <v>0</v>
      </c>
      <c r="AA85" s="334">
        <f t="shared" si="27"/>
        <v>0</v>
      </c>
      <c r="AB85" s="334">
        <f t="shared" si="27"/>
        <v>0</v>
      </c>
      <c r="AC85" s="334">
        <f t="shared" si="27"/>
        <v>0</v>
      </c>
      <c r="AD85" s="334">
        <f t="shared" si="27"/>
        <v>0</v>
      </c>
      <c r="AE85" s="334">
        <f t="shared" si="27"/>
        <v>0</v>
      </c>
      <c r="AF85" s="334">
        <f t="shared" si="27"/>
        <v>0</v>
      </c>
      <c r="AG85" s="334">
        <f t="shared" si="27"/>
        <v>0</v>
      </c>
      <c r="AH85" s="335">
        <f t="shared" si="27"/>
        <v>0</v>
      </c>
      <c r="AI85" s="334">
        <f t="shared" si="27"/>
        <v>0</v>
      </c>
      <c r="AJ85" s="334">
        <f t="shared" si="27"/>
        <v>0</v>
      </c>
      <c r="AK85" s="334">
        <f t="shared" si="27"/>
        <v>0</v>
      </c>
      <c r="AL85" s="334">
        <f t="shared" si="27"/>
        <v>0</v>
      </c>
      <c r="AM85" s="334">
        <f t="shared" si="27"/>
        <v>0</v>
      </c>
      <c r="AN85" s="334">
        <f t="shared" si="27"/>
        <v>0</v>
      </c>
      <c r="AO85" s="334">
        <f t="shared" si="27"/>
        <v>0</v>
      </c>
      <c r="AP85" s="334">
        <f t="shared" si="27"/>
        <v>0</v>
      </c>
      <c r="AQ85" s="334">
        <f t="shared" si="27"/>
        <v>0</v>
      </c>
      <c r="AR85" s="334">
        <f t="shared" si="27"/>
        <v>0</v>
      </c>
      <c r="AS85" s="334">
        <f t="shared" si="27"/>
        <v>0</v>
      </c>
      <c r="AT85" s="334">
        <f t="shared" si="27"/>
        <v>0</v>
      </c>
      <c r="AU85" s="128"/>
      <c r="AV85" s="128"/>
      <c r="AW85" s="128"/>
      <c r="AX85" s="128"/>
    </row>
    <row r="86" spans="1:52" ht="15.75" customHeight="1" outlineLevel="1" x14ac:dyDescent="0.3">
      <c r="A86" s="13"/>
      <c r="B86" s="13"/>
      <c r="C86" s="13"/>
      <c r="D86" s="6"/>
      <c r="E86" s="8"/>
      <c r="F86" s="8"/>
      <c r="G86" s="8"/>
      <c r="H86" s="7"/>
      <c r="I86" s="7"/>
      <c r="J86" s="7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  <c r="AA86" s="332"/>
      <c r="AB86" s="332"/>
      <c r="AC86" s="332"/>
      <c r="AD86" s="332"/>
      <c r="AE86" s="332"/>
      <c r="AF86" s="332"/>
      <c r="AG86" s="332"/>
      <c r="AH86" s="332"/>
      <c r="AI86" s="332"/>
      <c r="AJ86" s="332"/>
      <c r="AK86" s="332"/>
      <c r="AL86" s="332"/>
      <c r="AM86" s="332"/>
      <c r="AN86" s="332"/>
      <c r="AO86" s="332"/>
      <c r="AP86" s="332"/>
      <c r="AQ86" s="332"/>
      <c r="AR86" s="332"/>
      <c r="AS86" s="332"/>
      <c r="AT86" s="332"/>
      <c r="AU86" s="6"/>
      <c r="AV86" s="6"/>
      <c r="AW86" s="6"/>
      <c r="AX86" s="6"/>
    </row>
    <row r="87" spans="1:52" ht="18" customHeight="1" outlineLevel="1" x14ac:dyDescent="0.3">
      <c r="A87" s="19"/>
      <c r="B87" s="19"/>
      <c r="C87" s="20"/>
      <c r="D87" s="21" t="s">
        <v>88</v>
      </c>
      <c r="E87" s="21"/>
      <c r="F87" s="22"/>
      <c r="G87" s="85"/>
      <c r="H87" s="22"/>
      <c r="I87" s="22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2" ht="15.75" customHeight="1" outlineLevel="1" x14ac:dyDescent="0.3">
      <c r="A88" s="19"/>
      <c r="B88" s="19"/>
      <c r="C88" s="19"/>
      <c r="D88" s="19" t="s">
        <v>90</v>
      </c>
      <c r="E88" s="8" t="s">
        <v>27</v>
      </c>
      <c r="F88" s="131" t="s">
        <v>91</v>
      </c>
      <c r="G88" s="30"/>
      <c r="H88" s="46">
        <v>0.15</v>
      </c>
      <c r="I88" s="7"/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2" ht="15.75" customHeight="1" outlineLevel="1" x14ac:dyDescent="0.3">
      <c r="A89" s="19"/>
      <c r="B89" s="19"/>
      <c r="C89" s="19"/>
      <c r="D89" s="19" t="s">
        <v>95</v>
      </c>
      <c r="E89" s="8" t="s">
        <v>27</v>
      </c>
      <c r="F89" s="131" t="s">
        <v>91</v>
      </c>
      <c r="G89" s="30"/>
      <c r="H89" s="46">
        <v>0.1</v>
      </c>
      <c r="I89" s="7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2" ht="15.75" customHeight="1" outlineLevel="1" x14ac:dyDescent="0.3">
      <c r="A90" s="13"/>
      <c r="B90" s="13"/>
      <c r="C90" s="13"/>
      <c r="D90" s="56"/>
      <c r="E90" s="8"/>
      <c r="F90" s="8"/>
      <c r="G90" s="30"/>
      <c r="H90" s="8"/>
      <c r="I90" s="7"/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2" ht="18" customHeight="1" outlineLevel="1" x14ac:dyDescent="0.3">
      <c r="A91" s="19"/>
      <c r="B91" s="19"/>
      <c r="C91" s="20"/>
      <c r="D91" s="21" t="s">
        <v>97</v>
      </c>
      <c r="E91" s="21"/>
      <c r="F91" s="22"/>
      <c r="G91" s="85"/>
      <c r="H91" s="22"/>
      <c r="I91" s="22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2" ht="16.5" customHeight="1" outlineLevel="1" x14ac:dyDescent="0.3">
      <c r="A92" s="19"/>
      <c r="B92" s="19"/>
      <c r="C92" s="19"/>
      <c r="D92" s="19" t="s">
        <v>99</v>
      </c>
      <c r="E92" s="8" t="s">
        <v>40</v>
      </c>
      <c r="F92" s="8"/>
      <c r="G92" s="30"/>
      <c r="H92" s="55">
        <v>40</v>
      </c>
      <c r="I92" s="7"/>
      <c r="J92" s="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2" ht="16.5" customHeight="1" outlineLevel="1" x14ac:dyDescent="0.3">
      <c r="A93" s="19"/>
      <c r="B93" s="19"/>
      <c r="C93" s="19"/>
      <c r="D93" s="19" t="s">
        <v>102</v>
      </c>
      <c r="E93" s="8" t="s">
        <v>72</v>
      </c>
      <c r="F93" s="37" t="s">
        <v>381</v>
      </c>
      <c r="G93" s="30"/>
      <c r="H93" s="268">
        <f>SUM(H78:H84)</f>
        <v>415000000</v>
      </c>
      <c r="I93" s="7"/>
      <c r="J93" s="7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</row>
    <row r="94" spans="1:52" ht="16.5" customHeight="1" outlineLevel="1" x14ac:dyDescent="0.3">
      <c r="A94" s="19"/>
      <c r="B94" s="19"/>
      <c r="C94" s="19"/>
      <c r="D94" s="19" t="s">
        <v>105</v>
      </c>
      <c r="E94" s="8" t="s">
        <v>72</v>
      </c>
      <c r="F94" s="37"/>
      <c r="G94" s="30"/>
      <c r="H94" s="268">
        <f>H93/H92</f>
        <v>10375000</v>
      </c>
      <c r="I94" s="7"/>
      <c r="J94" s="7"/>
      <c r="K94" s="35">
        <f t="shared" ref="K94:AT94" si="28">IF(K9&lt;=$H$92,$H$94,0)</f>
        <v>10375000</v>
      </c>
      <c r="L94" s="35">
        <f t="shared" si="28"/>
        <v>10375000</v>
      </c>
      <c r="M94" s="35">
        <f t="shared" si="28"/>
        <v>10375000</v>
      </c>
      <c r="N94" s="35">
        <f t="shared" si="28"/>
        <v>10375000</v>
      </c>
      <c r="O94" s="35">
        <f t="shared" si="28"/>
        <v>10375000</v>
      </c>
      <c r="P94" s="35">
        <f t="shared" si="28"/>
        <v>10375000</v>
      </c>
      <c r="Q94" s="35">
        <f t="shared" si="28"/>
        <v>10375000</v>
      </c>
      <c r="R94" s="35">
        <f>IF(R9&lt;=$H$92,$H$94,0)</f>
        <v>10375000</v>
      </c>
      <c r="S94" s="35">
        <f t="shared" si="28"/>
        <v>10375000</v>
      </c>
      <c r="T94" s="35">
        <f t="shared" si="28"/>
        <v>10375000</v>
      </c>
      <c r="U94" s="35">
        <f t="shared" si="28"/>
        <v>10375000</v>
      </c>
      <c r="V94" s="35">
        <f t="shared" si="28"/>
        <v>10375000</v>
      </c>
      <c r="W94" s="35">
        <f t="shared" si="28"/>
        <v>10375000</v>
      </c>
      <c r="X94" s="35">
        <f t="shared" si="28"/>
        <v>10375000</v>
      </c>
      <c r="Y94" s="35">
        <f t="shared" si="28"/>
        <v>10375000</v>
      </c>
      <c r="Z94" s="35">
        <f t="shared" si="28"/>
        <v>10375000</v>
      </c>
      <c r="AA94" s="35">
        <f t="shared" si="28"/>
        <v>10375000</v>
      </c>
      <c r="AB94" s="35">
        <f t="shared" si="28"/>
        <v>10375000</v>
      </c>
      <c r="AC94" s="35">
        <f t="shared" si="28"/>
        <v>10375000</v>
      </c>
      <c r="AD94" s="35">
        <f t="shared" si="28"/>
        <v>10375000</v>
      </c>
      <c r="AE94" s="35">
        <f t="shared" si="28"/>
        <v>10375000</v>
      </c>
      <c r="AF94" s="35">
        <f t="shared" si="28"/>
        <v>10375000</v>
      </c>
      <c r="AG94" s="35">
        <f t="shared" si="28"/>
        <v>10375000</v>
      </c>
      <c r="AH94" s="35">
        <f t="shared" si="28"/>
        <v>10375000</v>
      </c>
      <c r="AI94" s="35">
        <f t="shared" si="28"/>
        <v>10375000</v>
      </c>
      <c r="AJ94" s="35">
        <f t="shared" si="28"/>
        <v>10375000</v>
      </c>
      <c r="AK94" s="35">
        <f t="shared" si="28"/>
        <v>10375000</v>
      </c>
      <c r="AL94" s="35">
        <f t="shared" si="28"/>
        <v>10375000</v>
      </c>
      <c r="AM94" s="35">
        <f t="shared" si="28"/>
        <v>10375000</v>
      </c>
      <c r="AN94" s="35">
        <f t="shared" si="28"/>
        <v>10375000</v>
      </c>
      <c r="AO94" s="35">
        <f t="shared" si="28"/>
        <v>10375000</v>
      </c>
      <c r="AP94" s="35">
        <f t="shared" si="28"/>
        <v>10375000</v>
      </c>
      <c r="AQ94" s="35">
        <f t="shared" si="28"/>
        <v>10375000</v>
      </c>
      <c r="AR94" s="35">
        <f t="shared" si="28"/>
        <v>10375000</v>
      </c>
      <c r="AS94" s="35">
        <f t="shared" si="28"/>
        <v>10375000</v>
      </c>
      <c r="AT94" s="35">
        <f t="shared" si="28"/>
        <v>10375000</v>
      </c>
      <c r="AU94" s="9"/>
      <c r="AV94" s="9"/>
      <c r="AW94" s="9"/>
      <c r="AX94" s="9"/>
    </row>
    <row r="95" spans="1:52" ht="15.75" customHeight="1" x14ac:dyDescent="0.3">
      <c r="A95" s="13"/>
      <c r="B95" s="13"/>
      <c r="C95" s="13"/>
      <c r="D95" s="19"/>
      <c r="E95" s="8"/>
      <c r="F95" s="131"/>
      <c r="G95" s="30"/>
      <c r="H95" s="268"/>
      <c r="I95" s="7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2" ht="15.75" customHeight="1" x14ac:dyDescent="0.3">
      <c r="A96" s="13"/>
      <c r="B96" s="105"/>
      <c r="C96" s="105"/>
      <c r="D96" s="104" t="s">
        <v>302</v>
      </c>
      <c r="E96" s="105"/>
      <c r="F96" s="105"/>
      <c r="G96" s="106"/>
      <c r="H96" s="105"/>
      <c r="I96" s="105"/>
      <c r="J96" s="41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60"/>
      <c r="AX96" s="160"/>
      <c r="AY96" s="160"/>
      <c r="AZ96" s="160"/>
    </row>
    <row r="97" spans="1:52" s="344" customFormat="1" ht="15.75" customHeight="1" outlineLevel="1" x14ac:dyDescent="0.3">
      <c r="A97" s="453"/>
      <c r="B97" s="492"/>
      <c r="C97" s="492"/>
      <c r="D97" s="491"/>
      <c r="E97" s="492"/>
      <c r="F97" s="492"/>
      <c r="G97" s="493"/>
      <c r="H97" s="492"/>
      <c r="I97" s="492"/>
      <c r="J97" s="494"/>
      <c r="K97" s="495"/>
      <c r="L97" s="495"/>
      <c r="M97" s="495"/>
      <c r="N97" s="495"/>
      <c r="O97" s="495"/>
      <c r="P97" s="495"/>
      <c r="Q97" s="495"/>
      <c r="R97" s="495"/>
      <c r="S97" s="495"/>
      <c r="T97" s="495"/>
      <c r="U97" s="495"/>
      <c r="V97" s="495"/>
      <c r="W97" s="495"/>
      <c r="X97" s="495"/>
      <c r="Y97" s="495"/>
      <c r="Z97" s="495"/>
      <c r="AA97" s="495"/>
      <c r="AB97" s="495"/>
      <c r="AC97" s="495"/>
      <c r="AD97" s="495"/>
      <c r="AE97" s="495"/>
      <c r="AF97" s="495"/>
      <c r="AG97" s="495"/>
      <c r="AH97" s="495"/>
      <c r="AI97" s="495"/>
      <c r="AJ97" s="495"/>
      <c r="AK97" s="495"/>
      <c r="AL97" s="495"/>
      <c r="AM97" s="495"/>
      <c r="AN97" s="495"/>
      <c r="AO97" s="495"/>
      <c r="AP97" s="495"/>
      <c r="AQ97" s="495"/>
      <c r="AR97" s="495"/>
      <c r="AS97" s="495"/>
      <c r="AT97" s="495"/>
      <c r="AU97" s="495"/>
      <c r="AV97" s="495"/>
      <c r="AW97" s="496"/>
      <c r="AX97" s="496"/>
      <c r="AY97" s="496"/>
      <c r="AZ97" s="496"/>
    </row>
    <row r="98" spans="1:52" ht="18" customHeight="1" outlineLevel="1" x14ac:dyDescent="0.3">
      <c r="A98" s="19"/>
      <c r="B98" s="19"/>
      <c r="C98" s="20"/>
      <c r="D98" s="21" t="s">
        <v>108</v>
      </c>
      <c r="E98" s="21"/>
      <c r="F98" s="22"/>
      <c r="G98" s="85"/>
      <c r="H98" s="336"/>
      <c r="I98" s="22"/>
      <c r="J98" s="8"/>
      <c r="K98" s="9"/>
      <c r="L98" s="127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2" ht="12.45" outlineLevel="1" x14ac:dyDescent="0.3">
      <c r="A99" s="13"/>
      <c r="B99" s="13"/>
      <c r="C99" s="13"/>
      <c r="D99" s="107" t="s">
        <v>109</v>
      </c>
      <c r="E99" s="109" t="s">
        <v>27</v>
      </c>
      <c r="F99" s="37" t="s">
        <v>110</v>
      </c>
      <c r="G99" s="141"/>
      <c r="H99" s="316">
        <f>H100+H103*H101</f>
        <v>0.13001309473684208</v>
      </c>
      <c r="I99" s="7"/>
      <c r="J99" s="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2" ht="28.95" customHeight="1" outlineLevel="2" x14ac:dyDescent="0.3">
      <c r="A100" s="13"/>
      <c r="B100" s="13"/>
      <c r="C100" s="13"/>
      <c r="D100" s="9" t="s">
        <v>111</v>
      </c>
      <c r="E100" s="8" t="s">
        <v>27</v>
      </c>
      <c r="F100" s="37" t="s">
        <v>112</v>
      </c>
      <c r="G100" s="146"/>
      <c r="H100" s="580">
        <f>Данные!J88</f>
        <v>7.5657894736842105E-2</v>
      </c>
      <c r="I100" s="7"/>
      <c r="J100" s="7"/>
      <c r="K100" s="149"/>
      <c r="L100" s="6"/>
      <c r="M100" s="14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2" ht="24.75" customHeight="1" outlineLevel="2" x14ac:dyDescent="0.3">
      <c r="A101" s="13"/>
      <c r="B101" s="13"/>
      <c r="C101" s="13"/>
      <c r="D101" s="9" t="s">
        <v>114</v>
      </c>
      <c r="E101" s="8" t="s">
        <v>27</v>
      </c>
      <c r="F101" s="37" t="s">
        <v>115</v>
      </c>
      <c r="G101" s="146"/>
      <c r="H101" s="608">
        <v>5.96E-2</v>
      </c>
      <c r="I101" s="7"/>
      <c r="J101" s="7"/>
      <c r="K101" s="4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2" ht="24.75" customHeight="1" outlineLevel="2" x14ac:dyDescent="0.3">
      <c r="A102" s="13"/>
      <c r="B102" s="13"/>
      <c r="C102" s="13"/>
      <c r="D102" s="9" t="s">
        <v>116</v>
      </c>
      <c r="E102" s="8" t="s">
        <v>19</v>
      </c>
      <c r="F102" s="37" t="s">
        <v>117</v>
      </c>
      <c r="G102" s="146"/>
      <c r="H102" s="317">
        <v>0.72</v>
      </c>
      <c r="I102" s="7"/>
      <c r="J102" s="7"/>
      <c r="K102" s="6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2" ht="31.95" customHeight="1" outlineLevel="2" x14ac:dyDescent="0.3">
      <c r="A103" s="233"/>
      <c r="B103" s="233"/>
      <c r="C103" s="233"/>
      <c r="D103" s="9" t="s">
        <v>236</v>
      </c>
      <c r="E103" s="218"/>
      <c r="F103" s="261" t="s">
        <v>235</v>
      </c>
      <c r="G103" s="262"/>
      <c r="H103" s="318">
        <f>H102*(1+(1-H21)*H105)</f>
        <v>0.91199999999999992</v>
      </c>
      <c r="I103" s="238"/>
      <c r="J103" s="238"/>
      <c r="K103" s="263"/>
      <c r="L103" s="6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  <c r="AT103" s="217"/>
      <c r="AU103" s="217"/>
      <c r="AV103" s="217"/>
      <c r="AW103" s="217"/>
      <c r="AX103" s="217"/>
    </row>
    <row r="104" spans="1:52" ht="25.5" customHeight="1" outlineLevel="1" x14ac:dyDescent="0.3">
      <c r="A104" s="19"/>
      <c r="B104" s="19"/>
      <c r="C104" s="19"/>
      <c r="D104" s="152" t="s">
        <v>118</v>
      </c>
      <c r="E104" s="153" t="s">
        <v>27</v>
      </c>
      <c r="F104" s="37" t="s">
        <v>119</v>
      </c>
      <c r="G104" s="154"/>
      <c r="H104" s="319">
        <f>(1-H109)*H99+H109*H108*(1-$H$21)</f>
        <v>0.11750982105263157</v>
      </c>
      <c r="I104" s="607"/>
      <c r="J104" s="7"/>
      <c r="K104" s="46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2" ht="15.75" customHeight="1" outlineLevel="1" x14ac:dyDescent="0.3">
      <c r="A105" s="13"/>
      <c r="B105" s="13"/>
      <c r="C105" s="13"/>
      <c r="D105" s="6" t="s">
        <v>120</v>
      </c>
      <c r="E105" s="7" t="s">
        <v>27</v>
      </c>
      <c r="F105" s="7"/>
      <c r="G105" s="146"/>
      <c r="H105" s="320">
        <f>H109/(1-H109)</f>
        <v>0.33333333333333331</v>
      </c>
      <c r="I105" s="607"/>
      <c r="J105" s="7"/>
      <c r="K105" s="4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2" ht="15.75" customHeight="1" outlineLevel="1" x14ac:dyDescent="0.35">
      <c r="A106" s="13"/>
      <c r="B106" s="13"/>
      <c r="C106" s="13"/>
      <c r="D106" s="156"/>
      <c r="E106" s="7"/>
      <c r="F106" s="7"/>
      <c r="G106" s="146"/>
      <c r="H106" s="321"/>
      <c r="I106" s="7"/>
      <c r="J106" s="7"/>
      <c r="K106" s="4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2" ht="18" customHeight="1" outlineLevel="1" x14ac:dyDescent="0.3">
      <c r="A107" s="19"/>
      <c r="B107" s="19"/>
      <c r="C107" s="20"/>
      <c r="D107" s="21" t="s">
        <v>124</v>
      </c>
      <c r="E107" s="21"/>
      <c r="F107" s="22"/>
      <c r="G107" s="85"/>
      <c r="H107" s="336"/>
      <c r="I107" s="22"/>
      <c r="J107" s="8"/>
      <c r="K107" s="9"/>
      <c r="L107" s="127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2" ht="18.75" customHeight="1" outlineLevel="1" x14ac:dyDescent="0.3">
      <c r="A108" s="19"/>
      <c r="B108" s="19"/>
      <c r="C108" s="19"/>
      <c r="D108" s="9" t="s">
        <v>125</v>
      </c>
      <c r="E108" s="8" t="s">
        <v>27</v>
      </c>
      <c r="F108" s="8"/>
      <c r="G108" s="30"/>
      <c r="H108" s="322">
        <v>0.1</v>
      </c>
      <c r="I108" s="7"/>
      <c r="J108" s="7"/>
      <c r="K108" s="4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2" ht="18.75" customHeight="1" outlineLevel="1" x14ac:dyDescent="0.3">
      <c r="A109" s="19"/>
      <c r="B109" s="19"/>
      <c r="C109" s="19"/>
      <c r="D109" s="19" t="s">
        <v>126</v>
      </c>
      <c r="E109" s="39" t="s">
        <v>27</v>
      </c>
      <c r="F109" s="39"/>
      <c r="G109" s="87"/>
      <c r="H109" s="322">
        <v>0.25</v>
      </c>
      <c r="I109" s="7"/>
      <c r="J109" s="7"/>
      <c r="K109" s="4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2" ht="15.75" customHeight="1" outlineLevel="1" x14ac:dyDescent="0.3">
      <c r="A110" s="13"/>
      <c r="B110" s="13"/>
      <c r="C110" s="13"/>
      <c r="D110" s="6"/>
      <c r="E110" s="8"/>
      <c r="F110" s="8"/>
      <c r="G110" s="30"/>
      <c r="H110" s="8"/>
      <c r="I110" s="607"/>
      <c r="J110" s="7"/>
      <c r="K110" s="6"/>
      <c r="L110" s="14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2" ht="15.75" customHeight="1" x14ac:dyDescent="0.3">
      <c r="A111" s="13"/>
      <c r="B111" s="13"/>
      <c r="C111" s="13"/>
      <c r="D111" s="6"/>
      <c r="E111" s="8"/>
      <c r="F111" s="8"/>
      <c r="G111" s="30"/>
      <c r="H111" s="8"/>
      <c r="I111" s="7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2" ht="15.75" customHeight="1" x14ac:dyDescent="0.3">
      <c r="A112" s="13"/>
      <c r="B112" s="13"/>
      <c r="C112" s="13"/>
      <c r="D112" s="6"/>
      <c r="E112" s="8"/>
      <c r="F112" s="8"/>
      <c r="G112" s="30"/>
      <c r="H112" s="8"/>
      <c r="I112" s="7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ht="15.75" customHeight="1" x14ac:dyDescent="0.3">
      <c r="A113" s="13"/>
      <c r="B113" s="13"/>
      <c r="C113" s="13"/>
      <c r="D113" s="6"/>
      <c r="E113" s="8"/>
      <c r="F113" s="8"/>
      <c r="G113" s="30"/>
      <c r="H113" s="8"/>
      <c r="I113" s="7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ht="15.75" customHeight="1" x14ac:dyDescent="0.3">
      <c r="A114" s="13"/>
      <c r="B114" s="13"/>
      <c r="C114" s="13"/>
      <c r="D114" s="6"/>
      <c r="E114" s="8"/>
      <c r="F114" s="8"/>
      <c r="G114" s="30"/>
      <c r="H114" s="8"/>
      <c r="I114" s="7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ht="15.75" customHeight="1" x14ac:dyDescent="0.3">
      <c r="A115" s="13"/>
      <c r="B115" s="13"/>
      <c r="C115" s="13"/>
      <c r="D115" s="6"/>
      <c r="E115" s="8"/>
      <c r="F115" s="8"/>
      <c r="G115" s="30"/>
      <c r="H115" s="8"/>
      <c r="I115" s="7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ht="15.75" customHeight="1" x14ac:dyDescent="0.3">
      <c r="A116" s="13"/>
      <c r="B116" s="13"/>
      <c r="C116" s="13"/>
      <c r="D116" s="6"/>
      <c r="E116" s="8"/>
      <c r="F116" s="8"/>
      <c r="G116" s="30"/>
      <c r="H116" s="8"/>
      <c r="I116" s="7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ht="15.75" customHeight="1" x14ac:dyDescent="0.3">
      <c r="A117" s="13"/>
      <c r="B117" s="13"/>
      <c r="C117" s="13"/>
      <c r="D117" s="6"/>
      <c r="E117" s="8"/>
      <c r="F117" s="8"/>
      <c r="G117" s="30"/>
      <c r="H117" s="8"/>
      <c r="I117" s="7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ht="15.75" customHeight="1" x14ac:dyDescent="0.3">
      <c r="A118" s="13"/>
      <c r="B118" s="13"/>
      <c r="C118" s="13"/>
      <c r="D118" s="6"/>
      <c r="E118" s="8"/>
      <c r="F118" s="8"/>
      <c r="G118" s="30"/>
      <c r="H118" s="8"/>
      <c r="I118" s="7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15.75" customHeight="1" x14ac:dyDescent="0.3">
      <c r="A119" s="13"/>
      <c r="B119" s="13"/>
      <c r="C119" s="13"/>
      <c r="D119" s="6"/>
      <c r="E119" s="8"/>
      <c r="F119" s="8"/>
      <c r="G119" s="8"/>
      <c r="H119" s="8"/>
      <c r="I119" s="7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ht="15.75" customHeight="1" x14ac:dyDescent="0.3">
      <c r="A120" s="13"/>
      <c r="B120" s="13"/>
      <c r="C120" s="13"/>
      <c r="D120" s="6"/>
      <c r="E120" s="8"/>
      <c r="F120" s="8"/>
      <c r="G120" s="8"/>
      <c r="H120" s="8"/>
      <c r="I120" s="7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ht="15.75" customHeight="1" x14ac:dyDescent="0.3">
      <c r="A121" s="13"/>
      <c r="B121" s="13"/>
      <c r="C121" s="13"/>
      <c r="D121" s="6"/>
      <c r="E121" s="8"/>
      <c r="F121" s="8"/>
      <c r="G121" s="8"/>
      <c r="H121" s="8"/>
      <c r="I121" s="7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ht="15.75" customHeight="1" x14ac:dyDescent="0.3">
      <c r="A122" s="13"/>
      <c r="B122" s="13"/>
      <c r="C122" s="13"/>
      <c r="D122" s="6"/>
      <c r="E122" s="8"/>
      <c r="F122" s="8"/>
      <c r="G122" s="8"/>
      <c r="H122" s="8"/>
      <c r="I122" s="7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ht="15.75" customHeight="1" x14ac:dyDescent="0.3">
      <c r="A123" s="13"/>
      <c r="B123" s="13"/>
      <c r="C123" s="13"/>
      <c r="D123" s="6"/>
      <c r="E123" s="8"/>
      <c r="F123" s="8"/>
      <c r="G123" s="8"/>
      <c r="H123" s="8"/>
      <c r="I123" s="7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ht="15.75" customHeight="1" x14ac:dyDescent="0.3">
      <c r="A124" s="13"/>
      <c r="B124" s="13"/>
      <c r="C124" s="13"/>
      <c r="D124" s="6"/>
      <c r="E124" s="8"/>
      <c r="F124" s="8"/>
      <c r="G124" s="8"/>
      <c r="H124" s="8"/>
      <c r="I124" s="7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ht="15.75" customHeight="1" x14ac:dyDescent="0.3">
      <c r="A125" s="13"/>
      <c r="B125" s="13"/>
      <c r="C125" s="13"/>
      <c r="D125" s="6"/>
      <c r="E125" s="8"/>
      <c r="F125" s="8"/>
      <c r="G125" s="8"/>
      <c r="H125" s="8"/>
      <c r="I125" s="7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ht="15.75" customHeight="1" x14ac:dyDescent="0.3">
      <c r="A126" s="13"/>
      <c r="B126" s="13"/>
      <c r="C126" s="13"/>
      <c r="D126" s="6"/>
      <c r="E126" s="8"/>
      <c r="F126" s="8"/>
      <c r="G126" s="8"/>
      <c r="H126" s="8"/>
      <c r="I126" s="7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ht="15.75" customHeight="1" x14ac:dyDescent="0.3">
      <c r="A127" s="13"/>
      <c r="B127" s="13"/>
      <c r="C127" s="13"/>
      <c r="D127" s="6"/>
      <c r="E127" s="8"/>
      <c r="F127" s="8"/>
      <c r="G127" s="8"/>
      <c r="H127" s="8"/>
      <c r="I127" s="7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ht="15.75" customHeight="1" x14ac:dyDescent="0.3">
      <c r="A128" s="13"/>
      <c r="B128" s="13"/>
      <c r="C128" s="13"/>
      <c r="D128" s="6"/>
      <c r="E128" s="8"/>
      <c r="F128" s="8"/>
      <c r="G128" s="8"/>
      <c r="H128" s="8"/>
      <c r="I128" s="7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ht="15.75" customHeight="1" x14ac:dyDescent="0.3">
      <c r="A129" s="13"/>
      <c r="B129" s="13"/>
      <c r="C129" s="13"/>
      <c r="D129" s="6"/>
      <c r="E129" s="8"/>
      <c r="F129" s="8"/>
      <c r="G129" s="8"/>
      <c r="H129" s="8"/>
      <c r="I129" s="7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ht="15.75" customHeight="1" x14ac:dyDescent="0.3">
      <c r="A130" s="13"/>
      <c r="B130" s="13"/>
      <c r="C130" s="13"/>
      <c r="D130" s="6"/>
      <c r="E130" s="8"/>
      <c r="F130" s="8"/>
      <c r="G130" s="8"/>
      <c r="H130" s="8"/>
      <c r="I130" s="7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ht="15.75" customHeight="1" x14ac:dyDescent="0.3">
      <c r="A131" s="13"/>
      <c r="B131" s="13"/>
      <c r="C131" s="13"/>
      <c r="D131" s="6"/>
      <c r="E131" s="8"/>
      <c r="F131" s="8"/>
      <c r="G131" s="8"/>
      <c r="H131" s="8"/>
      <c r="I131" s="7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ht="15.75" customHeight="1" x14ac:dyDescent="0.3">
      <c r="A132" s="13"/>
      <c r="B132" s="13"/>
      <c r="C132" s="13"/>
      <c r="D132" s="6"/>
      <c r="E132" s="8"/>
      <c r="F132" s="8"/>
      <c r="G132" s="8"/>
      <c r="H132" s="8"/>
      <c r="I132" s="7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ht="15.75" customHeight="1" x14ac:dyDescent="0.3">
      <c r="A133" s="13"/>
      <c r="B133" s="13"/>
      <c r="C133" s="13"/>
      <c r="D133" s="6"/>
      <c r="E133" s="8"/>
      <c r="F133" s="8"/>
      <c r="G133" s="8"/>
      <c r="H133" s="8"/>
      <c r="I133" s="7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5.75" customHeight="1" x14ac:dyDescent="0.3">
      <c r="A134" s="13"/>
      <c r="B134" s="13"/>
      <c r="C134" s="13"/>
      <c r="D134" s="6"/>
      <c r="E134" s="8"/>
      <c r="F134" s="8"/>
      <c r="G134" s="8"/>
      <c r="H134" s="8"/>
      <c r="I134" s="7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ht="15.75" customHeight="1" x14ac:dyDescent="0.3">
      <c r="A135" s="13"/>
      <c r="B135" s="13"/>
      <c r="C135" s="13"/>
      <c r="D135" s="6"/>
      <c r="E135" s="8"/>
      <c r="F135" s="8"/>
      <c r="G135" s="8"/>
      <c r="H135" s="8"/>
      <c r="I135" s="7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ht="15.75" customHeight="1" x14ac:dyDescent="0.3">
      <c r="A136" s="13"/>
      <c r="B136" s="13"/>
      <c r="C136" s="13"/>
      <c r="D136" s="6"/>
      <c r="E136" s="8"/>
      <c r="F136" s="8"/>
      <c r="G136" s="8"/>
      <c r="H136" s="8"/>
      <c r="I136" s="7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ht="15.75" customHeight="1" x14ac:dyDescent="0.3">
      <c r="A137" s="13"/>
      <c r="B137" s="13"/>
      <c r="C137" s="13"/>
      <c r="D137" s="6"/>
      <c r="E137" s="8"/>
      <c r="F137" s="8"/>
      <c r="G137" s="8"/>
      <c r="H137" s="8"/>
      <c r="I137" s="7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ht="15.75" customHeight="1" x14ac:dyDescent="0.3">
      <c r="A138" s="13"/>
      <c r="B138" s="13"/>
      <c r="C138" s="13"/>
      <c r="D138" s="6"/>
      <c r="E138" s="8"/>
      <c r="F138" s="8"/>
      <c r="G138" s="8"/>
      <c r="H138" s="8"/>
      <c r="I138" s="7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ht="15.75" customHeight="1" x14ac:dyDescent="0.3">
      <c r="A139" s="13"/>
      <c r="B139" s="13"/>
      <c r="C139" s="13"/>
      <c r="D139" s="6"/>
      <c r="E139" s="8"/>
      <c r="F139" s="8"/>
      <c r="G139" s="8"/>
      <c r="H139" s="8"/>
      <c r="I139" s="7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ht="15.75" customHeight="1" x14ac:dyDescent="0.3">
      <c r="A140" s="13"/>
      <c r="B140" s="13"/>
      <c r="C140" s="13"/>
      <c r="D140" s="6"/>
      <c r="E140" s="8"/>
      <c r="F140" s="8"/>
      <c r="G140" s="8"/>
      <c r="H140" s="8"/>
      <c r="I140" s="7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ht="15.75" customHeight="1" x14ac:dyDescent="0.3">
      <c r="A141" s="13"/>
      <c r="B141" s="13"/>
      <c r="C141" s="13"/>
      <c r="D141" s="6"/>
      <c r="E141" s="8"/>
      <c r="F141" s="8"/>
      <c r="G141" s="8"/>
      <c r="H141" s="8"/>
      <c r="I141" s="7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ht="15.75" customHeight="1" x14ac:dyDescent="0.3">
      <c r="A142" s="13"/>
      <c r="B142" s="13"/>
      <c r="C142" s="13"/>
      <c r="D142" s="6"/>
      <c r="E142" s="8"/>
      <c r="F142" s="8"/>
      <c r="G142" s="8"/>
      <c r="H142" s="8"/>
      <c r="I142" s="7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ht="15.75" customHeight="1" x14ac:dyDescent="0.3">
      <c r="A143" s="13"/>
      <c r="B143" s="13"/>
      <c r="C143" s="13"/>
      <c r="D143" s="6"/>
      <c r="E143" s="8"/>
      <c r="F143" s="8"/>
      <c r="G143" s="8"/>
      <c r="H143" s="8"/>
      <c r="I143" s="7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ht="15.75" customHeight="1" x14ac:dyDescent="0.3">
      <c r="A144" s="13"/>
      <c r="B144" s="13"/>
      <c r="C144" s="13"/>
      <c r="D144" s="6"/>
      <c r="E144" s="8"/>
      <c r="F144" s="8"/>
      <c r="G144" s="8"/>
      <c r="H144" s="8"/>
      <c r="I144" s="7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ht="15.75" customHeight="1" x14ac:dyDescent="0.3">
      <c r="A145" s="13"/>
      <c r="B145" s="13"/>
      <c r="C145" s="13"/>
      <c r="D145" s="6"/>
      <c r="E145" s="8"/>
      <c r="F145" s="8"/>
      <c r="G145" s="8"/>
      <c r="H145" s="8"/>
      <c r="I145" s="7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ht="15.75" customHeight="1" x14ac:dyDescent="0.3">
      <c r="A146" s="13"/>
      <c r="B146" s="13"/>
      <c r="C146" s="13"/>
      <c r="D146" s="6"/>
      <c r="E146" s="8"/>
      <c r="F146" s="8"/>
      <c r="G146" s="8"/>
      <c r="H146" s="8"/>
      <c r="I146" s="7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ht="15.75" customHeight="1" x14ac:dyDescent="0.3">
      <c r="A147" s="13"/>
      <c r="B147" s="13"/>
      <c r="C147" s="13"/>
      <c r="D147" s="6"/>
      <c r="E147" s="8"/>
      <c r="F147" s="8"/>
      <c r="G147" s="8"/>
      <c r="H147" s="8"/>
      <c r="I147" s="7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ht="15.75" customHeight="1" x14ac:dyDescent="0.3">
      <c r="A148" s="13"/>
      <c r="B148" s="13"/>
      <c r="C148" s="13"/>
      <c r="D148" s="6"/>
      <c r="E148" s="8"/>
      <c r="F148" s="8"/>
      <c r="G148" s="8"/>
      <c r="H148" s="8"/>
      <c r="I148" s="7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ht="15.75" customHeight="1" x14ac:dyDescent="0.3">
      <c r="A149" s="13"/>
      <c r="B149" s="13"/>
      <c r="C149" s="13"/>
      <c r="D149" s="6"/>
      <c r="E149" s="8"/>
      <c r="F149" s="8"/>
      <c r="G149" s="8"/>
      <c r="H149" s="8"/>
      <c r="I149" s="7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ht="15.75" customHeight="1" x14ac:dyDescent="0.3">
      <c r="A150" s="13"/>
      <c r="B150" s="13"/>
      <c r="C150" s="13"/>
      <c r="D150" s="6"/>
      <c r="E150" s="8"/>
      <c r="F150" s="8"/>
      <c r="G150" s="8"/>
      <c r="H150" s="8"/>
      <c r="I150" s="7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ht="15.75" customHeight="1" x14ac:dyDescent="0.3">
      <c r="A151" s="13"/>
      <c r="B151" s="13"/>
      <c r="C151" s="13"/>
      <c r="D151" s="6"/>
      <c r="E151" s="8"/>
      <c r="F151" s="8"/>
      <c r="G151" s="8"/>
      <c r="H151" s="8"/>
      <c r="I151" s="7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ht="15.75" customHeight="1" x14ac:dyDescent="0.3">
      <c r="A152" s="13"/>
      <c r="B152" s="13"/>
      <c r="C152" s="13"/>
      <c r="D152" s="6"/>
      <c r="E152" s="8"/>
      <c r="F152" s="8"/>
      <c r="G152" s="8"/>
      <c r="H152" s="8"/>
      <c r="I152" s="7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ht="15.75" customHeight="1" x14ac:dyDescent="0.3">
      <c r="A153" s="13"/>
      <c r="B153" s="13"/>
      <c r="C153" s="13"/>
      <c r="D153" s="6"/>
      <c r="E153" s="8"/>
      <c r="F153" s="8"/>
      <c r="G153" s="8"/>
      <c r="H153" s="8"/>
      <c r="I153" s="7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ht="15.75" customHeight="1" x14ac:dyDescent="0.3">
      <c r="A154" s="13"/>
      <c r="B154" s="13"/>
      <c r="C154" s="13"/>
      <c r="D154" s="6"/>
      <c r="E154" s="8"/>
      <c r="F154" s="8"/>
      <c r="G154" s="8"/>
      <c r="H154" s="8"/>
      <c r="I154" s="7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ht="15.75" customHeight="1" x14ac:dyDescent="0.3">
      <c r="A155" s="13"/>
      <c r="B155" s="13"/>
      <c r="C155" s="13"/>
      <c r="D155" s="6"/>
      <c r="E155" s="8"/>
      <c r="F155" s="8"/>
      <c r="G155" s="8"/>
      <c r="H155" s="8"/>
      <c r="I155" s="7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ht="15.75" customHeight="1" x14ac:dyDescent="0.3">
      <c r="A156" s="13"/>
      <c r="B156" s="13"/>
      <c r="C156" s="13"/>
      <c r="D156" s="6"/>
      <c r="E156" s="8"/>
      <c r="F156" s="8"/>
      <c r="G156" s="8"/>
      <c r="H156" s="8"/>
      <c r="I156" s="7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ht="15.75" customHeight="1" x14ac:dyDescent="0.3">
      <c r="A157" s="13"/>
      <c r="B157" s="13"/>
      <c r="C157" s="13"/>
      <c r="D157" s="6"/>
      <c r="E157" s="8"/>
      <c r="F157" s="8"/>
      <c r="G157" s="8"/>
      <c r="H157" s="8"/>
      <c r="I157" s="7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ht="15.75" customHeight="1" x14ac:dyDescent="0.3">
      <c r="A158" s="13"/>
      <c r="B158" s="13"/>
      <c r="C158" s="13"/>
      <c r="D158" s="6"/>
      <c r="E158" s="8"/>
      <c r="F158" s="8"/>
      <c r="G158" s="8"/>
      <c r="H158" s="8"/>
      <c r="I158" s="7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ht="15.75" customHeight="1" x14ac:dyDescent="0.3">
      <c r="A159" s="13"/>
      <c r="B159" s="13"/>
      <c r="C159" s="13"/>
      <c r="D159" s="6"/>
      <c r="E159" s="8"/>
      <c r="F159" s="8"/>
      <c r="G159" s="8"/>
      <c r="H159" s="8"/>
      <c r="I159" s="7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ht="15.75" customHeight="1" x14ac:dyDescent="0.3">
      <c r="A160" s="13"/>
      <c r="B160" s="13"/>
      <c r="C160" s="13"/>
      <c r="D160" s="6"/>
      <c r="E160" s="8"/>
      <c r="F160" s="8"/>
      <c r="G160" s="8"/>
      <c r="H160" s="8"/>
      <c r="I160" s="7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ht="15.75" customHeight="1" x14ac:dyDescent="0.3">
      <c r="A161" s="13"/>
      <c r="B161" s="13"/>
      <c r="C161" s="13"/>
      <c r="D161" s="6"/>
      <c r="E161" s="8"/>
      <c r="F161" s="8"/>
      <c r="G161" s="8"/>
      <c r="H161" s="8"/>
      <c r="I161" s="7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ht="15.75" customHeight="1" x14ac:dyDescent="0.3">
      <c r="A162" s="13"/>
      <c r="B162" s="13"/>
      <c r="C162" s="13"/>
      <c r="D162" s="6"/>
      <c r="E162" s="8"/>
      <c r="F162" s="8"/>
      <c r="G162" s="8"/>
      <c r="H162" s="8"/>
      <c r="I162" s="7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ht="15.75" customHeight="1" x14ac:dyDescent="0.3">
      <c r="A163" s="13"/>
      <c r="B163" s="13"/>
      <c r="C163" s="13"/>
      <c r="D163" s="6"/>
      <c r="E163" s="8"/>
      <c r="F163" s="8"/>
      <c r="G163" s="8"/>
      <c r="H163" s="8"/>
      <c r="I163" s="7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ht="15.75" customHeight="1" x14ac:dyDescent="0.3">
      <c r="A164" s="13"/>
      <c r="B164" s="13"/>
      <c r="C164" s="13"/>
      <c r="D164" s="6"/>
      <c r="E164" s="8"/>
      <c r="F164" s="8"/>
      <c r="G164" s="8"/>
      <c r="H164" s="8"/>
      <c r="I164" s="7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ht="15.75" customHeight="1" x14ac:dyDescent="0.3">
      <c r="A165" s="13"/>
      <c r="B165" s="13"/>
      <c r="C165" s="13"/>
      <c r="D165" s="6"/>
      <c r="E165" s="8"/>
      <c r="F165" s="8"/>
      <c r="G165" s="8"/>
      <c r="H165" s="8"/>
      <c r="I165" s="7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ht="15.75" customHeight="1" x14ac:dyDescent="0.3">
      <c r="A166" s="13"/>
      <c r="B166" s="13"/>
      <c r="C166" s="13"/>
      <c r="D166" s="6"/>
      <c r="E166" s="8"/>
      <c r="F166" s="8"/>
      <c r="G166" s="8"/>
      <c r="H166" s="8"/>
      <c r="I166" s="7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ht="15.75" customHeight="1" x14ac:dyDescent="0.3">
      <c r="A167" s="13"/>
      <c r="B167" s="13"/>
      <c r="C167" s="13"/>
      <c r="D167" s="6"/>
      <c r="E167" s="8"/>
      <c r="F167" s="8"/>
      <c r="G167" s="8"/>
      <c r="H167" s="8"/>
      <c r="I167" s="7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ht="15.75" customHeight="1" x14ac:dyDescent="0.3">
      <c r="A168" s="13"/>
      <c r="B168" s="13"/>
      <c r="C168" s="13"/>
      <c r="D168" s="6"/>
      <c r="E168" s="8"/>
      <c r="F168" s="8"/>
      <c r="G168" s="8"/>
      <c r="H168" s="8"/>
      <c r="I168" s="7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ht="15.75" customHeight="1" x14ac:dyDescent="0.3">
      <c r="A169" s="13"/>
      <c r="B169" s="13"/>
      <c r="C169" s="13"/>
      <c r="D169" s="6"/>
      <c r="E169" s="8"/>
      <c r="F169" s="8"/>
      <c r="G169" s="8"/>
      <c r="H169" s="8"/>
      <c r="I169" s="7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ht="15.75" customHeight="1" x14ac:dyDescent="0.3">
      <c r="A170" s="13"/>
      <c r="B170" s="13"/>
      <c r="C170" s="13"/>
      <c r="D170" s="6"/>
      <c r="E170" s="8"/>
      <c r="F170" s="8"/>
      <c r="G170" s="8"/>
      <c r="H170" s="8"/>
      <c r="I170" s="7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ht="15.75" customHeight="1" x14ac:dyDescent="0.3">
      <c r="A171" s="13"/>
      <c r="B171" s="13"/>
      <c r="C171" s="13"/>
      <c r="D171" s="6"/>
      <c r="E171" s="8"/>
      <c r="F171" s="8"/>
      <c r="G171" s="8"/>
      <c r="H171" s="8"/>
      <c r="I171" s="7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ht="15.75" customHeight="1" x14ac:dyDescent="0.3">
      <c r="A172" s="13"/>
      <c r="B172" s="13"/>
      <c r="C172" s="13"/>
      <c r="D172" s="6"/>
      <c r="E172" s="8"/>
      <c r="F172" s="8"/>
      <c r="G172" s="8"/>
      <c r="H172" s="8"/>
      <c r="I172" s="7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ht="15.75" customHeight="1" x14ac:dyDescent="0.3">
      <c r="A173" s="13"/>
      <c r="B173" s="13"/>
      <c r="C173" s="13"/>
      <c r="D173" s="6"/>
      <c r="E173" s="8"/>
      <c r="F173" s="8"/>
      <c r="G173" s="8"/>
      <c r="H173" s="8"/>
      <c r="I173" s="7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ht="15.75" customHeight="1" x14ac:dyDescent="0.3">
      <c r="A174" s="13"/>
      <c r="B174" s="13"/>
      <c r="C174" s="13"/>
      <c r="D174" s="6"/>
      <c r="E174" s="8"/>
      <c r="F174" s="8"/>
      <c r="G174" s="8"/>
      <c r="H174" s="8"/>
      <c r="I174" s="7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ht="15.75" customHeight="1" x14ac:dyDescent="0.3">
      <c r="A175" s="13"/>
      <c r="B175" s="13"/>
      <c r="C175" s="13"/>
      <c r="D175" s="6"/>
      <c r="E175" s="8"/>
      <c r="F175" s="8"/>
      <c r="G175" s="8"/>
      <c r="H175" s="8"/>
      <c r="I175" s="7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ht="15.75" customHeight="1" x14ac:dyDescent="0.3">
      <c r="A176" s="13"/>
      <c r="B176" s="13"/>
      <c r="C176" s="13"/>
      <c r="D176" s="6"/>
      <c r="E176" s="8"/>
      <c r="F176" s="8"/>
      <c r="G176" s="8"/>
      <c r="H176" s="8"/>
      <c r="I176" s="7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ht="15.75" customHeight="1" x14ac:dyDescent="0.3">
      <c r="A177" s="13"/>
      <c r="B177" s="13"/>
      <c r="C177" s="13"/>
      <c r="D177" s="6"/>
      <c r="E177" s="8"/>
      <c r="F177" s="8"/>
      <c r="G177" s="8"/>
      <c r="H177" s="8"/>
      <c r="I177" s="7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ht="15.75" customHeight="1" x14ac:dyDescent="0.3">
      <c r="A178" s="13"/>
      <c r="B178" s="13"/>
      <c r="C178" s="13"/>
      <c r="D178" s="6"/>
      <c r="E178" s="8"/>
      <c r="F178" s="8"/>
      <c r="G178" s="8"/>
      <c r="H178" s="8"/>
      <c r="I178" s="7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ht="15.75" customHeight="1" x14ac:dyDescent="0.3">
      <c r="A179" s="13"/>
      <c r="B179" s="13"/>
      <c r="C179" s="13"/>
      <c r="D179" s="6"/>
      <c r="E179" s="8"/>
      <c r="F179" s="8"/>
      <c r="G179" s="8"/>
      <c r="H179" s="8"/>
      <c r="I179" s="7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ht="15.75" customHeight="1" x14ac:dyDescent="0.3">
      <c r="A180" s="13"/>
      <c r="B180" s="13"/>
      <c r="C180" s="13"/>
      <c r="D180" s="6"/>
      <c r="E180" s="8"/>
      <c r="F180" s="8"/>
      <c r="G180" s="8"/>
      <c r="H180" s="8"/>
      <c r="I180" s="7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ht="15.75" customHeight="1" x14ac:dyDescent="0.3">
      <c r="A181" s="13"/>
      <c r="B181" s="13"/>
      <c r="C181" s="13"/>
      <c r="D181" s="6"/>
      <c r="E181" s="8"/>
      <c r="F181" s="8"/>
      <c r="G181" s="8"/>
      <c r="H181" s="8"/>
      <c r="I181" s="7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ht="15.75" customHeight="1" x14ac:dyDescent="0.3">
      <c r="A182" s="13"/>
      <c r="B182" s="13"/>
      <c r="C182" s="13"/>
      <c r="D182" s="6"/>
      <c r="E182" s="8"/>
      <c r="F182" s="8"/>
      <c r="G182" s="8"/>
      <c r="H182" s="8"/>
      <c r="I182" s="7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ht="15.75" customHeight="1" x14ac:dyDescent="0.3">
      <c r="A183" s="13"/>
      <c r="B183" s="13"/>
      <c r="C183" s="13"/>
      <c r="D183" s="6"/>
      <c r="E183" s="8"/>
      <c r="F183" s="8"/>
      <c r="G183" s="8"/>
      <c r="H183" s="8"/>
      <c r="I183" s="7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ht="15.75" customHeight="1" x14ac:dyDescent="0.3">
      <c r="A184" s="13"/>
      <c r="B184" s="13"/>
      <c r="C184" s="13"/>
      <c r="D184" s="6"/>
      <c r="E184" s="8"/>
      <c r="F184" s="8"/>
      <c r="G184" s="8"/>
      <c r="H184" s="8"/>
      <c r="I184" s="7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ht="15.75" customHeight="1" x14ac:dyDescent="0.3">
      <c r="A185" s="13"/>
      <c r="B185" s="13"/>
      <c r="C185" s="13"/>
      <c r="D185" s="6"/>
      <c r="E185" s="8"/>
      <c r="F185" s="8"/>
      <c r="G185" s="8"/>
      <c r="H185" s="8"/>
      <c r="I185" s="7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ht="15.75" customHeight="1" x14ac:dyDescent="0.3">
      <c r="A186" s="13"/>
      <c r="B186" s="13"/>
      <c r="C186" s="13"/>
      <c r="D186" s="6"/>
      <c r="E186" s="8"/>
      <c r="F186" s="8"/>
      <c r="G186" s="8"/>
      <c r="H186" s="8"/>
      <c r="I186" s="7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ht="15.75" customHeight="1" x14ac:dyDescent="0.3">
      <c r="A187" s="13"/>
      <c r="B187" s="13"/>
      <c r="C187" s="13"/>
      <c r="D187" s="6"/>
      <c r="E187" s="8"/>
      <c r="F187" s="8"/>
      <c r="G187" s="8"/>
      <c r="H187" s="8"/>
      <c r="I187" s="7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ht="15.75" customHeight="1" x14ac:dyDescent="0.3">
      <c r="A188" s="13"/>
      <c r="B188" s="13"/>
      <c r="C188" s="13"/>
      <c r="D188" s="6"/>
      <c r="E188" s="8"/>
      <c r="F188" s="8"/>
      <c r="G188" s="8"/>
      <c r="H188" s="8"/>
      <c r="I188" s="7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ht="15.75" customHeight="1" x14ac:dyDescent="0.3">
      <c r="A189" s="13"/>
      <c r="B189" s="13"/>
      <c r="C189" s="13"/>
      <c r="D189" s="6"/>
      <c r="E189" s="8"/>
      <c r="F189" s="8"/>
      <c r="G189" s="8"/>
      <c r="H189" s="8"/>
      <c r="I189" s="7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ht="15.75" customHeight="1" x14ac:dyDescent="0.3">
      <c r="A190" s="13"/>
      <c r="B190" s="13"/>
      <c r="C190" s="13"/>
      <c r="D190" s="6"/>
      <c r="E190" s="8"/>
      <c r="F190" s="8"/>
      <c r="G190" s="8"/>
      <c r="H190" s="8"/>
      <c r="I190" s="7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ht="15.75" customHeight="1" x14ac:dyDescent="0.3">
      <c r="A191" s="13"/>
      <c r="B191" s="13"/>
      <c r="C191" s="13"/>
      <c r="D191" s="6"/>
      <c r="E191" s="8"/>
      <c r="F191" s="8"/>
      <c r="G191" s="8"/>
      <c r="H191" s="8"/>
      <c r="I191" s="7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ht="15.75" customHeight="1" x14ac:dyDescent="0.3">
      <c r="A192" s="13"/>
      <c r="B192" s="13"/>
      <c r="C192" s="13"/>
      <c r="D192" s="6"/>
      <c r="E192" s="8"/>
      <c r="F192" s="8"/>
      <c r="G192" s="8"/>
      <c r="H192" s="8"/>
      <c r="I192" s="7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ht="15.75" customHeight="1" x14ac:dyDescent="0.3">
      <c r="A193" s="13"/>
      <c r="B193" s="13"/>
      <c r="C193" s="13"/>
      <c r="D193" s="6"/>
      <c r="E193" s="8"/>
      <c r="F193" s="8"/>
      <c r="G193" s="8"/>
      <c r="H193" s="8"/>
      <c r="I193" s="7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ht="15.75" customHeight="1" x14ac:dyDescent="0.3">
      <c r="A194" s="13"/>
      <c r="B194" s="13"/>
      <c r="C194" s="13"/>
      <c r="D194" s="6"/>
      <c r="E194" s="8"/>
      <c r="F194" s="8"/>
      <c r="G194" s="8"/>
      <c r="H194" s="8"/>
      <c r="I194" s="7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ht="15.75" customHeight="1" x14ac:dyDescent="0.3">
      <c r="A195" s="13"/>
      <c r="B195" s="13"/>
      <c r="C195" s="13"/>
      <c r="D195" s="6"/>
      <c r="E195" s="8"/>
      <c r="F195" s="8"/>
      <c r="G195" s="8"/>
      <c r="H195" s="8"/>
      <c r="I195" s="7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ht="15.75" customHeight="1" x14ac:dyDescent="0.3">
      <c r="A196" s="13"/>
      <c r="B196" s="13"/>
      <c r="C196" s="13"/>
      <c r="D196" s="6"/>
      <c r="E196" s="8"/>
      <c r="F196" s="8"/>
      <c r="G196" s="8"/>
      <c r="H196" s="8"/>
      <c r="I196" s="7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ht="15.75" customHeight="1" x14ac:dyDescent="0.3">
      <c r="A197" s="13"/>
      <c r="B197" s="13"/>
      <c r="C197" s="13"/>
      <c r="D197" s="6"/>
      <c r="E197" s="8"/>
      <c r="F197" s="8"/>
      <c r="G197" s="8"/>
      <c r="H197" s="8"/>
      <c r="I197" s="7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ht="15.75" customHeight="1" x14ac:dyDescent="0.3">
      <c r="A198" s="13"/>
      <c r="B198" s="13"/>
      <c r="C198" s="13"/>
      <c r="D198" s="6"/>
      <c r="E198" s="8"/>
      <c r="F198" s="8"/>
      <c r="G198" s="8"/>
      <c r="H198" s="8"/>
      <c r="I198" s="7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ht="15.75" customHeight="1" x14ac:dyDescent="0.3">
      <c r="A199" s="13"/>
      <c r="B199" s="13"/>
      <c r="C199" s="13"/>
      <c r="D199" s="6"/>
      <c r="E199" s="8"/>
      <c r="F199" s="8"/>
      <c r="G199" s="8"/>
      <c r="H199" s="8"/>
      <c r="I199" s="7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ht="15.75" customHeight="1" x14ac:dyDescent="0.3">
      <c r="A200" s="13"/>
      <c r="B200" s="13"/>
      <c r="C200" s="13"/>
      <c r="D200" s="6"/>
      <c r="E200" s="8"/>
      <c r="F200" s="8"/>
      <c r="G200" s="8"/>
      <c r="H200" s="8"/>
      <c r="I200" s="7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ht="15.75" customHeight="1" x14ac:dyDescent="0.3">
      <c r="A201" s="13"/>
      <c r="B201" s="13"/>
      <c r="C201" s="13"/>
      <c r="D201" s="6"/>
      <c r="E201" s="8"/>
      <c r="F201" s="8"/>
      <c r="G201" s="8"/>
      <c r="H201" s="8"/>
      <c r="I201" s="7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ht="15.75" customHeight="1" x14ac:dyDescent="0.3">
      <c r="A202" s="13"/>
      <c r="B202" s="13"/>
      <c r="C202" s="13"/>
      <c r="D202" s="6"/>
      <c r="E202" s="8"/>
      <c r="F202" s="8"/>
      <c r="G202" s="8"/>
      <c r="H202" s="8"/>
      <c r="I202" s="7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ht="15.75" customHeight="1" x14ac:dyDescent="0.3">
      <c r="A203" s="13"/>
      <c r="B203" s="13"/>
      <c r="C203" s="13"/>
      <c r="D203" s="6"/>
      <c r="E203" s="8"/>
      <c r="F203" s="8"/>
      <c r="G203" s="8"/>
      <c r="H203" s="8"/>
      <c r="I203" s="7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ht="15.75" customHeight="1" x14ac:dyDescent="0.3">
      <c r="A204" s="13"/>
      <c r="B204" s="13"/>
      <c r="C204" s="13"/>
      <c r="D204" s="6"/>
      <c r="E204" s="8"/>
      <c r="F204" s="8"/>
      <c r="G204" s="8"/>
      <c r="H204" s="8"/>
      <c r="I204" s="7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ht="15.75" customHeight="1" x14ac:dyDescent="0.3">
      <c r="A205" s="13"/>
      <c r="B205" s="13"/>
      <c r="C205" s="13"/>
      <c r="D205" s="6"/>
      <c r="E205" s="8"/>
      <c r="F205" s="8"/>
      <c r="G205" s="8"/>
      <c r="H205" s="8"/>
      <c r="I205" s="7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ht="15.75" customHeight="1" x14ac:dyDescent="0.3">
      <c r="A206" s="13"/>
      <c r="B206" s="13"/>
      <c r="C206" s="13"/>
      <c r="D206" s="6"/>
      <c r="E206" s="8"/>
      <c r="F206" s="8"/>
      <c r="G206" s="8"/>
      <c r="H206" s="8"/>
      <c r="I206" s="7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ht="15.75" customHeight="1" x14ac:dyDescent="0.3">
      <c r="A207" s="13"/>
      <c r="B207" s="13"/>
      <c r="C207" s="13"/>
      <c r="D207" s="6"/>
      <c r="E207" s="8"/>
      <c r="F207" s="8"/>
      <c r="G207" s="8"/>
      <c r="H207" s="8"/>
      <c r="I207" s="7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ht="15.75" customHeight="1" x14ac:dyDescent="0.3">
      <c r="A208" s="13"/>
      <c r="B208" s="13"/>
      <c r="C208" s="13"/>
      <c r="D208" s="6"/>
      <c r="E208" s="8"/>
      <c r="F208" s="8"/>
      <c r="G208" s="8"/>
      <c r="H208" s="8"/>
      <c r="I208" s="7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ht="15.75" customHeight="1" x14ac:dyDescent="0.3">
      <c r="A209" s="13"/>
      <c r="B209" s="13"/>
      <c r="C209" s="13"/>
      <c r="D209" s="6"/>
      <c r="E209" s="8"/>
      <c r="F209" s="8"/>
      <c r="G209" s="8"/>
      <c r="H209" s="8"/>
      <c r="I209" s="7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ht="15.75" customHeight="1" x14ac:dyDescent="0.3">
      <c r="A210" s="13"/>
      <c r="B210" s="13"/>
      <c r="C210" s="13"/>
      <c r="D210" s="6"/>
      <c r="E210" s="8"/>
      <c r="F210" s="8"/>
      <c r="G210" s="8"/>
      <c r="H210" s="8"/>
      <c r="I210" s="7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ht="15.75" customHeight="1" x14ac:dyDescent="0.3">
      <c r="A211" s="13"/>
      <c r="B211" s="13"/>
      <c r="C211" s="13"/>
      <c r="D211" s="6"/>
      <c r="E211" s="8"/>
      <c r="F211" s="8"/>
      <c r="G211" s="8"/>
      <c r="H211" s="8"/>
      <c r="I211" s="7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ht="15.75" customHeight="1" x14ac:dyDescent="0.3">
      <c r="A212" s="13"/>
      <c r="B212" s="13"/>
      <c r="C212" s="13"/>
      <c r="D212" s="6"/>
      <c r="E212" s="8"/>
      <c r="F212" s="8"/>
      <c r="G212" s="8"/>
      <c r="H212" s="8"/>
      <c r="I212" s="7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ht="15.75" customHeight="1" x14ac:dyDescent="0.3">
      <c r="A213" s="13"/>
      <c r="B213" s="13"/>
      <c r="C213" s="13"/>
      <c r="D213" s="6"/>
      <c r="E213" s="8"/>
      <c r="F213" s="8"/>
      <c r="G213" s="8"/>
      <c r="H213" s="8"/>
      <c r="I213" s="7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ht="15.75" customHeight="1" x14ac:dyDescent="0.3">
      <c r="A214" s="13"/>
      <c r="B214" s="13"/>
      <c r="C214" s="13"/>
      <c r="D214" s="6"/>
      <c r="E214" s="8"/>
      <c r="F214" s="8"/>
      <c r="G214" s="8"/>
      <c r="H214" s="8"/>
      <c r="I214" s="7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ht="15.75" customHeight="1" x14ac:dyDescent="0.3">
      <c r="A215" s="13"/>
      <c r="B215" s="13"/>
      <c r="C215" s="13"/>
      <c r="D215" s="6"/>
      <c r="E215" s="8"/>
      <c r="F215" s="8"/>
      <c r="G215" s="8"/>
      <c r="H215" s="8"/>
      <c r="I215" s="7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ht="15.75" customHeight="1" x14ac:dyDescent="0.3">
      <c r="A216" s="13"/>
      <c r="B216" s="13"/>
      <c r="C216" s="13"/>
      <c r="D216" s="6"/>
      <c r="E216" s="8"/>
      <c r="F216" s="8"/>
      <c r="G216" s="8"/>
      <c r="H216" s="8"/>
      <c r="I216" s="7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ht="15.75" customHeight="1" x14ac:dyDescent="0.3">
      <c r="A217" s="13"/>
      <c r="B217" s="13"/>
      <c r="C217" s="13"/>
      <c r="D217" s="6"/>
      <c r="E217" s="8"/>
      <c r="F217" s="8"/>
      <c r="G217" s="8"/>
      <c r="H217" s="8"/>
      <c r="I217" s="7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ht="15.75" customHeight="1" x14ac:dyDescent="0.3">
      <c r="A218" s="13"/>
      <c r="B218" s="13"/>
      <c r="C218" s="13"/>
      <c r="D218" s="6"/>
      <c r="E218" s="8"/>
      <c r="F218" s="8"/>
      <c r="G218" s="8"/>
      <c r="H218" s="8"/>
      <c r="I218" s="7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ht="15.75" customHeight="1" x14ac:dyDescent="0.3">
      <c r="A219" s="13"/>
      <c r="B219" s="13"/>
      <c r="C219" s="13"/>
      <c r="D219" s="6"/>
      <c r="E219" s="8"/>
      <c r="F219" s="8"/>
      <c r="G219" s="8"/>
      <c r="H219" s="8"/>
      <c r="I219" s="7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ht="15.75" customHeight="1" x14ac:dyDescent="0.3">
      <c r="A220" s="13"/>
      <c r="B220" s="13"/>
      <c r="C220" s="13"/>
      <c r="D220" s="6"/>
      <c r="E220" s="8"/>
      <c r="F220" s="8"/>
      <c r="G220" s="8"/>
      <c r="H220" s="8"/>
      <c r="I220" s="7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ht="15.75" customHeight="1" x14ac:dyDescent="0.3">
      <c r="A221" s="13"/>
      <c r="B221" s="13"/>
      <c r="C221" s="13"/>
      <c r="D221" s="6"/>
      <c r="E221" s="8"/>
      <c r="F221" s="8"/>
      <c r="G221" s="8"/>
      <c r="H221" s="8"/>
      <c r="I221" s="7"/>
      <c r="J221" s="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ht="15.75" customHeight="1" x14ac:dyDescent="0.3">
      <c r="A222" s="13"/>
      <c r="B222" s="13"/>
      <c r="C222" s="13"/>
      <c r="D222" s="6"/>
      <c r="E222" s="8"/>
      <c r="F222" s="8"/>
      <c r="G222" s="8"/>
      <c r="H222" s="8"/>
      <c r="I222" s="7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ht="15.75" customHeight="1" x14ac:dyDescent="0.3">
      <c r="A223" s="13"/>
      <c r="B223" s="13"/>
      <c r="C223" s="13"/>
      <c r="D223" s="6"/>
      <c r="E223" s="8"/>
      <c r="F223" s="8"/>
      <c r="G223" s="8"/>
      <c r="H223" s="8"/>
      <c r="I223" s="7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ht="15.75" customHeight="1" x14ac:dyDescent="0.3">
      <c r="A224" s="13"/>
      <c r="B224" s="13"/>
      <c r="C224" s="13"/>
      <c r="D224" s="6"/>
      <c r="E224" s="8"/>
      <c r="F224" s="8"/>
      <c r="G224" s="8"/>
      <c r="H224" s="8"/>
      <c r="I224" s="7"/>
      <c r="J224" s="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ht="15.75" customHeight="1" x14ac:dyDescent="0.3">
      <c r="A225" s="13"/>
      <c r="B225" s="13"/>
      <c r="C225" s="13"/>
      <c r="D225" s="6"/>
      <c r="E225" s="8"/>
      <c r="F225" s="8"/>
      <c r="G225" s="8"/>
      <c r="H225" s="8"/>
      <c r="I225" s="7"/>
      <c r="J225" s="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ht="15.75" customHeight="1" x14ac:dyDescent="0.3">
      <c r="A226" s="13"/>
      <c r="B226" s="13"/>
      <c r="C226" s="13"/>
      <c r="D226" s="6"/>
      <c r="E226" s="8"/>
      <c r="F226" s="8"/>
      <c r="G226" s="8"/>
      <c r="H226" s="8"/>
      <c r="I226" s="7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ht="15.75" customHeight="1" x14ac:dyDescent="0.3">
      <c r="A227" s="13"/>
      <c r="B227" s="13"/>
      <c r="C227" s="13"/>
      <c r="D227" s="6"/>
      <c r="E227" s="8"/>
      <c r="F227" s="8"/>
      <c r="G227" s="8"/>
      <c r="H227" s="8"/>
      <c r="I227" s="7"/>
      <c r="J227" s="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ht="15.75" customHeight="1" x14ac:dyDescent="0.3">
      <c r="A228" s="13"/>
      <c r="B228" s="13"/>
      <c r="C228" s="13"/>
      <c r="D228" s="6"/>
      <c r="E228" s="8"/>
      <c r="F228" s="8"/>
      <c r="G228" s="8"/>
      <c r="H228" s="8"/>
      <c r="I228" s="7"/>
      <c r="J228" s="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ht="15.75" customHeight="1" x14ac:dyDescent="0.3">
      <c r="A229" s="13"/>
      <c r="B229" s="13"/>
      <c r="C229" s="13"/>
      <c r="D229" s="6"/>
      <c r="E229" s="8"/>
      <c r="F229" s="8"/>
      <c r="G229" s="8"/>
      <c r="H229" s="8"/>
      <c r="I229" s="7"/>
      <c r="J229" s="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ht="15.75" customHeight="1" x14ac:dyDescent="0.3">
      <c r="A230" s="13"/>
      <c r="B230" s="13"/>
      <c r="C230" s="13"/>
      <c r="D230" s="6"/>
      <c r="E230" s="8"/>
      <c r="F230" s="8"/>
      <c r="G230" s="8"/>
      <c r="H230" s="8"/>
      <c r="I230" s="7"/>
      <c r="J230" s="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ht="15.75" customHeight="1" x14ac:dyDescent="0.3">
      <c r="A231" s="13"/>
      <c r="B231" s="13"/>
      <c r="C231" s="13"/>
      <c r="D231" s="6"/>
      <c r="E231" s="8"/>
      <c r="F231" s="8"/>
      <c r="G231" s="8"/>
      <c r="H231" s="8"/>
      <c r="I231" s="7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ht="15.75" customHeight="1" x14ac:dyDescent="0.3">
      <c r="A232" s="13"/>
      <c r="B232" s="13"/>
      <c r="C232" s="13"/>
      <c r="D232" s="6"/>
      <c r="E232" s="8"/>
      <c r="F232" s="8"/>
      <c r="G232" s="8"/>
      <c r="H232" s="8"/>
      <c r="I232" s="7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ht="15.75" customHeight="1" x14ac:dyDescent="0.3">
      <c r="A233" s="13"/>
      <c r="B233" s="13"/>
      <c r="C233" s="13"/>
      <c r="D233" s="6"/>
      <c r="E233" s="8"/>
      <c r="F233" s="8"/>
      <c r="G233" s="8"/>
      <c r="H233" s="8"/>
      <c r="I233" s="7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ht="15.75" customHeight="1" x14ac:dyDescent="0.3">
      <c r="A234" s="13"/>
      <c r="B234" s="13"/>
      <c r="C234" s="13"/>
      <c r="D234" s="6"/>
      <c r="E234" s="8"/>
      <c r="F234" s="8"/>
      <c r="G234" s="8"/>
      <c r="H234" s="8"/>
      <c r="I234" s="7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ht="15.75" customHeight="1" x14ac:dyDescent="0.3">
      <c r="A235" s="13"/>
      <c r="B235" s="13"/>
      <c r="C235" s="13"/>
      <c r="D235" s="6"/>
      <c r="E235" s="8"/>
      <c r="F235" s="8"/>
      <c r="G235" s="8"/>
      <c r="H235" s="8"/>
      <c r="I235" s="7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ht="15.75" customHeight="1" x14ac:dyDescent="0.3">
      <c r="A236" s="13"/>
      <c r="B236" s="13"/>
      <c r="C236" s="13"/>
      <c r="D236" s="6"/>
      <c r="E236" s="8"/>
      <c r="F236" s="8"/>
      <c r="G236" s="8"/>
      <c r="H236" s="8"/>
      <c r="I236" s="7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ht="15.75" customHeight="1" x14ac:dyDescent="0.3">
      <c r="A237" s="13"/>
      <c r="B237" s="13"/>
      <c r="C237" s="13"/>
      <c r="D237" s="6"/>
      <c r="E237" s="8"/>
      <c r="F237" s="8"/>
      <c r="G237" s="8"/>
      <c r="H237" s="8"/>
      <c r="I237" s="7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ht="15.75" customHeight="1" x14ac:dyDescent="0.3">
      <c r="A238" s="13"/>
      <c r="B238" s="13"/>
      <c r="C238" s="13"/>
      <c r="D238" s="6"/>
      <c r="E238" s="8"/>
      <c r="F238" s="8"/>
      <c r="G238" s="8"/>
      <c r="H238" s="8"/>
      <c r="I238" s="7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ht="15.75" customHeight="1" x14ac:dyDescent="0.3">
      <c r="A239" s="13"/>
      <c r="B239" s="13"/>
      <c r="C239" s="13"/>
      <c r="D239" s="6"/>
      <c r="E239" s="8"/>
      <c r="F239" s="8"/>
      <c r="G239" s="8"/>
      <c r="H239" s="8"/>
      <c r="I239" s="7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ht="15.75" customHeight="1" x14ac:dyDescent="0.3">
      <c r="A240" s="13"/>
      <c r="B240" s="13"/>
      <c r="C240" s="13"/>
      <c r="D240" s="6"/>
      <c r="E240" s="8"/>
      <c r="F240" s="8"/>
      <c r="G240" s="8"/>
      <c r="H240" s="8"/>
      <c r="I240" s="7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ht="15.75" customHeight="1" x14ac:dyDescent="0.3">
      <c r="A241" s="13"/>
      <c r="B241" s="13"/>
      <c r="C241" s="13"/>
      <c r="D241" s="6"/>
      <c r="E241" s="8"/>
      <c r="F241" s="8"/>
      <c r="G241" s="8"/>
      <c r="H241" s="8"/>
      <c r="I241" s="7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ht="15.75" customHeight="1" x14ac:dyDescent="0.3">
      <c r="A242" s="13"/>
      <c r="B242" s="13"/>
      <c r="C242" s="13"/>
      <c r="D242" s="6"/>
      <c r="E242" s="8"/>
      <c r="F242" s="8"/>
      <c r="G242" s="8"/>
      <c r="H242" s="8"/>
      <c r="I242" s="7"/>
      <c r="J242" s="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ht="15.75" customHeight="1" x14ac:dyDescent="0.3">
      <c r="A243" s="13"/>
      <c r="B243" s="13"/>
      <c r="C243" s="13"/>
      <c r="D243" s="6"/>
      <c r="E243" s="8"/>
      <c r="F243" s="8"/>
      <c r="G243" s="8"/>
      <c r="H243" s="8"/>
      <c r="I243" s="7"/>
      <c r="J243" s="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ht="15.75" customHeight="1" x14ac:dyDescent="0.3">
      <c r="A244" s="13"/>
      <c r="B244" s="13"/>
      <c r="C244" s="13"/>
      <c r="D244" s="6"/>
      <c r="E244" s="8"/>
      <c r="F244" s="8"/>
      <c r="G244" s="8"/>
      <c r="H244" s="8"/>
      <c r="I244" s="7"/>
      <c r="J244" s="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ht="15.75" customHeight="1" x14ac:dyDescent="0.3">
      <c r="A245" s="13"/>
      <c r="B245" s="13"/>
      <c r="C245" s="13"/>
      <c r="D245" s="6"/>
      <c r="E245" s="8"/>
      <c r="F245" s="8"/>
      <c r="G245" s="8"/>
      <c r="H245" s="8"/>
      <c r="I245" s="7"/>
      <c r="J245" s="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ht="15.75" customHeight="1" x14ac:dyDescent="0.3">
      <c r="A246" s="13"/>
      <c r="B246" s="13"/>
      <c r="C246" s="13"/>
      <c r="D246" s="6"/>
      <c r="E246" s="8"/>
      <c r="F246" s="8"/>
      <c r="G246" s="8"/>
      <c r="H246" s="8"/>
      <c r="I246" s="7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ht="15.75" customHeight="1" x14ac:dyDescent="0.3">
      <c r="A247" s="13"/>
      <c r="B247" s="13"/>
      <c r="C247" s="13"/>
      <c r="D247" s="6"/>
      <c r="E247" s="8"/>
      <c r="F247" s="8"/>
      <c r="G247" s="8"/>
      <c r="H247" s="8"/>
      <c r="I247" s="7"/>
      <c r="J247" s="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ht="15.75" customHeight="1" x14ac:dyDescent="0.3">
      <c r="A248" s="13"/>
      <c r="B248" s="13"/>
      <c r="C248" s="13"/>
      <c r="D248" s="6"/>
      <c r="E248" s="8"/>
      <c r="F248" s="8"/>
      <c r="G248" s="8"/>
      <c r="H248" s="8"/>
      <c r="I248" s="7"/>
      <c r="J248" s="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ht="15.75" customHeight="1" x14ac:dyDescent="0.3">
      <c r="A249" s="13"/>
      <c r="B249" s="13"/>
      <c r="C249" s="13"/>
      <c r="D249" s="6"/>
      <c r="E249" s="8"/>
      <c r="F249" s="8"/>
      <c r="G249" s="8"/>
      <c r="H249" s="8"/>
      <c r="I249" s="7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ht="15.75" customHeight="1" x14ac:dyDescent="0.3">
      <c r="A250" s="13"/>
      <c r="B250" s="13"/>
      <c r="C250" s="13"/>
      <c r="D250" s="6"/>
      <c r="E250" s="8"/>
      <c r="F250" s="8"/>
      <c r="G250" s="8"/>
      <c r="H250" s="8"/>
      <c r="I250" s="7"/>
      <c r="J250" s="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ht="15.75" customHeight="1" x14ac:dyDescent="0.3">
      <c r="A251" s="13"/>
      <c r="B251" s="13"/>
      <c r="C251" s="13"/>
      <c r="D251" s="6"/>
      <c r="E251" s="8"/>
      <c r="F251" s="8"/>
      <c r="G251" s="8"/>
      <c r="H251" s="8"/>
      <c r="I251" s="7"/>
      <c r="J251" s="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ht="15.75" customHeight="1" x14ac:dyDescent="0.3">
      <c r="A252" s="13"/>
      <c r="B252" s="13"/>
      <c r="C252" s="13"/>
      <c r="D252" s="6"/>
      <c r="E252" s="8"/>
      <c r="F252" s="8"/>
      <c r="G252" s="8"/>
      <c r="H252" s="8"/>
      <c r="I252" s="7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ht="15.75" customHeight="1" x14ac:dyDescent="0.3">
      <c r="A253" s="13"/>
      <c r="B253" s="13"/>
      <c r="C253" s="13"/>
      <c r="D253" s="6"/>
      <c r="E253" s="8"/>
      <c r="F253" s="8"/>
      <c r="G253" s="8"/>
      <c r="H253" s="8"/>
      <c r="I253" s="7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ht="15.75" customHeight="1" x14ac:dyDescent="0.3">
      <c r="A254" s="13"/>
      <c r="B254" s="13"/>
      <c r="C254" s="13"/>
      <c r="D254" s="6"/>
      <c r="E254" s="8"/>
      <c r="F254" s="8"/>
      <c r="G254" s="8"/>
      <c r="H254" s="8"/>
      <c r="I254" s="7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ht="15.75" customHeight="1" x14ac:dyDescent="0.3">
      <c r="A255" s="13"/>
      <c r="B255" s="13"/>
      <c r="C255" s="13"/>
      <c r="D255" s="6"/>
      <c r="E255" s="8"/>
      <c r="F255" s="8"/>
      <c r="G255" s="8"/>
      <c r="H255" s="8"/>
      <c r="I255" s="7"/>
      <c r="J255" s="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ht="15.75" customHeight="1" x14ac:dyDescent="0.3">
      <c r="A256" s="13"/>
      <c r="B256" s="13"/>
      <c r="C256" s="13"/>
      <c r="D256" s="6"/>
      <c r="E256" s="8"/>
      <c r="F256" s="8"/>
      <c r="G256" s="8"/>
      <c r="H256" s="8"/>
      <c r="I256" s="7"/>
      <c r="J256" s="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ht="15.75" customHeight="1" x14ac:dyDescent="0.3">
      <c r="A257" s="13"/>
      <c r="B257" s="13"/>
      <c r="C257" s="13"/>
      <c r="D257" s="6"/>
      <c r="E257" s="8"/>
      <c r="F257" s="8"/>
      <c r="G257" s="8"/>
      <c r="H257" s="8"/>
      <c r="I257" s="7"/>
      <c r="J257" s="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ht="15.75" customHeight="1" x14ac:dyDescent="0.3">
      <c r="A258" s="13"/>
      <c r="B258" s="13"/>
      <c r="C258" s="13"/>
      <c r="D258" s="6"/>
      <c r="E258" s="8"/>
      <c r="F258" s="8"/>
      <c r="G258" s="8"/>
      <c r="H258" s="8"/>
      <c r="I258" s="7"/>
      <c r="J258" s="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ht="15.75" customHeight="1" x14ac:dyDescent="0.3">
      <c r="A259" s="13"/>
      <c r="B259" s="13"/>
      <c r="C259" s="13"/>
      <c r="D259" s="6"/>
      <c r="E259" s="8"/>
      <c r="F259" s="8"/>
      <c r="G259" s="8"/>
      <c r="H259" s="8"/>
      <c r="I259" s="7"/>
      <c r="J259" s="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ht="15.75" customHeight="1" x14ac:dyDescent="0.3">
      <c r="A260" s="13"/>
      <c r="B260" s="13"/>
      <c r="C260" s="13"/>
      <c r="D260" s="6"/>
      <c r="E260" s="8"/>
      <c r="F260" s="8"/>
      <c r="G260" s="8"/>
      <c r="H260" s="8"/>
      <c r="I260" s="7"/>
      <c r="J260" s="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ht="15.75" customHeight="1" x14ac:dyDescent="0.3">
      <c r="A261" s="13"/>
      <c r="B261" s="13"/>
      <c r="C261" s="13"/>
      <c r="D261" s="6"/>
      <c r="E261" s="8"/>
      <c r="F261" s="8"/>
      <c r="G261" s="8"/>
      <c r="H261" s="8"/>
      <c r="I261" s="7"/>
      <c r="J261" s="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ht="15.75" customHeight="1" x14ac:dyDescent="0.3">
      <c r="A262" s="13"/>
      <c r="B262" s="13"/>
      <c r="C262" s="13"/>
      <c r="D262" s="6"/>
      <c r="E262" s="8"/>
      <c r="F262" s="8"/>
      <c r="G262" s="8"/>
      <c r="H262" s="8"/>
      <c r="I262" s="7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ht="15.75" customHeight="1" x14ac:dyDescent="0.3">
      <c r="A263" s="13"/>
      <c r="B263" s="13"/>
      <c r="C263" s="13"/>
      <c r="D263" s="6"/>
      <c r="E263" s="8"/>
      <c r="F263" s="8"/>
      <c r="G263" s="8"/>
      <c r="H263" s="8"/>
      <c r="I263" s="7"/>
      <c r="J263" s="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ht="15.75" customHeight="1" x14ac:dyDescent="0.3">
      <c r="A264" s="13"/>
      <c r="B264" s="13"/>
      <c r="C264" s="13"/>
      <c r="D264" s="6"/>
      <c r="E264" s="8"/>
      <c r="F264" s="8"/>
      <c r="G264" s="8"/>
      <c r="H264" s="8"/>
      <c r="I264" s="7"/>
      <c r="J264" s="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ht="15.75" customHeight="1" x14ac:dyDescent="0.3">
      <c r="A265" s="13"/>
      <c r="B265" s="13"/>
      <c r="C265" s="13"/>
      <c r="D265" s="6"/>
      <c r="E265" s="8"/>
      <c r="F265" s="8"/>
      <c r="G265" s="8"/>
      <c r="H265" s="8"/>
      <c r="I265" s="7"/>
      <c r="J265" s="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ht="15.75" customHeight="1" x14ac:dyDescent="0.3">
      <c r="A266" s="13"/>
      <c r="B266" s="13"/>
      <c r="C266" s="13"/>
      <c r="D266" s="6"/>
      <c r="E266" s="8"/>
      <c r="F266" s="8"/>
      <c r="G266" s="8"/>
      <c r="H266" s="8"/>
      <c r="I266" s="7"/>
      <c r="J266" s="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ht="15.75" customHeight="1" x14ac:dyDescent="0.3">
      <c r="A267" s="13"/>
      <c r="B267" s="13"/>
      <c r="C267" s="13"/>
      <c r="D267" s="6"/>
      <c r="E267" s="8"/>
      <c r="F267" s="8"/>
      <c r="G267" s="8"/>
      <c r="H267" s="8"/>
      <c r="I267" s="7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ht="15.75" customHeight="1" x14ac:dyDescent="0.3">
      <c r="A268" s="13"/>
      <c r="B268" s="13"/>
      <c r="C268" s="13"/>
      <c r="D268" s="6"/>
      <c r="E268" s="8"/>
      <c r="F268" s="8"/>
      <c r="G268" s="8"/>
      <c r="H268" s="8"/>
      <c r="I268" s="7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ht="15.75" customHeight="1" x14ac:dyDescent="0.3">
      <c r="A269" s="13"/>
      <c r="B269" s="13"/>
      <c r="C269" s="13"/>
      <c r="D269" s="6"/>
      <c r="E269" s="8"/>
      <c r="F269" s="8"/>
      <c r="G269" s="8"/>
      <c r="H269" s="8"/>
      <c r="I269" s="7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ht="15.75" customHeight="1" x14ac:dyDescent="0.3">
      <c r="A270" s="13"/>
      <c r="B270" s="13"/>
      <c r="C270" s="13"/>
      <c r="D270" s="6"/>
      <c r="E270" s="8"/>
      <c r="F270" s="8"/>
      <c r="G270" s="8"/>
      <c r="H270" s="8"/>
      <c r="I270" s="7"/>
      <c r="J270" s="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ht="15.75" customHeight="1" x14ac:dyDescent="0.3">
      <c r="A271" s="13"/>
      <c r="B271" s="13"/>
      <c r="C271" s="13"/>
      <c r="D271" s="6"/>
      <c r="E271" s="8"/>
      <c r="F271" s="8"/>
      <c r="G271" s="8"/>
      <c r="H271" s="8"/>
      <c r="I271" s="7"/>
      <c r="J271" s="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ht="15.75" customHeight="1" x14ac:dyDescent="0.3">
      <c r="A272" s="13"/>
      <c r="B272" s="13"/>
      <c r="C272" s="13"/>
      <c r="D272" s="6"/>
      <c r="E272" s="8"/>
      <c r="F272" s="8"/>
      <c r="G272" s="8"/>
      <c r="H272" s="8"/>
      <c r="I272" s="7"/>
      <c r="J272" s="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ht="15.75" customHeight="1" x14ac:dyDescent="0.3">
      <c r="A273" s="13"/>
      <c r="B273" s="13"/>
      <c r="C273" s="13"/>
      <c r="D273" s="6"/>
      <c r="E273" s="8"/>
      <c r="F273" s="8"/>
      <c r="G273" s="8"/>
      <c r="H273" s="8"/>
      <c r="I273" s="7"/>
      <c r="J273" s="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ht="15.75" customHeight="1" x14ac:dyDescent="0.3">
      <c r="A274" s="13"/>
      <c r="B274" s="13"/>
      <c r="C274" s="13"/>
      <c r="D274" s="6"/>
      <c r="E274" s="8"/>
      <c r="F274" s="8"/>
      <c r="G274" s="8"/>
      <c r="H274" s="8"/>
      <c r="I274" s="7"/>
      <c r="J274" s="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ht="15.75" customHeight="1" x14ac:dyDescent="0.3">
      <c r="A275" s="13"/>
      <c r="B275" s="13"/>
      <c r="C275" s="13"/>
      <c r="D275" s="6"/>
      <c r="E275" s="8"/>
      <c r="F275" s="8"/>
      <c r="G275" s="8"/>
      <c r="H275" s="8"/>
      <c r="I275" s="7"/>
      <c r="J275" s="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ht="15.75" customHeight="1" x14ac:dyDescent="0.3">
      <c r="A276" s="13"/>
      <c r="B276" s="13"/>
      <c r="C276" s="13"/>
      <c r="D276" s="6"/>
      <c r="E276" s="8"/>
      <c r="F276" s="8"/>
      <c r="G276" s="8"/>
      <c r="H276" s="8"/>
      <c r="I276" s="7"/>
      <c r="J276" s="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ht="15.75" customHeight="1" x14ac:dyDescent="0.3">
      <c r="A277" s="13"/>
      <c r="B277" s="13"/>
      <c r="C277" s="13"/>
      <c r="D277" s="6"/>
      <c r="E277" s="8"/>
      <c r="F277" s="8"/>
      <c r="G277" s="8"/>
      <c r="H277" s="8"/>
      <c r="I277" s="7"/>
      <c r="J277" s="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ht="15.75" customHeight="1" x14ac:dyDescent="0.3">
      <c r="A278" s="13"/>
      <c r="B278" s="13"/>
      <c r="C278" s="13"/>
      <c r="D278" s="6"/>
      <c r="E278" s="8"/>
      <c r="F278" s="8"/>
      <c r="G278" s="8"/>
      <c r="H278" s="8"/>
      <c r="I278" s="7"/>
      <c r="J278" s="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ht="15.75" customHeight="1" x14ac:dyDescent="0.3">
      <c r="A279" s="13"/>
      <c r="B279" s="13"/>
      <c r="C279" s="13"/>
      <c r="D279" s="6"/>
      <c r="E279" s="8"/>
      <c r="F279" s="8"/>
      <c r="G279" s="8"/>
      <c r="H279" s="8"/>
      <c r="I279" s="7"/>
      <c r="J279" s="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ht="15.75" customHeight="1" x14ac:dyDescent="0.3">
      <c r="A280" s="13"/>
      <c r="B280" s="13"/>
      <c r="C280" s="13"/>
      <c r="D280" s="6"/>
      <c r="E280" s="8"/>
      <c r="F280" s="8"/>
      <c r="G280" s="8"/>
      <c r="H280" s="8"/>
      <c r="I280" s="7"/>
      <c r="J280" s="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ht="15.75" customHeight="1" x14ac:dyDescent="0.3">
      <c r="A281" s="13"/>
      <c r="B281" s="13"/>
      <c r="C281" s="13"/>
      <c r="D281" s="6"/>
      <c r="E281" s="8"/>
      <c r="F281" s="8"/>
      <c r="G281" s="8"/>
      <c r="H281" s="8"/>
      <c r="I281" s="7"/>
      <c r="J281" s="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ht="15.75" customHeight="1" x14ac:dyDescent="0.3">
      <c r="A282" s="13"/>
      <c r="B282" s="13"/>
      <c r="C282" s="13"/>
      <c r="D282" s="6"/>
      <c r="E282" s="8"/>
      <c r="F282" s="8"/>
      <c r="G282" s="8"/>
      <c r="H282" s="8"/>
      <c r="I282" s="7"/>
      <c r="J282" s="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ht="15.75" customHeight="1" x14ac:dyDescent="0.3">
      <c r="A283" s="13"/>
      <c r="B283" s="13"/>
      <c r="C283" s="13"/>
      <c r="D283" s="6"/>
      <c r="E283" s="8"/>
      <c r="F283" s="8"/>
      <c r="G283" s="8"/>
      <c r="H283" s="8"/>
      <c r="I283" s="7"/>
      <c r="J283" s="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ht="15.75" customHeight="1" x14ac:dyDescent="0.3">
      <c r="A284" s="13"/>
      <c r="B284" s="13"/>
      <c r="C284" s="13"/>
      <c r="D284" s="6"/>
      <c r="E284" s="8"/>
      <c r="F284" s="8"/>
      <c r="G284" s="8"/>
      <c r="H284" s="8"/>
      <c r="I284" s="7"/>
      <c r="J284" s="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ht="15.75" customHeight="1" x14ac:dyDescent="0.3">
      <c r="A285" s="13"/>
      <c r="B285" s="13"/>
      <c r="C285" s="13"/>
      <c r="D285" s="6"/>
      <c r="E285" s="8"/>
      <c r="F285" s="8"/>
      <c r="G285" s="8"/>
      <c r="H285" s="8"/>
      <c r="I285" s="7"/>
      <c r="J285" s="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ht="15.75" customHeight="1" x14ac:dyDescent="0.3">
      <c r="A286" s="13"/>
      <c r="B286" s="13"/>
      <c r="C286" s="13"/>
      <c r="D286" s="6"/>
      <c r="E286" s="8"/>
      <c r="F286" s="8"/>
      <c r="G286" s="8"/>
      <c r="H286" s="8"/>
      <c r="I286" s="7"/>
      <c r="J286" s="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ht="15.75" customHeight="1" x14ac:dyDescent="0.3">
      <c r="A287" s="13"/>
      <c r="B287" s="13"/>
      <c r="C287" s="13"/>
      <c r="D287" s="6"/>
      <c r="E287" s="8"/>
      <c r="F287" s="8"/>
      <c r="G287" s="8"/>
      <c r="H287" s="8"/>
      <c r="I287" s="7"/>
      <c r="J287" s="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ht="15.75" customHeight="1" x14ac:dyDescent="0.3">
      <c r="A288" s="13"/>
      <c r="B288" s="13"/>
      <c r="C288" s="13"/>
      <c r="D288" s="6"/>
      <c r="E288" s="8"/>
      <c r="F288" s="8"/>
      <c r="G288" s="8"/>
      <c r="H288" s="8"/>
      <c r="I288" s="7"/>
      <c r="J288" s="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ht="15.75" customHeight="1" x14ac:dyDescent="0.3">
      <c r="A289" s="13"/>
      <c r="B289" s="13"/>
      <c r="C289" s="13"/>
      <c r="D289" s="6"/>
      <c r="E289" s="8"/>
      <c r="F289" s="8"/>
      <c r="G289" s="8"/>
      <c r="H289" s="8"/>
      <c r="I289" s="7"/>
      <c r="J289" s="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ht="15.75" customHeight="1" x14ac:dyDescent="0.3">
      <c r="A290" s="13"/>
      <c r="B290" s="13"/>
      <c r="C290" s="13"/>
      <c r="D290" s="6"/>
      <c r="E290" s="8"/>
      <c r="F290" s="8"/>
      <c r="G290" s="8"/>
      <c r="H290" s="8"/>
      <c r="I290" s="7"/>
      <c r="J290" s="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ht="15.75" customHeight="1" x14ac:dyDescent="0.3">
      <c r="A291" s="13"/>
      <c r="B291" s="13"/>
      <c r="C291" s="13"/>
      <c r="D291" s="6"/>
      <c r="E291" s="8"/>
      <c r="F291" s="8"/>
      <c r="G291" s="8"/>
      <c r="H291" s="8"/>
      <c r="I291" s="7"/>
      <c r="J291" s="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ht="15.75" customHeight="1" x14ac:dyDescent="0.3">
      <c r="A292" s="13"/>
      <c r="B292" s="13"/>
      <c r="C292" s="13"/>
      <c r="D292" s="6"/>
      <c r="E292" s="8"/>
      <c r="F292" s="8"/>
      <c r="G292" s="8"/>
      <c r="H292" s="8"/>
      <c r="I292" s="7"/>
      <c r="J292" s="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ht="15.75" customHeight="1" x14ac:dyDescent="0.3">
      <c r="A293" s="13"/>
      <c r="B293" s="13"/>
      <c r="C293" s="13"/>
      <c r="D293" s="6"/>
      <c r="E293" s="8"/>
      <c r="F293" s="8"/>
      <c r="G293" s="8"/>
      <c r="H293" s="8"/>
      <c r="I293" s="7"/>
      <c r="J293" s="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ht="15.75" customHeight="1" x14ac:dyDescent="0.3">
      <c r="A294" s="13"/>
      <c r="B294" s="13"/>
      <c r="C294" s="13"/>
      <c r="D294" s="6"/>
      <c r="E294" s="8"/>
      <c r="F294" s="8"/>
      <c r="G294" s="8"/>
      <c r="H294" s="8"/>
      <c r="I294" s="7"/>
      <c r="J294" s="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ht="15.75" customHeight="1" x14ac:dyDescent="0.3">
      <c r="A295" s="13"/>
      <c r="B295" s="13"/>
      <c r="C295" s="13"/>
      <c r="D295" s="6"/>
      <c r="E295" s="8"/>
      <c r="F295" s="8"/>
      <c r="G295" s="8"/>
      <c r="H295" s="8"/>
      <c r="I295" s="7"/>
      <c r="J295" s="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ht="15.75" customHeight="1" x14ac:dyDescent="0.3">
      <c r="A296" s="13"/>
      <c r="B296" s="13"/>
      <c r="C296" s="13"/>
      <c r="D296" s="6"/>
      <c r="E296" s="8"/>
      <c r="F296" s="8"/>
      <c r="G296" s="8"/>
      <c r="H296" s="8"/>
      <c r="I296" s="7"/>
      <c r="J296" s="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ht="15.75" customHeight="1" x14ac:dyDescent="0.3">
      <c r="A297" s="13"/>
      <c r="B297" s="13"/>
      <c r="C297" s="13"/>
      <c r="D297" s="6"/>
      <c r="E297" s="8"/>
      <c r="F297" s="8"/>
      <c r="G297" s="8"/>
      <c r="H297" s="8"/>
      <c r="I297" s="7"/>
      <c r="J297" s="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ht="15.75" customHeight="1" x14ac:dyDescent="0.3">
      <c r="A298" s="13"/>
      <c r="B298" s="13"/>
      <c r="C298" s="13"/>
      <c r="D298" s="6"/>
      <c r="E298" s="8"/>
      <c r="F298" s="8"/>
      <c r="G298" s="8"/>
      <c r="H298" s="8"/>
      <c r="I298" s="7"/>
      <c r="J298" s="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ht="15.75" customHeight="1" x14ac:dyDescent="0.3">
      <c r="A299" s="13"/>
      <c r="B299" s="13"/>
      <c r="C299" s="13"/>
      <c r="D299" s="6"/>
      <c r="E299" s="8"/>
      <c r="F299" s="8"/>
      <c r="G299" s="8"/>
      <c r="H299" s="8"/>
      <c r="I299" s="7"/>
      <c r="J299" s="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ht="15.75" customHeight="1" x14ac:dyDescent="0.3">
      <c r="A300" s="13"/>
      <c r="B300" s="13"/>
      <c r="C300" s="13"/>
      <c r="D300" s="6"/>
      <c r="E300" s="8"/>
      <c r="F300" s="8"/>
      <c r="G300" s="8"/>
      <c r="H300" s="8"/>
      <c r="I300" s="7"/>
      <c r="J300" s="7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ht="15.75" customHeight="1" x14ac:dyDescent="0.3">
      <c r="A301" s="13"/>
      <c r="B301" s="13"/>
      <c r="C301" s="13"/>
      <c r="D301" s="6"/>
      <c r="E301" s="8"/>
      <c r="F301" s="8"/>
      <c r="G301" s="8"/>
      <c r="H301" s="8"/>
      <c r="I301" s="7"/>
      <c r="J301" s="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ht="15.75" customHeight="1" x14ac:dyDescent="0.3">
      <c r="A302" s="13"/>
      <c r="B302" s="13"/>
      <c r="C302" s="13"/>
      <c r="D302" s="6"/>
      <c r="E302" s="8"/>
      <c r="F302" s="8"/>
      <c r="G302" s="8"/>
      <c r="H302" s="8"/>
      <c r="I302" s="7"/>
      <c r="J302" s="7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ht="15.75" customHeight="1" x14ac:dyDescent="0.3">
      <c r="A303" s="13"/>
      <c r="B303" s="13"/>
      <c r="C303" s="13"/>
      <c r="D303" s="6"/>
      <c r="E303" s="8"/>
      <c r="F303" s="8"/>
      <c r="G303" s="8"/>
      <c r="H303" s="8"/>
      <c r="I303" s="7"/>
      <c r="J303" s="7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ht="15.75" customHeight="1" x14ac:dyDescent="0.3">
      <c r="A304" s="13"/>
      <c r="B304" s="13"/>
      <c r="C304" s="13"/>
      <c r="D304" s="6"/>
      <c r="E304" s="8"/>
      <c r="F304" s="8"/>
      <c r="G304" s="8"/>
      <c r="H304" s="8"/>
      <c r="I304" s="7"/>
      <c r="J304" s="7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ht="15.75" customHeight="1" x14ac:dyDescent="0.3">
      <c r="A305" s="13"/>
      <c r="B305" s="13"/>
      <c r="C305" s="13"/>
      <c r="D305" s="6"/>
      <c r="E305" s="8"/>
      <c r="F305" s="8"/>
      <c r="G305" s="8"/>
      <c r="H305" s="8"/>
      <c r="I305" s="7"/>
      <c r="J305" s="7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ht="15.75" customHeight="1" x14ac:dyDescent="0.3">
      <c r="A306" s="13"/>
      <c r="B306" s="13"/>
      <c r="C306" s="13"/>
      <c r="D306" s="6"/>
      <c r="E306" s="8"/>
      <c r="F306" s="8"/>
      <c r="G306" s="8"/>
      <c r="H306" s="8"/>
      <c r="I306" s="7"/>
      <c r="J306" s="7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ht="15.75" customHeight="1" x14ac:dyDescent="0.3">
      <c r="A307" s="13"/>
      <c r="B307" s="13"/>
      <c r="C307" s="13"/>
      <c r="D307" s="6"/>
      <c r="E307" s="8"/>
      <c r="F307" s="8"/>
      <c r="G307" s="8"/>
      <c r="H307" s="8"/>
      <c r="I307" s="7"/>
      <c r="J307" s="7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ht="15.75" customHeight="1" x14ac:dyDescent="0.3">
      <c r="A308" s="13"/>
      <c r="B308" s="13"/>
      <c r="C308" s="13"/>
      <c r="D308" s="6"/>
      <c r="E308" s="8"/>
      <c r="F308" s="8"/>
      <c r="G308" s="8"/>
      <c r="H308" s="8"/>
      <c r="I308" s="7"/>
      <c r="J308" s="7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ht="15.75" customHeight="1" x14ac:dyDescent="0.3">
      <c r="A309" s="13"/>
      <c r="B309" s="13"/>
      <c r="C309" s="13"/>
      <c r="D309" s="6"/>
      <c r="E309" s="8"/>
      <c r="F309" s="8"/>
      <c r="G309" s="8"/>
      <c r="H309" s="8"/>
      <c r="I309" s="7"/>
      <c r="J309" s="7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ht="15.75" customHeight="1" x14ac:dyDescent="0.3">
      <c r="A310" s="13"/>
      <c r="B310" s="13"/>
      <c r="C310" s="13"/>
      <c r="D310" s="6"/>
      <c r="E310" s="8"/>
      <c r="F310" s="8"/>
      <c r="G310" s="8"/>
      <c r="H310" s="8"/>
      <c r="I310" s="7"/>
      <c r="J310" s="7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ht="15.75" customHeight="1" x14ac:dyDescent="0.3">
      <c r="A311" s="13"/>
      <c r="B311" s="13"/>
      <c r="C311" s="13"/>
      <c r="D311" s="6"/>
      <c r="E311" s="8"/>
      <c r="F311" s="8"/>
      <c r="G311" s="8"/>
      <c r="H311" s="8"/>
      <c r="I311" s="7"/>
      <c r="J311" s="7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ht="15.75" customHeight="1" x14ac:dyDescent="0.3">
      <c r="A312" s="13"/>
      <c r="B312" s="13"/>
      <c r="C312" s="13"/>
      <c r="D312" s="6"/>
      <c r="E312" s="8"/>
      <c r="F312" s="8"/>
      <c r="G312" s="8"/>
      <c r="H312" s="8"/>
      <c r="I312" s="7"/>
      <c r="J312" s="7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ht="15.75" customHeight="1" x14ac:dyDescent="0.3">
      <c r="A313" s="13"/>
      <c r="B313" s="13"/>
      <c r="C313" s="13"/>
      <c r="D313" s="6"/>
      <c r="E313" s="8"/>
      <c r="F313" s="8"/>
      <c r="G313" s="8"/>
      <c r="H313" s="8"/>
      <c r="I313" s="7"/>
      <c r="J313" s="7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ht="15.75" customHeight="1" x14ac:dyDescent="0.3">
      <c r="A314" s="13"/>
      <c r="B314" s="13"/>
      <c r="C314" s="13"/>
      <c r="D314" s="6"/>
      <c r="E314" s="8"/>
      <c r="F314" s="8"/>
      <c r="G314" s="8"/>
      <c r="H314" s="8"/>
      <c r="I314" s="7"/>
      <c r="J314" s="7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ht="15.75" customHeight="1" x14ac:dyDescent="0.3">
      <c r="A315" s="13"/>
      <c r="B315" s="13"/>
      <c r="C315" s="13"/>
      <c r="D315" s="6"/>
      <c r="E315" s="8"/>
      <c r="F315" s="8"/>
      <c r="G315" s="8"/>
      <c r="H315" s="8"/>
      <c r="I315" s="7"/>
      <c r="J315" s="7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ht="15.75" customHeight="1" x14ac:dyDescent="0.3">
      <c r="A316" s="13"/>
      <c r="B316" s="13"/>
      <c r="C316" s="13"/>
      <c r="F316" s="177"/>
      <c r="I316" s="177"/>
      <c r="J316" s="42"/>
    </row>
    <row r="317" spans="1:50" ht="15.75" customHeight="1" x14ac:dyDescent="0.3">
      <c r="A317" s="13"/>
      <c r="B317" s="13"/>
      <c r="C317" s="13"/>
      <c r="F317" s="177"/>
      <c r="I317" s="177"/>
      <c r="J317" s="42"/>
    </row>
    <row r="318" spans="1:50" ht="15.75" customHeight="1" x14ac:dyDescent="0.3">
      <c r="A318" s="13"/>
      <c r="B318" s="13"/>
      <c r="C318" s="13"/>
      <c r="F318" s="177"/>
      <c r="I318" s="177"/>
      <c r="J318" s="42"/>
    </row>
    <row r="319" spans="1:50" ht="15.75" customHeight="1" x14ac:dyDescent="0.3">
      <c r="A319" s="13"/>
      <c r="B319" s="13"/>
      <c r="C319" s="13"/>
      <c r="F319" s="177"/>
      <c r="I319" s="177"/>
      <c r="J319" s="42"/>
    </row>
    <row r="320" spans="1:50" ht="15.75" customHeight="1" x14ac:dyDescent="0.3">
      <c r="A320" s="13"/>
      <c r="B320" s="13"/>
      <c r="C320" s="13"/>
      <c r="F320" s="177"/>
      <c r="I320" s="177"/>
      <c r="J320" s="42"/>
    </row>
    <row r="321" spans="1:10" ht="15.75" customHeight="1" x14ac:dyDescent="0.3">
      <c r="A321" s="13"/>
      <c r="B321" s="13"/>
      <c r="C321" s="13"/>
      <c r="F321" s="177"/>
      <c r="I321" s="177"/>
      <c r="J321" s="42"/>
    </row>
    <row r="322" spans="1:10" ht="15.75" customHeight="1" x14ac:dyDescent="0.3">
      <c r="A322" s="13"/>
      <c r="B322" s="13"/>
      <c r="C322" s="13"/>
      <c r="F322" s="177"/>
      <c r="I322" s="177"/>
      <c r="J322" s="42"/>
    </row>
    <row r="323" spans="1:10" ht="15.75" customHeight="1" x14ac:dyDescent="0.3">
      <c r="A323" s="13"/>
      <c r="B323" s="13"/>
      <c r="C323" s="13"/>
      <c r="F323" s="177"/>
      <c r="I323" s="177"/>
      <c r="J323" s="42"/>
    </row>
    <row r="324" spans="1:10" ht="15.75" customHeight="1" x14ac:dyDescent="0.3">
      <c r="A324" s="13"/>
      <c r="B324" s="13"/>
      <c r="C324" s="13"/>
      <c r="F324" s="177"/>
      <c r="I324" s="177"/>
      <c r="J324" s="42"/>
    </row>
    <row r="325" spans="1:10" ht="15.75" customHeight="1" x14ac:dyDescent="0.3">
      <c r="A325" s="13"/>
      <c r="B325" s="13"/>
      <c r="C325" s="13"/>
      <c r="F325" s="177"/>
      <c r="I325" s="177"/>
      <c r="J325" s="42"/>
    </row>
    <row r="326" spans="1:10" ht="15.75" customHeight="1" x14ac:dyDescent="0.3">
      <c r="A326" s="13"/>
      <c r="B326" s="13"/>
      <c r="C326" s="13"/>
      <c r="F326" s="177"/>
      <c r="I326" s="177"/>
      <c r="J326" s="42"/>
    </row>
    <row r="327" spans="1:10" ht="15.75" customHeight="1" x14ac:dyDescent="0.3">
      <c r="A327" s="13"/>
      <c r="B327" s="13"/>
      <c r="C327" s="13"/>
      <c r="F327" s="177"/>
      <c r="I327" s="177"/>
      <c r="J327" s="42"/>
    </row>
    <row r="328" spans="1:10" ht="15.75" customHeight="1" x14ac:dyDescent="0.3">
      <c r="A328" s="13"/>
      <c r="B328" s="13"/>
      <c r="C328" s="13"/>
      <c r="F328" s="177"/>
      <c r="I328" s="177"/>
      <c r="J328" s="42"/>
    </row>
    <row r="329" spans="1:10" ht="15.75" customHeight="1" x14ac:dyDescent="0.3">
      <c r="A329" s="13"/>
      <c r="B329" s="13"/>
      <c r="C329" s="13"/>
      <c r="F329" s="177"/>
      <c r="I329" s="177"/>
      <c r="J329" s="42"/>
    </row>
    <row r="330" spans="1:10" ht="15.75" customHeight="1" x14ac:dyDescent="0.3">
      <c r="A330" s="13"/>
      <c r="B330" s="13"/>
      <c r="C330" s="13"/>
      <c r="F330" s="177"/>
      <c r="I330" s="177"/>
      <c r="J330" s="42"/>
    </row>
    <row r="331" spans="1:10" ht="15.75" customHeight="1" x14ac:dyDescent="0.3">
      <c r="A331" s="13"/>
      <c r="B331" s="13"/>
      <c r="C331" s="13"/>
      <c r="F331" s="177"/>
      <c r="I331" s="177"/>
      <c r="J331" s="42"/>
    </row>
    <row r="332" spans="1:10" ht="15.75" customHeight="1" x14ac:dyDescent="0.3">
      <c r="A332" s="13"/>
      <c r="B332" s="13"/>
      <c r="C332" s="13"/>
      <c r="F332" s="177"/>
      <c r="I332" s="177"/>
      <c r="J332" s="42"/>
    </row>
    <row r="333" spans="1:10" ht="15.75" customHeight="1" x14ac:dyDescent="0.3">
      <c r="A333" s="13"/>
      <c r="B333" s="13"/>
      <c r="C333" s="13"/>
      <c r="F333" s="177"/>
      <c r="I333" s="177"/>
      <c r="J333" s="42"/>
    </row>
    <row r="334" spans="1:10" ht="15.75" customHeight="1" x14ac:dyDescent="0.3">
      <c r="A334" s="13"/>
      <c r="B334" s="13"/>
      <c r="C334" s="13"/>
      <c r="F334" s="177"/>
      <c r="I334" s="177"/>
      <c r="J334" s="42"/>
    </row>
    <row r="335" spans="1:10" ht="15.75" customHeight="1" x14ac:dyDescent="0.3">
      <c r="A335" s="13"/>
      <c r="B335" s="13"/>
      <c r="C335" s="13"/>
      <c r="F335" s="177"/>
      <c r="I335" s="177"/>
      <c r="J335" s="42"/>
    </row>
    <row r="336" spans="1:10" ht="15.75" customHeight="1" x14ac:dyDescent="0.3">
      <c r="A336" s="13"/>
      <c r="B336" s="13"/>
      <c r="C336" s="13"/>
      <c r="F336" s="177"/>
      <c r="I336" s="177"/>
      <c r="J336" s="42"/>
    </row>
    <row r="337" spans="1:10" ht="15.75" customHeight="1" x14ac:dyDescent="0.3">
      <c r="A337" s="13"/>
      <c r="B337" s="13"/>
      <c r="C337" s="13"/>
      <c r="F337" s="177"/>
      <c r="I337" s="177"/>
      <c r="J337" s="42"/>
    </row>
    <row r="338" spans="1:10" ht="15.75" customHeight="1" x14ac:dyDescent="0.3">
      <c r="A338" s="13"/>
      <c r="B338" s="13"/>
      <c r="C338" s="13"/>
      <c r="F338" s="177"/>
      <c r="I338" s="177"/>
      <c r="J338" s="42"/>
    </row>
    <row r="339" spans="1:10" ht="15.75" customHeight="1" x14ac:dyDescent="0.3">
      <c r="A339" s="13"/>
      <c r="B339" s="13"/>
      <c r="C339" s="13"/>
      <c r="F339" s="177"/>
      <c r="I339" s="177"/>
      <c r="J339" s="42"/>
    </row>
    <row r="340" spans="1:10" ht="15.75" customHeight="1" x14ac:dyDescent="0.3">
      <c r="A340" s="13"/>
      <c r="B340" s="13"/>
      <c r="C340" s="13"/>
      <c r="F340" s="177"/>
      <c r="I340" s="177"/>
      <c r="J340" s="42"/>
    </row>
    <row r="341" spans="1:10" ht="15.75" customHeight="1" x14ac:dyDescent="0.3">
      <c r="A341" s="13"/>
      <c r="B341" s="13"/>
      <c r="C341" s="13"/>
      <c r="F341" s="177"/>
      <c r="I341" s="177"/>
      <c r="J341" s="42"/>
    </row>
    <row r="342" spans="1:10" ht="15.75" customHeight="1" x14ac:dyDescent="0.3">
      <c r="A342" s="13"/>
      <c r="B342" s="13"/>
      <c r="C342" s="13"/>
      <c r="F342" s="177"/>
      <c r="I342" s="177"/>
      <c r="J342" s="42"/>
    </row>
    <row r="343" spans="1:10" ht="15.75" customHeight="1" x14ac:dyDescent="0.3">
      <c r="A343" s="13"/>
      <c r="B343" s="13"/>
      <c r="C343" s="13"/>
      <c r="F343" s="177"/>
      <c r="I343" s="177"/>
      <c r="J343" s="42"/>
    </row>
    <row r="344" spans="1:10" ht="15.75" customHeight="1" x14ac:dyDescent="0.3">
      <c r="A344" s="13"/>
      <c r="B344" s="13"/>
      <c r="C344" s="13"/>
      <c r="F344" s="177"/>
      <c r="I344" s="177"/>
      <c r="J344" s="42"/>
    </row>
    <row r="345" spans="1:10" ht="15.75" customHeight="1" x14ac:dyDescent="0.3">
      <c r="A345" s="13"/>
      <c r="B345" s="13"/>
      <c r="C345" s="13"/>
      <c r="F345" s="177"/>
      <c r="I345" s="177"/>
      <c r="J345" s="42"/>
    </row>
    <row r="346" spans="1:10" ht="15.75" customHeight="1" x14ac:dyDescent="0.3">
      <c r="A346" s="13"/>
      <c r="B346" s="13"/>
      <c r="C346" s="13"/>
      <c r="F346" s="177"/>
      <c r="I346" s="177"/>
      <c r="J346" s="42"/>
    </row>
    <row r="347" spans="1:10" ht="15.75" customHeight="1" x14ac:dyDescent="0.3">
      <c r="A347" s="13"/>
      <c r="B347" s="13"/>
      <c r="C347" s="13"/>
      <c r="F347" s="177"/>
      <c r="I347" s="177"/>
      <c r="J347" s="42"/>
    </row>
    <row r="348" spans="1:10" ht="15.75" customHeight="1" x14ac:dyDescent="0.3">
      <c r="A348" s="13"/>
      <c r="B348" s="13"/>
      <c r="C348" s="13"/>
      <c r="F348" s="177"/>
      <c r="I348" s="177"/>
      <c r="J348" s="42"/>
    </row>
    <row r="349" spans="1:10" ht="15.75" customHeight="1" x14ac:dyDescent="0.3">
      <c r="A349" s="13"/>
      <c r="B349" s="13"/>
      <c r="C349" s="13"/>
      <c r="F349" s="177"/>
      <c r="I349" s="177"/>
      <c r="J349" s="42"/>
    </row>
    <row r="350" spans="1:10" ht="15.75" customHeight="1" x14ac:dyDescent="0.3">
      <c r="A350" s="13"/>
      <c r="B350" s="13"/>
      <c r="C350" s="13"/>
      <c r="F350" s="177"/>
      <c r="I350" s="177"/>
      <c r="J350" s="42"/>
    </row>
    <row r="351" spans="1:10" ht="15.75" customHeight="1" x14ac:dyDescent="0.3">
      <c r="A351" s="13"/>
      <c r="B351" s="13"/>
      <c r="C351" s="13"/>
      <c r="F351" s="177"/>
      <c r="I351" s="177"/>
      <c r="J351" s="42"/>
    </row>
    <row r="352" spans="1:10" ht="15.75" customHeight="1" x14ac:dyDescent="0.3">
      <c r="A352" s="13"/>
      <c r="B352" s="13"/>
      <c r="C352" s="13"/>
      <c r="F352" s="177"/>
      <c r="I352" s="177"/>
      <c r="J352" s="42"/>
    </row>
    <row r="353" spans="1:10" ht="15.75" customHeight="1" x14ac:dyDescent="0.3">
      <c r="A353" s="13"/>
      <c r="B353" s="13"/>
      <c r="C353" s="13"/>
      <c r="F353" s="177"/>
      <c r="I353" s="177"/>
      <c r="J353" s="42"/>
    </row>
    <row r="354" spans="1:10" ht="15.75" customHeight="1" x14ac:dyDescent="0.3">
      <c r="A354" s="13"/>
      <c r="B354" s="13"/>
      <c r="C354" s="13"/>
      <c r="F354" s="177"/>
      <c r="I354" s="177"/>
      <c r="J354" s="42"/>
    </row>
    <row r="355" spans="1:10" ht="15.75" customHeight="1" x14ac:dyDescent="0.3">
      <c r="A355" s="13"/>
      <c r="B355" s="13"/>
      <c r="C355" s="13"/>
      <c r="F355" s="177"/>
      <c r="I355" s="177"/>
      <c r="J355" s="42"/>
    </row>
    <row r="356" spans="1:10" ht="15.75" customHeight="1" x14ac:dyDescent="0.3">
      <c r="A356" s="13"/>
      <c r="B356" s="13"/>
      <c r="C356" s="13"/>
      <c r="F356" s="177"/>
      <c r="I356" s="177"/>
      <c r="J356" s="42"/>
    </row>
    <row r="357" spans="1:10" ht="15.75" customHeight="1" x14ac:dyDescent="0.3">
      <c r="A357" s="13"/>
      <c r="B357" s="13"/>
      <c r="C357" s="13"/>
      <c r="F357" s="177"/>
      <c r="I357" s="177"/>
      <c r="J357" s="42"/>
    </row>
    <row r="358" spans="1:10" ht="15.75" customHeight="1" x14ac:dyDescent="0.3">
      <c r="A358" s="13"/>
      <c r="B358" s="13"/>
      <c r="C358" s="13"/>
      <c r="F358" s="177"/>
      <c r="I358" s="177"/>
      <c r="J358" s="42"/>
    </row>
    <row r="359" spans="1:10" ht="15.75" customHeight="1" x14ac:dyDescent="0.3">
      <c r="A359" s="13"/>
      <c r="B359" s="13"/>
      <c r="C359" s="13"/>
      <c r="F359" s="177"/>
      <c r="I359" s="177"/>
      <c r="J359" s="42"/>
    </row>
    <row r="360" spans="1:10" ht="15.75" customHeight="1" x14ac:dyDescent="0.3">
      <c r="A360" s="13"/>
      <c r="B360" s="13"/>
      <c r="C360" s="13"/>
      <c r="F360" s="177"/>
      <c r="I360" s="177"/>
      <c r="J360" s="42"/>
    </row>
    <row r="361" spans="1:10" ht="15.75" customHeight="1" x14ac:dyDescent="0.3">
      <c r="A361" s="13"/>
      <c r="B361" s="13"/>
      <c r="C361" s="13"/>
      <c r="F361" s="177"/>
      <c r="I361" s="177"/>
      <c r="J361" s="42"/>
    </row>
    <row r="362" spans="1:10" ht="15.75" customHeight="1" x14ac:dyDescent="0.3">
      <c r="A362" s="13"/>
      <c r="B362" s="13"/>
      <c r="C362" s="13"/>
      <c r="F362" s="177"/>
      <c r="I362" s="177"/>
      <c r="J362" s="42"/>
    </row>
    <row r="363" spans="1:10" ht="15.75" customHeight="1" x14ac:dyDescent="0.3">
      <c r="A363" s="13"/>
      <c r="B363" s="13"/>
      <c r="C363" s="13"/>
      <c r="F363" s="177"/>
      <c r="I363" s="177"/>
      <c r="J363" s="42"/>
    </row>
    <row r="364" spans="1:10" ht="15.75" customHeight="1" x14ac:dyDescent="0.3">
      <c r="A364" s="13"/>
      <c r="B364" s="13"/>
      <c r="C364" s="13"/>
      <c r="F364" s="177"/>
      <c r="I364" s="177"/>
      <c r="J364" s="42"/>
    </row>
    <row r="365" spans="1:10" ht="15.75" customHeight="1" x14ac:dyDescent="0.3">
      <c r="A365" s="13"/>
      <c r="B365" s="13"/>
      <c r="C365" s="13"/>
      <c r="F365" s="177"/>
      <c r="I365" s="177"/>
      <c r="J365" s="42"/>
    </row>
    <row r="366" spans="1:10" ht="15.75" customHeight="1" x14ac:dyDescent="0.3">
      <c r="A366" s="13"/>
      <c r="B366" s="13"/>
      <c r="C366" s="13"/>
      <c r="F366" s="177"/>
      <c r="I366" s="177"/>
      <c r="J366" s="42"/>
    </row>
    <row r="367" spans="1:10" ht="15.75" customHeight="1" x14ac:dyDescent="0.3">
      <c r="A367" s="13"/>
      <c r="B367" s="13"/>
      <c r="C367" s="13"/>
      <c r="F367" s="177"/>
      <c r="I367" s="177"/>
      <c r="J367" s="42"/>
    </row>
    <row r="368" spans="1:10" ht="15.75" customHeight="1" x14ac:dyDescent="0.3">
      <c r="A368" s="13"/>
      <c r="B368" s="13"/>
      <c r="C368" s="13"/>
      <c r="F368" s="177"/>
      <c r="I368" s="177"/>
      <c r="J368" s="42"/>
    </row>
    <row r="369" spans="1:10" ht="15.75" customHeight="1" x14ac:dyDescent="0.3">
      <c r="A369" s="13"/>
      <c r="B369" s="13"/>
      <c r="C369" s="13"/>
      <c r="F369" s="177"/>
      <c r="I369" s="177"/>
      <c r="J369" s="42"/>
    </row>
    <row r="370" spans="1:10" ht="15.75" customHeight="1" x14ac:dyDescent="0.3">
      <c r="A370" s="13"/>
      <c r="B370" s="13"/>
      <c r="C370" s="13"/>
      <c r="F370" s="177"/>
      <c r="I370" s="177"/>
      <c r="J370" s="42"/>
    </row>
    <row r="371" spans="1:10" ht="15.75" customHeight="1" x14ac:dyDescent="0.3">
      <c r="A371" s="13"/>
      <c r="B371" s="13"/>
      <c r="C371" s="13"/>
      <c r="F371" s="177"/>
      <c r="I371" s="177"/>
      <c r="J371" s="42"/>
    </row>
    <row r="372" spans="1:10" ht="15.75" customHeight="1" x14ac:dyDescent="0.3">
      <c r="A372" s="13"/>
      <c r="B372" s="13"/>
      <c r="C372" s="13"/>
      <c r="F372" s="177"/>
      <c r="I372" s="177"/>
      <c r="J372" s="42"/>
    </row>
    <row r="373" spans="1:10" ht="15.75" customHeight="1" x14ac:dyDescent="0.3">
      <c r="A373" s="13"/>
      <c r="B373" s="13"/>
      <c r="C373" s="13"/>
      <c r="F373" s="177"/>
      <c r="I373" s="177"/>
      <c r="J373" s="42"/>
    </row>
    <row r="374" spans="1:10" ht="15.75" customHeight="1" x14ac:dyDescent="0.3">
      <c r="A374" s="13"/>
      <c r="B374" s="13"/>
      <c r="C374" s="13"/>
      <c r="F374" s="177"/>
      <c r="I374" s="177"/>
      <c r="J374" s="42"/>
    </row>
    <row r="375" spans="1:10" ht="15.75" customHeight="1" x14ac:dyDescent="0.3">
      <c r="A375" s="13"/>
      <c r="B375" s="13"/>
      <c r="C375" s="13"/>
      <c r="F375" s="177"/>
      <c r="I375" s="177"/>
      <c r="J375" s="42"/>
    </row>
    <row r="376" spans="1:10" ht="15.75" customHeight="1" x14ac:dyDescent="0.3">
      <c r="A376" s="13"/>
      <c r="B376" s="13"/>
      <c r="C376" s="13"/>
      <c r="F376" s="177"/>
      <c r="I376" s="177"/>
      <c r="J376" s="42"/>
    </row>
    <row r="377" spans="1:10" ht="15.75" customHeight="1" x14ac:dyDescent="0.3">
      <c r="A377" s="13"/>
      <c r="B377" s="13"/>
      <c r="C377" s="13"/>
      <c r="F377" s="177"/>
      <c r="I377" s="177"/>
      <c r="J377" s="42"/>
    </row>
    <row r="378" spans="1:10" ht="15.75" customHeight="1" x14ac:dyDescent="0.3">
      <c r="A378" s="13"/>
      <c r="B378" s="13"/>
      <c r="C378" s="13"/>
      <c r="F378" s="177"/>
      <c r="I378" s="177"/>
      <c r="J378" s="42"/>
    </row>
    <row r="379" spans="1:10" ht="15.75" customHeight="1" x14ac:dyDescent="0.3">
      <c r="A379" s="13"/>
      <c r="B379" s="13"/>
      <c r="C379" s="13"/>
      <c r="F379" s="177"/>
      <c r="I379" s="177"/>
      <c r="J379" s="42"/>
    </row>
    <row r="380" spans="1:10" ht="15.75" customHeight="1" x14ac:dyDescent="0.3">
      <c r="A380" s="13"/>
      <c r="B380" s="13"/>
      <c r="C380" s="13"/>
      <c r="F380" s="177"/>
      <c r="I380" s="177"/>
      <c r="J380" s="42"/>
    </row>
    <row r="381" spans="1:10" ht="15.75" customHeight="1" x14ac:dyDescent="0.3">
      <c r="A381" s="13"/>
      <c r="B381" s="13"/>
      <c r="C381" s="13"/>
      <c r="F381" s="177"/>
      <c r="I381" s="177"/>
      <c r="J381" s="42"/>
    </row>
    <row r="382" spans="1:10" ht="15.75" customHeight="1" x14ac:dyDescent="0.3">
      <c r="A382" s="13"/>
      <c r="B382" s="13"/>
      <c r="C382" s="13"/>
      <c r="F382" s="177"/>
      <c r="I382" s="177"/>
      <c r="J382" s="42"/>
    </row>
    <row r="383" spans="1:10" ht="15.75" customHeight="1" x14ac:dyDescent="0.3">
      <c r="A383" s="13"/>
      <c r="B383" s="13"/>
      <c r="C383" s="13"/>
      <c r="F383" s="177"/>
      <c r="I383" s="177"/>
      <c r="J383" s="42"/>
    </row>
    <row r="384" spans="1:10" ht="15.75" customHeight="1" x14ac:dyDescent="0.3">
      <c r="A384" s="13"/>
      <c r="B384" s="13"/>
      <c r="C384" s="13"/>
      <c r="F384" s="177"/>
      <c r="I384" s="177"/>
      <c r="J384" s="42"/>
    </row>
    <row r="385" spans="1:10" ht="15.75" customHeight="1" x14ac:dyDescent="0.3">
      <c r="A385" s="13"/>
      <c r="B385" s="13"/>
      <c r="C385" s="13"/>
      <c r="F385" s="177"/>
      <c r="I385" s="177"/>
      <c r="J385" s="42"/>
    </row>
    <row r="386" spans="1:10" ht="15.75" customHeight="1" x14ac:dyDescent="0.3">
      <c r="A386" s="13"/>
      <c r="B386" s="13"/>
      <c r="C386" s="13"/>
      <c r="F386" s="177"/>
      <c r="I386" s="177"/>
      <c r="J386" s="42"/>
    </row>
    <row r="387" spans="1:10" ht="15.75" customHeight="1" x14ac:dyDescent="0.3">
      <c r="A387" s="13"/>
      <c r="B387" s="13"/>
      <c r="C387" s="13"/>
      <c r="F387" s="177"/>
      <c r="I387" s="177"/>
      <c r="J387" s="42"/>
    </row>
    <row r="388" spans="1:10" ht="15.75" customHeight="1" x14ac:dyDescent="0.3">
      <c r="A388" s="13"/>
      <c r="B388" s="13"/>
      <c r="C388" s="13"/>
      <c r="F388" s="177"/>
      <c r="I388" s="177"/>
      <c r="J388" s="42"/>
    </row>
    <row r="389" spans="1:10" ht="15.75" customHeight="1" x14ac:dyDescent="0.3">
      <c r="A389" s="13"/>
      <c r="B389" s="13"/>
      <c r="C389" s="13"/>
      <c r="F389" s="177"/>
      <c r="I389" s="177"/>
      <c r="J389" s="42"/>
    </row>
    <row r="390" spans="1:10" ht="15.75" customHeight="1" x14ac:dyDescent="0.3">
      <c r="A390" s="13"/>
      <c r="B390" s="13"/>
      <c r="C390" s="13"/>
      <c r="F390" s="177"/>
      <c r="I390" s="177"/>
      <c r="J390" s="42"/>
    </row>
    <row r="391" spans="1:10" ht="15.75" customHeight="1" x14ac:dyDescent="0.3">
      <c r="A391" s="13"/>
      <c r="B391" s="13"/>
      <c r="C391" s="13"/>
      <c r="F391" s="177"/>
      <c r="I391" s="177"/>
      <c r="J391" s="42"/>
    </row>
    <row r="392" spans="1:10" ht="15.75" customHeight="1" x14ac:dyDescent="0.3">
      <c r="A392" s="13"/>
      <c r="B392" s="13"/>
      <c r="C392" s="13"/>
      <c r="F392" s="177"/>
      <c r="I392" s="177"/>
      <c r="J392" s="42"/>
    </row>
    <row r="393" spans="1:10" ht="15.75" customHeight="1" x14ac:dyDescent="0.3">
      <c r="A393" s="13"/>
      <c r="B393" s="13"/>
      <c r="C393" s="13"/>
      <c r="F393" s="177"/>
      <c r="I393" s="177"/>
      <c r="J393" s="42"/>
    </row>
    <row r="394" spans="1:10" ht="15.75" customHeight="1" x14ac:dyDescent="0.3">
      <c r="A394" s="13"/>
      <c r="B394" s="13"/>
      <c r="C394" s="13"/>
      <c r="F394" s="177"/>
      <c r="I394" s="177"/>
      <c r="J394" s="42"/>
    </row>
    <row r="395" spans="1:10" ht="15.75" customHeight="1" x14ac:dyDescent="0.3">
      <c r="A395" s="13"/>
      <c r="B395" s="13"/>
      <c r="C395" s="13"/>
      <c r="F395" s="177"/>
      <c r="I395" s="177"/>
      <c r="J395" s="42"/>
    </row>
    <row r="396" spans="1:10" ht="15.75" customHeight="1" x14ac:dyDescent="0.3">
      <c r="A396" s="13"/>
      <c r="B396" s="13"/>
      <c r="C396" s="13"/>
      <c r="F396" s="177"/>
      <c r="I396" s="177"/>
      <c r="J396" s="42"/>
    </row>
    <row r="397" spans="1:10" ht="15.75" customHeight="1" x14ac:dyDescent="0.3">
      <c r="A397" s="13"/>
      <c r="B397" s="13"/>
      <c r="C397" s="13"/>
      <c r="F397" s="177"/>
      <c r="I397" s="177"/>
      <c r="J397" s="42"/>
    </row>
    <row r="398" spans="1:10" ht="15.75" customHeight="1" x14ac:dyDescent="0.3">
      <c r="A398" s="13"/>
      <c r="B398" s="13"/>
      <c r="C398" s="13"/>
      <c r="F398" s="177"/>
      <c r="I398" s="177"/>
      <c r="J398" s="42"/>
    </row>
    <row r="399" spans="1:10" ht="15.75" customHeight="1" x14ac:dyDescent="0.3">
      <c r="A399" s="13"/>
      <c r="B399" s="13"/>
      <c r="C399" s="13"/>
      <c r="F399" s="177"/>
      <c r="I399" s="177"/>
      <c r="J399" s="42"/>
    </row>
    <row r="400" spans="1:10" ht="15.75" customHeight="1" x14ac:dyDescent="0.3">
      <c r="A400" s="13"/>
      <c r="B400" s="13"/>
      <c r="C400" s="13"/>
      <c r="F400" s="177"/>
      <c r="I400" s="177"/>
      <c r="J400" s="42"/>
    </row>
    <row r="401" spans="1:10" ht="15.75" customHeight="1" x14ac:dyDescent="0.3">
      <c r="A401" s="13"/>
      <c r="B401" s="13"/>
      <c r="C401" s="13"/>
      <c r="F401" s="177"/>
      <c r="I401" s="177"/>
      <c r="J401" s="42"/>
    </row>
    <row r="402" spans="1:10" ht="15.75" customHeight="1" x14ac:dyDescent="0.3">
      <c r="A402" s="13"/>
      <c r="B402" s="13"/>
      <c r="C402" s="13"/>
      <c r="F402" s="177"/>
      <c r="I402" s="177"/>
      <c r="J402" s="42"/>
    </row>
    <row r="403" spans="1:10" ht="15.75" customHeight="1" x14ac:dyDescent="0.3">
      <c r="A403" s="13"/>
      <c r="B403" s="13"/>
      <c r="C403" s="13"/>
      <c r="F403" s="177"/>
      <c r="I403" s="177"/>
      <c r="J403" s="42"/>
    </row>
    <row r="404" spans="1:10" ht="15.75" customHeight="1" x14ac:dyDescent="0.3">
      <c r="A404" s="13"/>
      <c r="B404" s="13"/>
      <c r="C404" s="13"/>
      <c r="F404" s="177"/>
      <c r="I404" s="177"/>
      <c r="J404" s="42"/>
    </row>
    <row r="405" spans="1:10" ht="15.75" customHeight="1" x14ac:dyDescent="0.3">
      <c r="A405" s="13"/>
      <c r="B405" s="13"/>
      <c r="C405" s="13"/>
      <c r="F405" s="177"/>
      <c r="I405" s="177"/>
      <c r="J405" s="42"/>
    </row>
    <row r="406" spans="1:10" ht="15.75" customHeight="1" x14ac:dyDescent="0.3">
      <c r="A406" s="13"/>
      <c r="B406" s="13"/>
      <c r="C406" s="13"/>
      <c r="F406" s="177"/>
      <c r="I406" s="177"/>
      <c r="J406" s="42"/>
    </row>
    <row r="407" spans="1:10" ht="15.75" customHeight="1" x14ac:dyDescent="0.3">
      <c r="A407" s="13"/>
      <c r="B407" s="13"/>
      <c r="C407" s="13"/>
      <c r="F407" s="177"/>
      <c r="I407" s="177"/>
      <c r="J407" s="42"/>
    </row>
    <row r="408" spans="1:10" ht="15.75" customHeight="1" x14ac:dyDescent="0.3">
      <c r="A408" s="13"/>
      <c r="B408" s="13"/>
      <c r="C408" s="13"/>
      <c r="F408" s="177"/>
      <c r="I408" s="177"/>
      <c r="J408" s="42"/>
    </row>
    <row r="409" spans="1:10" ht="15.75" customHeight="1" x14ac:dyDescent="0.3">
      <c r="A409" s="13"/>
      <c r="B409" s="13"/>
      <c r="C409" s="13"/>
      <c r="F409" s="177"/>
      <c r="I409" s="177"/>
      <c r="J409" s="42"/>
    </row>
    <row r="410" spans="1:10" ht="15.75" customHeight="1" x14ac:dyDescent="0.3">
      <c r="A410" s="13"/>
      <c r="B410" s="13"/>
      <c r="C410" s="13"/>
      <c r="F410" s="177"/>
      <c r="I410" s="177"/>
      <c r="J410" s="42"/>
    </row>
    <row r="411" spans="1:10" ht="15.75" customHeight="1" x14ac:dyDescent="0.3">
      <c r="A411" s="13"/>
      <c r="B411" s="13"/>
      <c r="C411" s="13"/>
      <c r="F411" s="177"/>
      <c r="I411" s="177"/>
      <c r="J411" s="42"/>
    </row>
    <row r="412" spans="1:10" ht="15.75" customHeight="1" x14ac:dyDescent="0.3">
      <c r="A412" s="13"/>
      <c r="B412" s="13"/>
      <c r="C412" s="13"/>
      <c r="F412" s="177"/>
      <c r="I412" s="177"/>
      <c r="J412" s="42"/>
    </row>
    <row r="413" spans="1:10" ht="15.75" customHeight="1" x14ac:dyDescent="0.3">
      <c r="A413" s="13"/>
      <c r="B413" s="13"/>
      <c r="C413" s="13"/>
      <c r="F413" s="177"/>
      <c r="I413" s="177"/>
      <c r="J413" s="42"/>
    </row>
    <row r="414" spans="1:10" ht="15.75" customHeight="1" x14ac:dyDescent="0.3">
      <c r="A414" s="13"/>
      <c r="B414" s="13"/>
      <c r="C414" s="13"/>
      <c r="F414" s="177"/>
      <c r="I414" s="177"/>
      <c r="J414" s="42"/>
    </row>
    <row r="415" spans="1:10" ht="15.75" customHeight="1" x14ac:dyDescent="0.3">
      <c r="A415" s="13"/>
      <c r="B415" s="13"/>
      <c r="C415" s="13"/>
      <c r="F415" s="177"/>
      <c r="I415" s="177"/>
      <c r="J415" s="42"/>
    </row>
    <row r="416" spans="1:10" ht="15.75" customHeight="1" x14ac:dyDescent="0.3">
      <c r="A416" s="13"/>
      <c r="B416" s="13"/>
      <c r="C416" s="13"/>
      <c r="F416" s="177"/>
      <c r="I416" s="177"/>
      <c r="J416" s="42"/>
    </row>
    <row r="417" spans="1:10" ht="15.75" customHeight="1" x14ac:dyDescent="0.3">
      <c r="A417" s="13"/>
      <c r="B417" s="13"/>
      <c r="C417" s="13"/>
      <c r="F417" s="177"/>
      <c r="I417" s="177"/>
      <c r="J417" s="42"/>
    </row>
    <row r="418" spans="1:10" ht="15.75" customHeight="1" x14ac:dyDescent="0.3">
      <c r="A418" s="13"/>
      <c r="B418" s="13"/>
      <c r="C418" s="13"/>
      <c r="F418" s="177"/>
      <c r="I418" s="177"/>
      <c r="J418" s="42"/>
    </row>
    <row r="419" spans="1:10" ht="15.75" customHeight="1" x14ac:dyDescent="0.3">
      <c r="A419" s="13"/>
      <c r="B419" s="13"/>
      <c r="C419" s="13"/>
      <c r="F419" s="177"/>
      <c r="I419" s="177"/>
      <c r="J419" s="42"/>
    </row>
    <row r="420" spans="1:10" ht="15.75" customHeight="1" x14ac:dyDescent="0.3">
      <c r="A420" s="13"/>
      <c r="B420" s="13"/>
      <c r="C420" s="13"/>
      <c r="F420" s="177"/>
      <c r="I420" s="177"/>
      <c r="J420" s="42"/>
    </row>
    <row r="421" spans="1:10" ht="15.75" customHeight="1" x14ac:dyDescent="0.3">
      <c r="A421" s="13"/>
      <c r="B421" s="13"/>
      <c r="C421" s="13"/>
      <c r="F421" s="177"/>
      <c r="I421" s="177"/>
      <c r="J421" s="42"/>
    </row>
    <row r="422" spans="1:10" ht="15.75" customHeight="1" x14ac:dyDescent="0.3">
      <c r="A422" s="13"/>
      <c r="B422" s="13"/>
      <c r="C422" s="13"/>
      <c r="F422" s="177"/>
      <c r="I422" s="177"/>
      <c r="J422" s="42"/>
    </row>
    <row r="423" spans="1:10" ht="15.75" customHeight="1" x14ac:dyDescent="0.3">
      <c r="A423" s="13"/>
      <c r="B423" s="13"/>
      <c r="C423" s="13"/>
      <c r="F423" s="177"/>
      <c r="I423" s="177"/>
      <c r="J423" s="42"/>
    </row>
    <row r="424" spans="1:10" ht="15.75" customHeight="1" x14ac:dyDescent="0.3">
      <c r="A424" s="13"/>
      <c r="B424" s="13"/>
      <c r="C424" s="13"/>
      <c r="F424" s="177"/>
      <c r="I424" s="177"/>
      <c r="J424" s="42"/>
    </row>
    <row r="425" spans="1:10" ht="15.75" customHeight="1" x14ac:dyDescent="0.3">
      <c r="A425" s="13"/>
      <c r="B425" s="13"/>
      <c r="C425" s="13"/>
      <c r="F425" s="177"/>
      <c r="I425" s="177"/>
      <c r="J425" s="42"/>
    </row>
    <row r="426" spans="1:10" ht="15.75" customHeight="1" x14ac:dyDescent="0.3">
      <c r="A426" s="13"/>
      <c r="B426" s="13"/>
      <c r="C426" s="13"/>
      <c r="F426" s="177"/>
      <c r="I426" s="177"/>
      <c r="J426" s="42"/>
    </row>
    <row r="427" spans="1:10" ht="15.75" customHeight="1" x14ac:dyDescent="0.3">
      <c r="A427" s="13"/>
      <c r="B427" s="13"/>
      <c r="C427" s="13"/>
      <c r="F427" s="177"/>
      <c r="I427" s="177"/>
      <c r="J427" s="42"/>
    </row>
    <row r="428" spans="1:10" ht="15.75" customHeight="1" x14ac:dyDescent="0.3">
      <c r="A428" s="13"/>
      <c r="B428" s="13"/>
      <c r="C428" s="13"/>
      <c r="F428" s="177"/>
      <c r="I428" s="177"/>
      <c r="J428" s="42"/>
    </row>
    <row r="429" spans="1:10" ht="15.75" customHeight="1" x14ac:dyDescent="0.3">
      <c r="A429" s="13"/>
      <c r="B429" s="13"/>
      <c r="C429" s="13"/>
      <c r="F429" s="177"/>
      <c r="I429" s="177"/>
      <c r="J429" s="42"/>
    </row>
    <row r="430" spans="1:10" ht="15.75" customHeight="1" x14ac:dyDescent="0.3">
      <c r="A430" s="13"/>
      <c r="B430" s="13"/>
      <c r="C430" s="13"/>
      <c r="F430" s="177"/>
      <c r="I430" s="177"/>
      <c r="J430" s="42"/>
    </row>
    <row r="431" spans="1:10" ht="15.75" customHeight="1" x14ac:dyDescent="0.3">
      <c r="A431" s="13"/>
      <c r="B431" s="13"/>
      <c r="C431" s="13"/>
      <c r="F431" s="177"/>
      <c r="I431" s="177"/>
      <c r="J431" s="42"/>
    </row>
    <row r="432" spans="1:10" ht="15.75" customHeight="1" x14ac:dyDescent="0.3">
      <c r="A432" s="13"/>
      <c r="B432" s="13"/>
      <c r="C432" s="13"/>
      <c r="F432" s="177"/>
      <c r="I432" s="177"/>
      <c r="J432" s="42"/>
    </row>
    <row r="433" spans="1:10" ht="15.75" customHeight="1" x14ac:dyDescent="0.3">
      <c r="A433" s="13"/>
      <c r="B433" s="13"/>
      <c r="C433" s="13"/>
      <c r="F433" s="177"/>
      <c r="I433" s="177"/>
      <c r="J433" s="42"/>
    </row>
    <row r="434" spans="1:10" ht="15.75" customHeight="1" x14ac:dyDescent="0.3">
      <c r="A434" s="13"/>
      <c r="B434" s="13"/>
      <c r="C434" s="13"/>
      <c r="F434" s="177"/>
      <c r="I434" s="177"/>
      <c r="J434" s="42"/>
    </row>
    <row r="435" spans="1:10" ht="15.75" customHeight="1" x14ac:dyDescent="0.3">
      <c r="A435" s="13"/>
      <c r="B435" s="13"/>
      <c r="C435" s="13"/>
      <c r="F435" s="177"/>
      <c r="I435" s="177"/>
      <c r="J435" s="42"/>
    </row>
    <row r="436" spans="1:10" ht="15.75" customHeight="1" x14ac:dyDescent="0.3">
      <c r="A436" s="13"/>
      <c r="B436" s="13"/>
      <c r="C436" s="13"/>
      <c r="F436" s="177"/>
      <c r="I436" s="177"/>
      <c r="J436" s="42"/>
    </row>
    <row r="437" spans="1:10" ht="15.75" customHeight="1" x14ac:dyDescent="0.3">
      <c r="A437" s="13"/>
      <c r="B437" s="13"/>
      <c r="C437" s="13"/>
      <c r="F437" s="177"/>
      <c r="I437" s="177"/>
      <c r="J437" s="42"/>
    </row>
    <row r="438" spans="1:10" ht="15.75" customHeight="1" x14ac:dyDescent="0.3">
      <c r="A438" s="13"/>
      <c r="B438" s="13"/>
      <c r="C438" s="13"/>
      <c r="F438" s="177"/>
      <c r="I438" s="177"/>
      <c r="J438" s="42"/>
    </row>
    <row r="439" spans="1:10" ht="15.75" customHeight="1" x14ac:dyDescent="0.3">
      <c r="A439" s="13"/>
      <c r="B439" s="13"/>
      <c r="C439" s="13"/>
      <c r="F439" s="177"/>
      <c r="I439" s="177"/>
      <c r="J439" s="42"/>
    </row>
    <row r="440" spans="1:10" ht="15.75" customHeight="1" x14ac:dyDescent="0.3">
      <c r="A440" s="13"/>
      <c r="B440" s="13"/>
      <c r="C440" s="13"/>
      <c r="F440" s="177"/>
      <c r="I440" s="177"/>
      <c r="J440" s="42"/>
    </row>
    <row r="441" spans="1:10" ht="15.75" customHeight="1" x14ac:dyDescent="0.3">
      <c r="A441" s="13"/>
      <c r="B441" s="13"/>
      <c r="C441" s="13"/>
      <c r="F441" s="177"/>
      <c r="I441" s="177"/>
      <c r="J441" s="42"/>
    </row>
    <row r="442" spans="1:10" ht="15.75" customHeight="1" x14ac:dyDescent="0.3">
      <c r="A442" s="13"/>
      <c r="B442" s="13"/>
      <c r="C442" s="13"/>
      <c r="F442" s="177"/>
      <c r="I442" s="177"/>
      <c r="J442" s="42"/>
    </row>
    <row r="443" spans="1:10" ht="15.75" customHeight="1" x14ac:dyDescent="0.3">
      <c r="A443" s="13"/>
      <c r="B443" s="13"/>
      <c r="C443" s="13"/>
      <c r="F443" s="177"/>
      <c r="I443" s="177"/>
      <c r="J443" s="42"/>
    </row>
    <row r="444" spans="1:10" ht="15.75" customHeight="1" x14ac:dyDescent="0.3">
      <c r="A444" s="13"/>
      <c r="B444" s="13"/>
      <c r="C444" s="13"/>
      <c r="F444" s="177"/>
      <c r="I444" s="177"/>
      <c r="J444" s="42"/>
    </row>
    <row r="445" spans="1:10" ht="15.75" customHeight="1" x14ac:dyDescent="0.3">
      <c r="A445" s="13"/>
      <c r="B445" s="13"/>
      <c r="C445" s="13"/>
      <c r="F445" s="177"/>
      <c r="I445" s="177"/>
      <c r="J445" s="42"/>
    </row>
    <row r="446" spans="1:10" ht="15.75" customHeight="1" x14ac:dyDescent="0.3">
      <c r="A446" s="13"/>
      <c r="B446" s="13"/>
      <c r="C446" s="13"/>
      <c r="F446" s="177"/>
      <c r="I446" s="177"/>
      <c r="J446" s="42"/>
    </row>
    <row r="447" spans="1:10" ht="15.75" customHeight="1" x14ac:dyDescent="0.3">
      <c r="A447" s="13"/>
      <c r="B447" s="13"/>
      <c r="C447" s="13"/>
      <c r="F447" s="177"/>
      <c r="I447" s="177"/>
      <c r="J447" s="42"/>
    </row>
    <row r="448" spans="1:10" ht="15.75" customHeight="1" x14ac:dyDescent="0.3">
      <c r="A448" s="13"/>
      <c r="B448" s="13"/>
      <c r="C448" s="13"/>
      <c r="F448" s="177"/>
      <c r="I448" s="177"/>
      <c r="J448" s="42"/>
    </row>
    <row r="449" spans="1:10" ht="15.75" customHeight="1" x14ac:dyDescent="0.3">
      <c r="A449" s="13"/>
      <c r="B449" s="13"/>
      <c r="C449" s="13"/>
      <c r="F449" s="177"/>
      <c r="I449" s="177"/>
      <c r="J449" s="42"/>
    </row>
    <row r="450" spans="1:10" ht="15.75" customHeight="1" x14ac:dyDescent="0.3">
      <c r="A450" s="13"/>
      <c r="B450" s="13"/>
      <c r="C450" s="13"/>
      <c r="F450" s="177"/>
      <c r="I450" s="177"/>
      <c r="J450" s="42"/>
    </row>
    <row r="451" spans="1:10" ht="15.75" customHeight="1" x14ac:dyDescent="0.3">
      <c r="A451" s="13"/>
      <c r="B451" s="13"/>
      <c r="C451" s="13"/>
      <c r="F451" s="177"/>
      <c r="I451" s="177"/>
      <c r="J451" s="42"/>
    </row>
    <row r="452" spans="1:10" ht="15.75" customHeight="1" x14ac:dyDescent="0.3">
      <c r="A452" s="13"/>
      <c r="B452" s="13"/>
      <c r="C452" s="13"/>
      <c r="F452" s="177"/>
      <c r="I452" s="177"/>
      <c r="J452" s="42"/>
    </row>
    <row r="453" spans="1:10" ht="15.75" customHeight="1" x14ac:dyDescent="0.3">
      <c r="A453" s="13"/>
      <c r="B453" s="13"/>
      <c r="C453" s="13"/>
      <c r="F453" s="177"/>
      <c r="I453" s="177"/>
      <c r="J453" s="42"/>
    </row>
    <row r="454" spans="1:10" ht="15.75" customHeight="1" x14ac:dyDescent="0.3">
      <c r="A454" s="13"/>
      <c r="B454" s="13"/>
      <c r="C454" s="13"/>
      <c r="F454" s="177"/>
      <c r="I454" s="177"/>
      <c r="J454" s="42"/>
    </row>
    <row r="455" spans="1:10" ht="15.75" customHeight="1" x14ac:dyDescent="0.3">
      <c r="A455" s="13"/>
      <c r="B455" s="13"/>
      <c r="C455" s="13"/>
      <c r="F455" s="177"/>
      <c r="I455" s="177"/>
      <c r="J455" s="42"/>
    </row>
    <row r="456" spans="1:10" ht="15.75" customHeight="1" x14ac:dyDescent="0.3">
      <c r="A456" s="13"/>
      <c r="B456" s="13"/>
      <c r="C456" s="13"/>
      <c r="F456" s="177"/>
      <c r="I456" s="177"/>
      <c r="J456" s="42"/>
    </row>
    <row r="457" spans="1:10" ht="15.75" customHeight="1" x14ac:dyDescent="0.3">
      <c r="A457" s="13"/>
      <c r="B457" s="13"/>
      <c r="C457" s="13"/>
      <c r="F457" s="177"/>
      <c r="I457" s="177"/>
      <c r="J457" s="42"/>
    </row>
    <row r="458" spans="1:10" ht="15.75" customHeight="1" x14ac:dyDescent="0.3">
      <c r="A458" s="13"/>
      <c r="B458" s="13"/>
      <c r="C458" s="13"/>
      <c r="F458" s="177"/>
      <c r="I458" s="177"/>
      <c r="J458" s="42"/>
    </row>
    <row r="459" spans="1:10" ht="15.75" customHeight="1" x14ac:dyDescent="0.3">
      <c r="A459" s="13"/>
      <c r="B459" s="13"/>
      <c r="C459" s="13"/>
      <c r="F459" s="177"/>
      <c r="I459" s="177"/>
      <c r="J459" s="42"/>
    </row>
    <row r="460" spans="1:10" ht="15.75" customHeight="1" x14ac:dyDescent="0.3">
      <c r="A460" s="13"/>
      <c r="B460" s="13"/>
      <c r="C460" s="13"/>
      <c r="F460" s="177"/>
      <c r="I460" s="177"/>
      <c r="J460" s="42"/>
    </row>
    <row r="461" spans="1:10" ht="15.75" customHeight="1" x14ac:dyDescent="0.3">
      <c r="A461" s="13"/>
      <c r="B461" s="13"/>
      <c r="C461" s="13"/>
      <c r="F461" s="177"/>
      <c r="I461" s="177"/>
      <c r="J461" s="42"/>
    </row>
    <row r="462" spans="1:10" ht="15.75" customHeight="1" x14ac:dyDescent="0.3">
      <c r="A462" s="13"/>
      <c r="B462" s="13"/>
      <c r="C462" s="13"/>
      <c r="F462" s="177"/>
      <c r="I462" s="177"/>
      <c r="J462" s="42"/>
    </row>
    <row r="463" spans="1:10" ht="15.75" customHeight="1" x14ac:dyDescent="0.3">
      <c r="A463" s="13"/>
      <c r="B463" s="13"/>
      <c r="C463" s="13"/>
      <c r="F463" s="177"/>
      <c r="I463" s="177"/>
      <c r="J463" s="42"/>
    </row>
    <row r="464" spans="1:10" ht="15.75" customHeight="1" x14ac:dyDescent="0.3">
      <c r="A464" s="13"/>
      <c r="B464" s="13"/>
      <c r="C464" s="13"/>
      <c r="F464" s="177"/>
      <c r="I464" s="177"/>
      <c r="J464" s="42"/>
    </row>
    <row r="465" spans="1:10" ht="15.75" customHeight="1" x14ac:dyDescent="0.3">
      <c r="A465" s="13"/>
      <c r="B465" s="13"/>
      <c r="C465" s="13"/>
      <c r="F465" s="177"/>
      <c r="I465" s="177"/>
      <c r="J465" s="42"/>
    </row>
    <row r="466" spans="1:10" ht="15.75" customHeight="1" x14ac:dyDescent="0.3">
      <c r="A466" s="13"/>
      <c r="B466" s="13"/>
      <c r="C466" s="13"/>
      <c r="F466" s="177"/>
      <c r="I466" s="177"/>
      <c r="J466" s="42"/>
    </row>
    <row r="467" spans="1:10" ht="15.75" customHeight="1" x14ac:dyDescent="0.3">
      <c r="A467" s="13"/>
      <c r="B467" s="13"/>
      <c r="C467" s="13"/>
      <c r="F467" s="177"/>
      <c r="I467" s="177"/>
      <c r="J467" s="42"/>
    </row>
    <row r="468" spans="1:10" ht="15.75" customHeight="1" x14ac:dyDescent="0.3">
      <c r="A468" s="13"/>
      <c r="B468" s="13"/>
      <c r="C468" s="13"/>
      <c r="F468" s="177"/>
      <c r="I468" s="177"/>
      <c r="J468" s="42"/>
    </row>
    <row r="469" spans="1:10" ht="15.75" customHeight="1" x14ac:dyDescent="0.3">
      <c r="A469" s="13"/>
      <c r="B469" s="13"/>
      <c r="C469" s="13"/>
      <c r="F469" s="177"/>
      <c r="I469" s="177"/>
      <c r="J469" s="42"/>
    </row>
    <row r="470" spans="1:10" ht="15.75" customHeight="1" x14ac:dyDescent="0.3">
      <c r="A470" s="13"/>
      <c r="B470" s="13"/>
      <c r="C470" s="13"/>
      <c r="F470" s="177"/>
      <c r="I470" s="177"/>
      <c r="J470" s="42"/>
    </row>
    <row r="471" spans="1:10" ht="15.75" customHeight="1" x14ac:dyDescent="0.3">
      <c r="A471" s="13"/>
      <c r="B471" s="13"/>
      <c r="C471" s="13"/>
      <c r="F471" s="177"/>
      <c r="I471" s="177"/>
      <c r="J471" s="42"/>
    </row>
    <row r="472" spans="1:10" ht="15.75" customHeight="1" x14ac:dyDescent="0.3">
      <c r="A472" s="13"/>
      <c r="B472" s="13"/>
      <c r="C472" s="13"/>
      <c r="F472" s="177"/>
      <c r="I472" s="177"/>
      <c r="J472" s="42"/>
    </row>
    <row r="473" spans="1:10" ht="15.75" customHeight="1" x14ac:dyDescent="0.3">
      <c r="A473" s="13"/>
      <c r="B473" s="13"/>
      <c r="C473" s="13"/>
      <c r="F473" s="177"/>
      <c r="I473" s="177"/>
      <c r="J473" s="42"/>
    </row>
    <row r="474" spans="1:10" ht="15.75" customHeight="1" x14ac:dyDescent="0.3">
      <c r="A474" s="13"/>
      <c r="B474" s="13"/>
      <c r="C474" s="13"/>
      <c r="F474" s="177"/>
      <c r="I474" s="177"/>
      <c r="J474" s="42"/>
    </row>
    <row r="475" spans="1:10" ht="15.75" customHeight="1" x14ac:dyDescent="0.3">
      <c r="A475" s="13"/>
      <c r="B475" s="13"/>
      <c r="C475" s="13"/>
      <c r="F475" s="177"/>
      <c r="I475" s="177"/>
      <c r="J475" s="42"/>
    </row>
    <row r="476" spans="1:10" ht="15.75" customHeight="1" x14ac:dyDescent="0.3">
      <c r="A476" s="13"/>
      <c r="B476" s="13"/>
      <c r="C476" s="13"/>
      <c r="F476" s="177"/>
      <c r="I476" s="177"/>
      <c r="J476" s="42"/>
    </row>
    <row r="477" spans="1:10" ht="15.75" customHeight="1" x14ac:dyDescent="0.3">
      <c r="A477" s="13"/>
      <c r="B477" s="13"/>
      <c r="C477" s="13"/>
      <c r="F477" s="177"/>
      <c r="I477" s="177"/>
      <c r="J477" s="42"/>
    </row>
    <row r="478" spans="1:10" ht="15.75" customHeight="1" x14ac:dyDescent="0.3">
      <c r="A478" s="13"/>
      <c r="B478" s="13"/>
      <c r="C478" s="13"/>
      <c r="F478" s="177"/>
      <c r="I478" s="177"/>
      <c r="J478" s="42"/>
    </row>
    <row r="479" spans="1:10" ht="15.75" customHeight="1" x14ac:dyDescent="0.3">
      <c r="A479" s="13"/>
      <c r="B479" s="13"/>
      <c r="C479" s="13"/>
      <c r="F479" s="177"/>
      <c r="I479" s="177"/>
      <c r="J479" s="42"/>
    </row>
    <row r="480" spans="1:10" ht="15.75" customHeight="1" x14ac:dyDescent="0.3">
      <c r="A480" s="13"/>
      <c r="B480" s="13"/>
      <c r="C480" s="13"/>
      <c r="F480" s="177"/>
      <c r="I480" s="177"/>
      <c r="J480" s="42"/>
    </row>
    <row r="481" spans="1:10" ht="15.75" customHeight="1" x14ac:dyDescent="0.3">
      <c r="A481" s="13"/>
      <c r="B481" s="13"/>
      <c r="C481" s="13"/>
      <c r="F481" s="177"/>
      <c r="I481" s="177"/>
      <c r="J481" s="42"/>
    </row>
    <row r="482" spans="1:10" ht="15.75" customHeight="1" x14ac:dyDescent="0.3">
      <c r="A482" s="13"/>
      <c r="B482" s="13"/>
      <c r="C482" s="13"/>
      <c r="F482" s="177"/>
      <c r="I482" s="177"/>
      <c r="J482" s="42"/>
    </row>
    <row r="483" spans="1:10" ht="15.75" customHeight="1" x14ac:dyDescent="0.3">
      <c r="A483" s="13"/>
      <c r="B483" s="13"/>
      <c r="C483" s="13"/>
      <c r="F483" s="177"/>
      <c r="I483" s="177"/>
      <c r="J483" s="42"/>
    </row>
    <row r="484" spans="1:10" ht="15.75" customHeight="1" x14ac:dyDescent="0.3">
      <c r="A484" s="13"/>
      <c r="B484" s="13"/>
      <c r="C484" s="13"/>
      <c r="F484" s="177"/>
      <c r="I484" s="177"/>
      <c r="J484" s="42"/>
    </row>
    <row r="485" spans="1:10" ht="15.75" customHeight="1" x14ac:dyDescent="0.3">
      <c r="A485" s="13"/>
      <c r="B485" s="13"/>
      <c r="C485" s="13"/>
      <c r="F485" s="177"/>
      <c r="I485" s="177"/>
      <c r="J485" s="42"/>
    </row>
    <row r="486" spans="1:10" ht="15.75" customHeight="1" x14ac:dyDescent="0.3">
      <c r="A486" s="13"/>
      <c r="B486" s="13"/>
      <c r="C486" s="13"/>
      <c r="F486" s="177"/>
      <c r="I486" s="177"/>
      <c r="J486" s="42"/>
    </row>
    <row r="487" spans="1:10" ht="15.75" customHeight="1" x14ac:dyDescent="0.3">
      <c r="A487" s="13"/>
      <c r="B487" s="13"/>
      <c r="C487" s="13"/>
      <c r="F487" s="177"/>
      <c r="I487" s="177"/>
      <c r="J487" s="42"/>
    </row>
    <row r="488" spans="1:10" ht="15.75" customHeight="1" x14ac:dyDescent="0.3">
      <c r="A488" s="13"/>
      <c r="B488" s="13"/>
      <c r="C488" s="13"/>
      <c r="F488" s="177"/>
      <c r="I488" s="177"/>
      <c r="J488" s="42"/>
    </row>
    <row r="489" spans="1:10" ht="15.75" customHeight="1" x14ac:dyDescent="0.3">
      <c r="A489" s="13"/>
      <c r="B489" s="13"/>
      <c r="C489" s="13"/>
      <c r="F489" s="177"/>
      <c r="I489" s="177"/>
      <c r="J489" s="42"/>
    </row>
    <row r="490" spans="1:10" ht="15.75" customHeight="1" x14ac:dyDescent="0.3">
      <c r="A490" s="13"/>
      <c r="B490" s="13"/>
      <c r="C490" s="13"/>
      <c r="F490" s="177"/>
      <c r="I490" s="177"/>
      <c r="J490" s="42"/>
    </row>
    <row r="491" spans="1:10" ht="15.75" customHeight="1" x14ac:dyDescent="0.3">
      <c r="A491" s="13"/>
      <c r="B491" s="13"/>
      <c r="C491" s="13"/>
      <c r="F491" s="177"/>
      <c r="I491" s="177"/>
      <c r="J491" s="42"/>
    </row>
    <row r="492" spans="1:10" ht="15.75" customHeight="1" x14ac:dyDescent="0.3">
      <c r="A492" s="13"/>
      <c r="B492" s="13"/>
      <c r="C492" s="13"/>
      <c r="F492" s="177"/>
      <c r="I492" s="177"/>
      <c r="J492" s="42"/>
    </row>
    <row r="493" spans="1:10" ht="15.75" customHeight="1" x14ac:dyDescent="0.3">
      <c r="A493" s="13"/>
      <c r="B493" s="13"/>
      <c r="C493" s="13"/>
      <c r="F493" s="177"/>
      <c r="I493" s="177"/>
      <c r="J493" s="42"/>
    </row>
    <row r="494" spans="1:10" ht="15.75" customHeight="1" x14ac:dyDescent="0.3">
      <c r="A494" s="13"/>
      <c r="B494" s="13"/>
      <c r="C494" s="13"/>
      <c r="F494" s="177"/>
      <c r="I494" s="177"/>
      <c r="J494" s="42"/>
    </row>
    <row r="495" spans="1:10" ht="15.75" customHeight="1" x14ac:dyDescent="0.3">
      <c r="A495" s="13"/>
      <c r="B495" s="13"/>
      <c r="C495" s="13"/>
      <c r="F495" s="177"/>
      <c r="I495" s="177"/>
      <c r="J495" s="42"/>
    </row>
    <row r="496" spans="1:10" ht="15.75" customHeight="1" x14ac:dyDescent="0.3">
      <c r="A496" s="13"/>
      <c r="B496" s="13"/>
      <c r="C496" s="13"/>
      <c r="F496" s="177"/>
      <c r="I496" s="177"/>
      <c r="J496" s="42"/>
    </row>
    <row r="497" spans="1:10" ht="15.75" customHeight="1" x14ac:dyDescent="0.3">
      <c r="A497" s="13"/>
      <c r="B497" s="13"/>
      <c r="C497" s="13"/>
      <c r="F497" s="177"/>
      <c r="I497" s="177"/>
      <c r="J497" s="42"/>
    </row>
    <row r="498" spans="1:10" ht="15.75" customHeight="1" x14ac:dyDescent="0.3">
      <c r="A498" s="13"/>
      <c r="B498" s="13"/>
      <c r="C498" s="13"/>
      <c r="F498" s="177"/>
      <c r="I498" s="177"/>
      <c r="J498" s="42"/>
    </row>
    <row r="499" spans="1:10" ht="15.75" customHeight="1" x14ac:dyDescent="0.3">
      <c r="A499" s="13"/>
      <c r="B499" s="13"/>
      <c r="C499" s="13"/>
      <c r="F499" s="177"/>
      <c r="I499" s="177"/>
      <c r="J499" s="42"/>
    </row>
    <row r="500" spans="1:10" ht="15.75" customHeight="1" x14ac:dyDescent="0.3">
      <c r="A500" s="13"/>
      <c r="B500" s="13"/>
      <c r="C500" s="13"/>
      <c r="F500" s="177"/>
      <c r="I500" s="177"/>
      <c r="J500" s="42"/>
    </row>
    <row r="501" spans="1:10" ht="15.75" customHeight="1" x14ac:dyDescent="0.3">
      <c r="A501" s="13"/>
      <c r="B501" s="13"/>
      <c r="C501" s="13"/>
      <c r="F501" s="177"/>
      <c r="I501" s="177"/>
      <c r="J501" s="42"/>
    </row>
    <row r="502" spans="1:10" ht="15.75" customHeight="1" x14ac:dyDescent="0.3">
      <c r="A502" s="13"/>
      <c r="B502" s="13"/>
      <c r="C502" s="13"/>
      <c r="F502" s="177"/>
      <c r="I502" s="177"/>
      <c r="J502" s="42"/>
    </row>
    <row r="503" spans="1:10" ht="15.75" customHeight="1" x14ac:dyDescent="0.3">
      <c r="A503" s="13"/>
      <c r="B503" s="13"/>
      <c r="C503" s="13"/>
      <c r="F503" s="177"/>
      <c r="I503" s="177"/>
      <c r="J503" s="42"/>
    </row>
    <row r="504" spans="1:10" ht="15.75" customHeight="1" x14ac:dyDescent="0.3">
      <c r="A504" s="13"/>
      <c r="B504" s="13"/>
      <c r="C504" s="13"/>
      <c r="F504" s="177"/>
      <c r="I504" s="177"/>
      <c r="J504" s="42"/>
    </row>
    <row r="505" spans="1:10" ht="15.75" customHeight="1" x14ac:dyDescent="0.3">
      <c r="A505" s="13"/>
      <c r="B505" s="13"/>
      <c r="C505" s="13"/>
      <c r="F505" s="177"/>
      <c r="I505" s="177"/>
      <c r="J505" s="42"/>
    </row>
    <row r="506" spans="1:10" ht="15.75" customHeight="1" x14ac:dyDescent="0.3">
      <c r="A506" s="13"/>
      <c r="B506" s="13"/>
      <c r="C506" s="13"/>
      <c r="F506" s="177"/>
      <c r="I506" s="177"/>
      <c r="J506" s="42"/>
    </row>
    <row r="507" spans="1:10" ht="15.75" customHeight="1" x14ac:dyDescent="0.3">
      <c r="A507" s="13"/>
      <c r="B507" s="13"/>
      <c r="C507" s="13"/>
      <c r="F507" s="177"/>
      <c r="I507" s="177"/>
      <c r="J507" s="42"/>
    </row>
    <row r="508" spans="1:10" ht="15.75" customHeight="1" x14ac:dyDescent="0.3">
      <c r="A508" s="13"/>
      <c r="B508" s="13"/>
      <c r="C508" s="13"/>
      <c r="F508" s="177"/>
      <c r="I508" s="177"/>
      <c r="J508" s="42"/>
    </row>
    <row r="509" spans="1:10" ht="15.75" customHeight="1" x14ac:dyDescent="0.3">
      <c r="A509" s="13"/>
      <c r="B509" s="13"/>
      <c r="C509" s="13"/>
      <c r="F509" s="177"/>
      <c r="I509" s="177"/>
      <c r="J509" s="42"/>
    </row>
    <row r="510" spans="1:10" ht="15.75" customHeight="1" x14ac:dyDescent="0.3">
      <c r="A510" s="13"/>
      <c r="B510" s="13"/>
      <c r="C510" s="13"/>
      <c r="F510" s="177"/>
      <c r="I510" s="177"/>
      <c r="J510" s="42"/>
    </row>
    <row r="511" spans="1:10" ht="15.75" customHeight="1" x14ac:dyDescent="0.3">
      <c r="A511" s="13"/>
      <c r="B511" s="13"/>
      <c r="C511" s="13"/>
      <c r="F511" s="177"/>
      <c r="I511" s="177"/>
      <c r="J511" s="42"/>
    </row>
    <row r="512" spans="1:10" ht="15.75" customHeight="1" x14ac:dyDescent="0.3">
      <c r="A512" s="13"/>
      <c r="B512" s="13"/>
      <c r="C512" s="13"/>
      <c r="F512" s="177"/>
      <c r="I512" s="177"/>
      <c r="J512" s="42"/>
    </row>
    <row r="513" spans="1:10" ht="15.75" customHeight="1" x14ac:dyDescent="0.3">
      <c r="A513" s="13"/>
      <c r="B513" s="13"/>
      <c r="C513" s="13"/>
      <c r="F513" s="177"/>
      <c r="I513" s="177"/>
      <c r="J513" s="42"/>
    </row>
    <row r="514" spans="1:10" ht="15.75" customHeight="1" x14ac:dyDescent="0.3">
      <c r="A514" s="13"/>
      <c r="B514" s="13"/>
      <c r="C514" s="13"/>
      <c r="F514" s="177"/>
      <c r="I514" s="177"/>
      <c r="J514" s="42"/>
    </row>
    <row r="515" spans="1:10" ht="15.75" customHeight="1" x14ac:dyDescent="0.3">
      <c r="A515" s="13"/>
      <c r="B515" s="13"/>
      <c r="C515" s="13"/>
      <c r="F515" s="177"/>
      <c r="I515" s="177"/>
      <c r="J515" s="42"/>
    </row>
    <row r="516" spans="1:10" ht="15.75" customHeight="1" x14ac:dyDescent="0.3">
      <c r="A516" s="13"/>
      <c r="B516" s="13"/>
      <c r="C516" s="13"/>
      <c r="F516" s="177"/>
      <c r="I516" s="177"/>
      <c r="J516" s="42"/>
    </row>
    <row r="517" spans="1:10" ht="15.75" customHeight="1" x14ac:dyDescent="0.3">
      <c r="A517" s="13"/>
      <c r="B517" s="13"/>
      <c r="C517" s="13"/>
      <c r="F517" s="177"/>
      <c r="I517" s="177"/>
      <c r="J517" s="42"/>
    </row>
    <row r="518" spans="1:10" ht="15.75" customHeight="1" x14ac:dyDescent="0.3">
      <c r="A518" s="13"/>
      <c r="B518" s="13"/>
      <c r="C518" s="13"/>
      <c r="F518" s="177"/>
      <c r="I518" s="177"/>
      <c r="J518" s="42"/>
    </row>
    <row r="519" spans="1:10" ht="15.75" customHeight="1" x14ac:dyDescent="0.3">
      <c r="A519" s="13"/>
      <c r="B519" s="13"/>
      <c r="C519" s="13"/>
      <c r="F519" s="177"/>
      <c r="I519" s="177"/>
      <c r="J519" s="42"/>
    </row>
    <row r="520" spans="1:10" ht="15.75" customHeight="1" x14ac:dyDescent="0.3">
      <c r="A520" s="13"/>
      <c r="B520" s="13"/>
      <c r="C520" s="13"/>
      <c r="F520" s="177"/>
      <c r="I520" s="177"/>
      <c r="J520" s="42"/>
    </row>
    <row r="521" spans="1:10" ht="15.75" customHeight="1" x14ac:dyDescent="0.3">
      <c r="A521" s="13"/>
      <c r="B521" s="13"/>
      <c r="C521" s="13"/>
      <c r="F521" s="177"/>
      <c r="I521" s="177"/>
      <c r="J521" s="42"/>
    </row>
    <row r="522" spans="1:10" ht="15.75" customHeight="1" x14ac:dyDescent="0.3">
      <c r="A522" s="13"/>
      <c r="B522" s="13"/>
      <c r="C522" s="13"/>
      <c r="F522" s="177"/>
      <c r="I522" s="177"/>
      <c r="J522" s="42"/>
    </row>
    <row r="523" spans="1:10" ht="15.75" customHeight="1" x14ac:dyDescent="0.3">
      <c r="A523" s="13"/>
      <c r="B523" s="13"/>
      <c r="C523" s="13"/>
      <c r="F523" s="177"/>
      <c r="I523" s="177"/>
      <c r="J523" s="42"/>
    </row>
    <row r="524" spans="1:10" ht="15.75" customHeight="1" x14ac:dyDescent="0.3">
      <c r="A524" s="13"/>
      <c r="B524" s="13"/>
      <c r="C524" s="13"/>
      <c r="F524" s="177"/>
      <c r="I524" s="177"/>
      <c r="J524" s="42"/>
    </row>
    <row r="525" spans="1:10" ht="15.75" customHeight="1" x14ac:dyDescent="0.3">
      <c r="A525" s="13"/>
      <c r="B525" s="13"/>
      <c r="C525" s="13"/>
      <c r="F525" s="177"/>
      <c r="I525" s="177"/>
      <c r="J525" s="42"/>
    </row>
    <row r="526" spans="1:10" ht="15.75" customHeight="1" x14ac:dyDescent="0.3">
      <c r="A526" s="13"/>
      <c r="B526" s="13"/>
      <c r="C526" s="13"/>
      <c r="F526" s="177"/>
      <c r="I526" s="177"/>
      <c r="J526" s="42"/>
    </row>
    <row r="527" spans="1:10" ht="15.75" customHeight="1" x14ac:dyDescent="0.3">
      <c r="A527" s="13"/>
      <c r="B527" s="13"/>
      <c r="C527" s="13"/>
      <c r="F527" s="177"/>
      <c r="I527" s="177"/>
      <c r="J527" s="42"/>
    </row>
    <row r="528" spans="1:10" ht="15.75" customHeight="1" x14ac:dyDescent="0.3">
      <c r="A528" s="13"/>
      <c r="B528" s="13"/>
      <c r="C528" s="13"/>
      <c r="F528" s="177"/>
      <c r="I528" s="177"/>
      <c r="J528" s="42"/>
    </row>
    <row r="529" spans="1:10" ht="15.75" customHeight="1" x14ac:dyDescent="0.3">
      <c r="A529" s="13"/>
      <c r="B529" s="13"/>
      <c r="C529" s="13"/>
      <c r="F529" s="177"/>
      <c r="I529" s="177"/>
      <c r="J529" s="42"/>
    </row>
    <row r="530" spans="1:10" ht="15.75" customHeight="1" x14ac:dyDescent="0.3">
      <c r="A530" s="13"/>
      <c r="B530" s="13"/>
      <c r="C530" s="13"/>
      <c r="F530" s="177"/>
      <c r="I530" s="177"/>
      <c r="J530" s="42"/>
    </row>
    <row r="531" spans="1:10" ht="15.75" customHeight="1" x14ac:dyDescent="0.3">
      <c r="A531" s="13"/>
      <c r="B531" s="13"/>
      <c r="C531" s="13"/>
      <c r="F531" s="177"/>
      <c r="I531" s="177"/>
      <c r="J531" s="42"/>
    </row>
    <row r="532" spans="1:10" ht="15.75" customHeight="1" x14ac:dyDescent="0.3">
      <c r="A532" s="13"/>
      <c r="B532" s="13"/>
      <c r="C532" s="13"/>
      <c r="F532" s="177"/>
      <c r="I532" s="177"/>
      <c r="J532" s="42"/>
    </row>
    <row r="533" spans="1:10" ht="15.75" customHeight="1" x14ac:dyDescent="0.3">
      <c r="A533" s="13"/>
      <c r="B533" s="13"/>
      <c r="C533" s="13"/>
      <c r="F533" s="177"/>
      <c r="I533" s="177"/>
      <c r="J533" s="42"/>
    </row>
    <row r="534" spans="1:10" ht="15.75" customHeight="1" x14ac:dyDescent="0.3">
      <c r="A534" s="13"/>
      <c r="B534" s="13"/>
      <c r="C534" s="13"/>
      <c r="F534" s="177"/>
      <c r="I534" s="177"/>
      <c r="J534" s="42"/>
    </row>
    <row r="535" spans="1:10" ht="15.75" customHeight="1" x14ac:dyDescent="0.3">
      <c r="A535" s="13"/>
      <c r="B535" s="13"/>
      <c r="C535" s="13"/>
      <c r="F535" s="177"/>
      <c r="I535" s="177"/>
      <c r="J535" s="42"/>
    </row>
    <row r="536" spans="1:10" ht="15.75" customHeight="1" x14ac:dyDescent="0.3">
      <c r="A536" s="13"/>
      <c r="B536" s="13"/>
      <c r="C536" s="13"/>
      <c r="F536" s="177"/>
      <c r="I536" s="177"/>
      <c r="J536" s="42"/>
    </row>
    <row r="537" spans="1:10" ht="15.75" customHeight="1" x14ac:dyDescent="0.3">
      <c r="A537" s="13"/>
      <c r="B537" s="13"/>
      <c r="C537" s="13"/>
      <c r="F537" s="177"/>
      <c r="I537" s="177"/>
      <c r="J537" s="42"/>
    </row>
    <row r="538" spans="1:10" ht="15.75" customHeight="1" x14ac:dyDescent="0.3">
      <c r="A538" s="13"/>
      <c r="B538" s="13"/>
      <c r="C538" s="13"/>
      <c r="F538" s="177"/>
      <c r="I538" s="177"/>
      <c r="J538" s="42"/>
    </row>
    <row r="539" spans="1:10" ht="15.75" customHeight="1" x14ac:dyDescent="0.3">
      <c r="A539" s="13"/>
      <c r="B539" s="13"/>
      <c r="C539" s="13"/>
      <c r="F539" s="177"/>
      <c r="I539" s="177"/>
      <c r="J539" s="42"/>
    </row>
    <row r="540" spans="1:10" ht="15.75" customHeight="1" x14ac:dyDescent="0.3">
      <c r="A540" s="13"/>
      <c r="B540" s="13"/>
      <c r="C540" s="13"/>
      <c r="F540" s="177"/>
      <c r="I540" s="177"/>
      <c r="J540" s="42"/>
    </row>
    <row r="541" spans="1:10" ht="15.75" customHeight="1" x14ac:dyDescent="0.3">
      <c r="A541" s="13"/>
      <c r="B541" s="13"/>
      <c r="C541" s="13"/>
      <c r="F541" s="177"/>
      <c r="I541" s="177"/>
      <c r="J541" s="42"/>
    </row>
    <row r="542" spans="1:10" ht="15.75" customHeight="1" x14ac:dyDescent="0.3">
      <c r="A542" s="13"/>
      <c r="B542" s="13"/>
      <c r="C542" s="13"/>
      <c r="F542" s="177"/>
      <c r="I542" s="177"/>
      <c r="J542" s="42"/>
    </row>
    <row r="543" spans="1:10" ht="15.75" customHeight="1" x14ac:dyDescent="0.3">
      <c r="A543" s="13"/>
      <c r="B543" s="13"/>
      <c r="C543" s="13"/>
      <c r="F543" s="177"/>
      <c r="I543" s="177"/>
      <c r="J543" s="42"/>
    </row>
    <row r="544" spans="1:10" ht="15.75" customHeight="1" x14ac:dyDescent="0.3">
      <c r="A544" s="13"/>
      <c r="B544" s="13"/>
      <c r="C544" s="13"/>
      <c r="F544" s="177"/>
      <c r="I544" s="177"/>
      <c r="J544" s="42"/>
    </row>
    <row r="545" spans="1:10" ht="15.75" customHeight="1" x14ac:dyDescent="0.3">
      <c r="A545" s="13"/>
      <c r="B545" s="13"/>
      <c r="C545" s="13"/>
      <c r="F545" s="177"/>
      <c r="I545" s="177"/>
      <c r="J545" s="42"/>
    </row>
    <row r="546" spans="1:10" ht="15.75" customHeight="1" x14ac:dyDescent="0.3">
      <c r="A546" s="13"/>
      <c r="B546" s="13"/>
      <c r="C546" s="13"/>
      <c r="F546" s="177"/>
      <c r="I546" s="177"/>
      <c r="J546" s="42"/>
    </row>
    <row r="547" spans="1:10" ht="15.75" customHeight="1" x14ac:dyDescent="0.3">
      <c r="A547" s="13"/>
      <c r="B547" s="13"/>
      <c r="C547" s="13"/>
      <c r="F547" s="177"/>
      <c r="I547" s="177"/>
      <c r="J547" s="42"/>
    </row>
    <row r="548" spans="1:10" ht="15.75" customHeight="1" x14ac:dyDescent="0.3">
      <c r="A548" s="13"/>
      <c r="B548" s="13"/>
      <c r="C548" s="13"/>
      <c r="F548" s="177"/>
      <c r="I548" s="177"/>
      <c r="J548" s="42"/>
    </row>
    <row r="549" spans="1:10" ht="15.75" customHeight="1" x14ac:dyDescent="0.3">
      <c r="A549" s="13"/>
      <c r="B549" s="13"/>
      <c r="C549" s="13"/>
      <c r="F549" s="177"/>
      <c r="I549" s="177"/>
      <c r="J549" s="42"/>
    </row>
    <row r="550" spans="1:10" ht="15.75" customHeight="1" x14ac:dyDescent="0.3">
      <c r="A550" s="13"/>
      <c r="B550" s="13"/>
      <c r="C550" s="13"/>
      <c r="F550" s="177"/>
      <c r="I550" s="177"/>
      <c r="J550" s="42"/>
    </row>
    <row r="551" spans="1:10" ht="15.75" customHeight="1" x14ac:dyDescent="0.3">
      <c r="A551" s="13"/>
      <c r="B551" s="13"/>
      <c r="C551" s="13"/>
      <c r="F551" s="177"/>
      <c r="I551" s="177"/>
      <c r="J551" s="42"/>
    </row>
    <row r="552" spans="1:10" ht="15.75" customHeight="1" x14ac:dyDescent="0.3">
      <c r="A552" s="13"/>
      <c r="B552" s="13"/>
      <c r="C552" s="13"/>
      <c r="F552" s="177"/>
      <c r="I552" s="177"/>
      <c r="J552" s="42"/>
    </row>
    <row r="553" spans="1:10" ht="15.75" customHeight="1" x14ac:dyDescent="0.3">
      <c r="A553" s="13"/>
      <c r="B553" s="13"/>
      <c r="C553" s="13"/>
      <c r="F553" s="177"/>
      <c r="I553" s="177"/>
      <c r="J553" s="42"/>
    </row>
    <row r="554" spans="1:10" ht="15.75" customHeight="1" x14ac:dyDescent="0.3">
      <c r="A554" s="13"/>
      <c r="B554" s="13"/>
      <c r="C554" s="13"/>
      <c r="F554" s="177"/>
      <c r="I554" s="177"/>
      <c r="J554" s="42"/>
    </row>
    <row r="555" spans="1:10" ht="15.75" customHeight="1" x14ac:dyDescent="0.3">
      <c r="A555" s="13"/>
      <c r="B555" s="13"/>
      <c r="C555" s="13"/>
      <c r="F555" s="177"/>
      <c r="I555" s="177"/>
      <c r="J555" s="42"/>
    </row>
    <row r="556" spans="1:10" ht="15.75" customHeight="1" x14ac:dyDescent="0.3">
      <c r="A556" s="13"/>
      <c r="B556" s="13"/>
      <c r="C556" s="13"/>
      <c r="F556" s="177"/>
      <c r="I556" s="177"/>
      <c r="J556" s="42"/>
    </row>
    <row r="557" spans="1:10" ht="15.75" customHeight="1" x14ac:dyDescent="0.3">
      <c r="A557" s="13"/>
      <c r="B557" s="13"/>
      <c r="C557" s="13"/>
      <c r="F557" s="177"/>
      <c r="I557" s="177"/>
      <c r="J557" s="42"/>
    </row>
    <row r="558" spans="1:10" ht="15.75" customHeight="1" x14ac:dyDescent="0.3">
      <c r="A558" s="13"/>
      <c r="B558" s="13"/>
      <c r="C558" s="13"/>
      <c r="F558" s="177"/>
      <c r="I558" s="177"/>
      <c r="J558" s="42"/>
    </row>
    <row r="559" spans="1:10" ht="15.75" customHeight="1" x14ac:dyDescent="0.3">
      <c r="A559" s="13"/>
      <c r="B559" s="13"/>
      <c r="C559" s="13"/>
      <c r="F559" s="177"/>
      <c r="I559" s="177"/>
      <c r="J559" s="42"/>
    </row>
    <row r="560" spans="1:10" ht="15.75" customHeight="1" x14ac:dyDescent="0.3">
      <c r="A560" s="13"/>
      <c r="B560" s="13"/>
      <c r="C560" s="13"/>
      <c r="F560" s="177"/>
      <c r="I560" s="177"/>
      <c r="J560" s="42"/>
    </row>
    <row r="561" spans="1:10" ht="15.75" customHeight="1" x14ac:dyDescent="0.3">
      <c r="A561" s="13"/>
      <c r="B561" s="13"/>
      <c r="C561" s="13"/>
      <c r="F561" s="177"/>
      <c r="I561" s="177"/>
      <c r="J561" s="42"/>
    </row>
    <row r="562" spans="1:10" ht="15.75" customHeight="1" x14ac:dyDescent="0.3">
      <c r="A562" s="13"/>
      <c r="B562" s="13"/>
      <c r="C562" s="13"/>
      <c r="F562" s="177"/>
      <c r="I562" s="177"/>
      <c r="J562" s="42"/>
    </row>
    <row r="563" spans="1:10" ht="15.75" customHeight="1" x14ac:dyDescent="0.3">
      <c r="A563" s="13"/>
      <c r="B563" s="13"/>
      <c r="C563" s="13"/>
      <c r="F563" s="177"/>
      <c r="I563" s="177"/>
      <c r="J563" s="42"/>
    </row>
    <row r="564" spans="1:10" ht="15.75" customHeight="1" x14ac:dyDescent="0.3">
      <c r="A564" s="13"/>
      <c r="B564" s="13"/>
      <c r="C564" s="13"/>
      <c r="F564" s="177"/>
      <c r="I564" s="177"/>
      <c r="J564" s="42"/>
    </row>
    <row r="565" spans="1:10" ht="15.75" customHeight="1" x14ac:dyDescent="0.3">
      <c r="A565" s="13"/>
      <c r="B565" s="13"/>
      <c r="C565" s="13"/>
      <c r="F565" s="177"/>
      <c r="I565" s="177"/>
      <c r="J565" s="42"/>
    </row>
    <row r="566" spans="1:10" ht="15.75" customHeight="1" x14ac:dyDescent="0.3">
      <c r="A566" s="13"/>
      <c r="B566" s="13"/>
      <c r="C566" s="13"/>
      <c r="F566" s="177"/>
      <c r="I566" s="177"/>
      <c r="J566" s="42"/>
    </row>
    <row r="567" spans="1:10" ht="15.75" customHeight="1" x14ac:dyDescent="0.3">
      <c r="A567" s="13"/>
      <c r="B567" s="13"/>
      <c r="C567" s="13"/>
      <c r="F567" s="177"/>
      <c r="I567" s="177"/>
      <c r="J567" s="42"/>
    </row>
    <row r="568" spans="1:10" ht="15.75" customHeight="1" x14ac:dyDescent="0.3">
      <c r="A568" s="13"/>
      <c r="B568" s="13"/>
      <c r="C568" s="13"/>
      <c r="F568" s="177"/>
      <c r="I568" s="177"/>
      <c r="J568" s="42"/>
    </row>
    <row r="569" spans="1:10" ht="15.75" customHeight="1" x14ac:dyDescent="0.3">
      <c r="A569" s="13"/>
      <c r="B569" s="13"/>
      <c r="C569" s="13"/>
      <c r="F569" s="177"/>
      <c r="I569" s="177"/>
      <c r="J569" s="42"/>
    </row>
    <row r="570" spans="1:10" ht="15.75" customHeight="1" x14ac:dyDescent="0.3">
      <c r="A570" s="13"/>
      <c r="B570" s="13"/>
      <c r="C570" s="13"/>
      <c r="F570" s="177"/>
      <c r="I570" s="177"/>
      <c r="J570" s="42"/>
    </row>
    <row r="571" spans="1:10" ht="15.75" customHeight="1" x14ac:dyDescent="0.3">
      <c r="A571" s="13"/>
      <c r="B571" s="13"/>
      <c r="C571" s="13"/>
      <c r="F571" s="177"/>
      <c r="I571" s="177"/>
      <c r="J571" s="42"/>
    </row>
    <row r="572" spans="1:10" ht="15.75" customHeight="1" x14ac:dyDescent="0.3">
      <c r="A572" s="13"/>
      <c r="B572" s="13"/>
      <c r="C572" s="13"/>
      <c r="F572" s="177"/>
      <c r="I572" s="177"/>
      <c r="J572" s="42"/>
    </row>
    <row r="573" spans="1:10" ht="15.75" customHeight="1" x14ac:dyDescent="0.3">
      <c r="A573" s="13"/>
      <c r="B573" s="13"/>
      <c r="C573" s="13"/>
      <c r="F573" s="177"/>
      <c r="I573" s="177"/>
      <c r="J573" s="42"/>
    </row>
    <row r="574" spans="1:10" ht="15.75" customHeight="1" x14ac:dyDescent="0.3">
      <c r="A574" s="13"/>
      <c r="B574" s="13"/>
      <c r="C574" s="13"/>
      <c r="F574" s="177"/>
      <c r="I574" s="177"/>
      <c r="J574" s="42"/>
    </row>
    <row r="575" spans="1:10" ht="15.75" customHeight="1" x14ac:dyDescent="0.3">
      <c r="A575" s="13"/>
      <c r="B575" s="13"/>
      <c r="C575" s="13"/>
      <c r="F575" s="177"/>
      <c r="I575" s="177"/>
      <c r="J575" s="42"/>
    </row>
    <row r="576" spans="1:10" ht="15.75" customHeight="1" x14ac:dyDescent="0.3">
      <c r="A576" s="13"/>
      <c r="B576" s="13"/>
      <c r="C576" s="13"/>
      <c r="F576" s="177"/>
      <c r="I576" s="177"/>
      <c r="J576" s="42"/>
    </row>
    <row r="577" spans="1:10" ht="15.75" customHeight="1" x14ac:dyDescent="0.3">
      <c r="A577" s="13"/>
      <c r="B577" s="13"/>
      <c r="C577" s="13"/>
      <c r="F577" s="177"/>
      <c r="I577" s="177"/>
      <c r="J577" s="42"/>
    </row>
    <row r="578" spans="1:10" ht="15.75" customHeight="1" x14ac:dyDescent="0.3">
      <c r="A578" s="13"/>
      <c r="B578" s="13"/>
      <c r="C578" s="13"/>
      <c r="F578" s="177"/>
      <c r="I578" s="177"/>
      <c r="J578" s="42"/>
    </row>
    <row r="579" spans="1:10" ht="15.75" customHeight="1" x14ac:dyDescent="0.3">
      <c r="A579" s="13"/>
      <c r="B579" s="13"/>
      <c r="C579" s="13"/>
      <c r="F579" s="177"/>
      <c r="I579" s="177"/>
      <c r="J579" s="42"/>
    </row>
    <row r="580" spans="1:10" ht="15.75" customHeight="1" x14ac:dyDescent="0.3">
      <c r="A580" s="13"/>
      <c r="B580" s="13"/>
      <c r="C580" s="13"/>
      <c r="F580" s="177"/>
      <c r="I580" s="177"/>
      <c r="J580" s="42"/>
    </row>
    <row r="581" spans="1:10" ht="15.75" customHeight="1" x14ac:dyDescent="0.3">
      <c r="A581" s="13"/>
      <c r="B581" s="13"/>
      <c r="C581" s="13"/>
      <c r="F581" s="177"/>
      <c r="I581" s="177"/>
      <c r="J581" s="42"/>
    </row>
    <row r="582" spans="1:10" ht="15.75" customHeight="1" x14ac:dyDescent="0.3">
      <c r="A582" s="13"/>
      <c r="B582" s="13"/>
      <c r="C582" s="13"/>
      <c r="F582" s="177"/>
      <c r="I582" s="177"/>
      <c r="J582" s="42"/>
    </row>
    <row r="583" spans="1:10" ht="15.75" customHeight="1" x14ac:dyDescent="0.3">
      <c r="A583" s="13"/>
      <c r="B583" s="13"/>
      <c r="C583" s="13"/>
      <c r="F583" s="177"/>
      <c r="I583" s="177"/>
      <c r="J583" s="42"/>
    </row>
    <row r="584" spans="1:10" ht="15.75" customHeight="1" x14ac:dyDescent="0.3">
      <c r="A584" s="13"/>
      <c r="B584" s="13"/>
      <c r="C584" s="13"/>
      <c r="F584" s="177"/>
      <c r="I584" s="177"/>
      <c r="J584" s="42"/>
    </row>
    <row r="585" spans="1:10" ht="15.75" customHeight="1" x14ac:dyDescent="0.3">
      <c r="A585" s="13"/>
      <c r="B585" s="13"/>
      <c r="C585" s="13"/>
      <c r="F585" s="177"/>
      <c r="I585" s="177"/>
      <c r="J585" s="42"/>
    </row>
    <row r="586" spans="1:10" ht="15.75" customHeight="1" x14ac:dyDescent="0.3">
      <c r="A586" s="13"/>
      <c r="B586" s="13"/>
      <c r="C586" s="13"/>
      <c r="F586" s="177"/>
      <c r="I586" s="177"/>
      <c r="J586" s="42"/>
    </row>
    <row r="587" spans="1:10" ht="15.75" customHeight="1" x14ac:dyDescent="0.3">
      <c r="A587" s="13"/>
      <c r="B587" s="13"/>
      <c r="C587" s="13"/>
      <c r="F587" s="177"/>
      <c r="I587" s="177"/>
      <c r="J587" s="42"/>
    </row>
    <row r="588" spans="1:10" ht="15.75" customHeight="1" x14ac:dyDescent="0.3">
      <c r="A588" s="13"/>
      <c r="B588" s="13"/>
      <c r="C588" s="13"/>
      <c r="F588" s="177"/>
      <c r="I588" s="177"/>
      <c r="J588" s="42"/>
    </row>
    <row r="589" spans="1:10" ht="15.75" customHeight="1" x14ac:dyDescent="0.3">
      <c r="A589" s="13"/>
      <c r="B589" s="13"/>
      <c r="C589" s="13"/>
      <c r="F589" s="177"/>
      <c r="I589" s="177"/>
      <c r="J589" s="42"/>
    </row>
    <row r="590" spans="1:10" ht="15.75" customHeight="1" x14ac:dyDescent="0.3">
      <c r="A590" s="13"/>
      <c r="B590" s="13"/>
      <c r="C590" s="13"/>
      <c r="F590" s="177"/>
      <c r="I590" s="177"/>
      <c r="J590" s="42"/>
    </row>
    <row r="591" spans="1:10" ht="15.75" customHeight="1" x14ac:dyDescent="0.3">
      <c r="A591" s="13"/>
      <c r="B591" s="13"/>
      <c r="C591" s="13"/>
      <c r="F591" s="177"/>
      <c r="I591" s="177"/>
      <c r="J591" s="42"/>
    </row>
    <row r="592" spans="1:10" ht="15.75" customHeight="1" x14ac:dyDescent="0.3">
      <c r="A592" s="13"/>
      <c r="B592" s="13"/>
      <c r="C592" s="13"/>
      <c r="F592" s="177"/>
      <c r="I592" s="177"/>
      <c r="J592" s="42"/>
    </row>
    <row r="593" spans="1:10" ht="15.75" customHeight="1" x14ac:dyDescent="0.3">
      <c r="A593" s="13"/>
      <c r="B593" s="13"/>
      <c r="C593" s="13"/>
      <c r="F593" s="177"/>
      <c r="I593" s="177"/>
      <c r="J593" s="42"/>
    </row>
    <row r="594" spans="1:10" ht="15.75" customHeight="1" x14ac:dyDescent="0.3">
      <c r="A594" s="13"/>
      <c r="B594" s="13"/>
      <c r="C594" s="13"/>
      <c r="F594" s="177"/>
      <c r="I594" s="177"/>
      <c r="J594" s="42"/>
    </row>
    <row r="595" spans="1:10" ht="15.75" customHeight="1" x14ac:dyDescent="0.3">
      <c r="A595" s="13"/>
      <c r="B595" s="13"/>
      <c r="C595" s="13"/>
      <c r="F595" s="177"/>
      <c r="I595" s="177"/>
      <c r="J595" s="42"/>
    </row>
    <row r="596" spans="1:10" ht="15.75" customHeight="1" x14ac:dyDescent="0.3">
      <c r="A596" s="13"/>
      <c r="B596" s="13"/>
      <c r="C596" s="13"/>
      <c r="F596" s="177"/>
      <c r="I596" s="177"/>
      <c r="J596" s="42"/>
    </row>
    <row r="597" spans="1:10" ht="15.75" customHeight="1" x14ac:dyDescent="0.3">
      <c r="A597" s="13"/>
      <c r="B597" s="13"/>
      <c r="C597" s="13"/>
      <c r="F597" s="177"/>
      <c r="I597" s="177"/>
      <c r="J597" s="42"/>
    </row>
    <row r="598" spans="1:10" ht="15.75" customHeight="1" x14ac:dyDescent="0.3">
      <c r="A598" s="13"/>
      <c r="B598" s="13"/>
      <c r="C598" s="13"/>
      <c r="F598" s="177"/>
      <c r="I598" s="177"/>
      <c r="J598" s="42"/>
    </row>
    <row r="599" spans="1:10" ht="15.75" customHeight="1" x14ac:dyDescent="0.3">
      <c r="A599" s="13"/>
      <c r="B599" s="13"/>
      <c r="C599" s="13"/>
      <c r="F599" s="177"/>
      <c r="I599" s="177"/>
      <c r="J599" s="42"/>
    </row>
    <row r="600" spans="1:10" ht="15.75" customHeight="1" x14ac:dyDescent="0.3">
      <c r="A600" s="13"/>
      <c r="B600" s="13"/>
      <c r="C600" s="13"/>
      <c r="F600" s="177"/>
      <c r="I600" s="177"/>
      <c r="J600" s="42"/>
    </row>
    <row r="601" spans="1:10" ht="15.75" customHeight="1" x14ac:dyDescent="0.3">
      <c r="A601" s="13"/>
      <c r="B601" s="13"/>
      <c r="C601" s="13"/>
      <c r="F601" s="177"/>
      <c r="I601" s="177"/>
      <c r="J601" s="42"/>
    </row>
    <row r="602" spans="1:10" ht="15.75" customHeight="1" x14ac:dyDescent="0.3">
      <c r="A602" s="13"/>
      <c r="B602" s="13"/>
      <c r="C602" s="13"/>
      <c r="F602" s="177"/>
      <c r="I602" s="177"/>
      <c r="J602" s="42"/>
    </row>
    <row r="603" spans="1:10" ht="15.75" customHeight="1" x14ac:dyDescent="0.3">
      <c r="A603" s="13"/>
      <c r="B603" s="13"/>
      <c r="C603" s="13"/>
      <c r="F603" s="177"/>
      <c r="I603" s="177"/>
      <c r="J603" s="42"/>
    </row>
    <row r="604" spans="1:10" ht="15.75" customHeight="1" x14ac:dyDescent="0.3">
      <c r="A604" s="13"/>
      <c r="B604" s="13"/>
      <c r="C604" s="13"/>
      <c r="F604" s="177"/>
      <c r="I604" s="177"/>
      <c r="J604" s="42"/>
    </row>
    <row r="605" spans="1:10" ht="15.75" customHeight="1" x14ac:dyDescent="0.3">
      <c r="A605" s="13"/>
      <c r="B605" s="13"/>
      <c r="C605" s="13"/>
      <c r="F605" s="177"/>
      <c r="I605" s="177"/>
      <c r="J605" s="42"/>
    </row>
    <row r="606" spans="1:10" ht="15.75" customHeight="1" x14ac:dyDescent="0.3">
      <c r="A606" s="13"/>
      <c r="B606" s="13"/>
      <c r="C606" s="13"/>
      <c r="F606" s="177"/>
      <c r="I606" s="177"/>
      <c r="J606" s="42"/>
    </row>
    <row r="607" spans="1:10" ht="15.75" customHeight="1" x14ac:dyDescent="0.3">
      <c r="A607" s="13"/>
      <c r="B607" s="13"/>
      <c r="C607" s="13"/>
      <c r="F607" s="177"/>
      <c r="I607" s="177"/>
      <c r="J607" s="42"/>
    </row>
    <row r="608" spans="1:10" ht="15.75" customHeight="1" x14ac:dyDescent="0.3">
      <c r="A608" s="13"/>
      <c r="B608" s="13"/>
      <c r="C608" s="13"/>
      <c r="F608" s="177"/>
      <c r="I608" s="177"/>
      <c r="J608" s="42"/>
    </row>
    <row r="609" spans="1:10" ht="15.75" customHeight="1" x14ac:dyDescent="0.3">
      <c r="A609" s="13"/>
      <c r="B609" s="13"/>
      <c r="C609" s="13"/>
      <c r="F609" s="177"/>
      <c r="I609" s="177"/>
      <c r="J609" s="42"/>
    </row>
    <row r="610" spans="1:10" ht="15.75" customHeight="1" x14ac:dyDescent="0.3">
      <c r="A610" s="13"/>
      <c r="B610" s="13"/>
      <c r="C610" s="13"/>
      <c r="F610" s="177"/>
      <c r="I610" s="177"/>
      <c r="J610" s="42"/>
    </row>
    <row r="611" spans="1:10" ht="15.75" customHeight="1" x14ac:dyDescent="0.3">
      <c r="A611" s="13"/>
      <c r="B611" s="13"/>
      <c r="C611" s="13"/>
      <c r="F611" s="177"/>
      <c r="I611" s="177"/>
      <c r="J611" s="42"/>
    </row>
    <row r="612" spans="1:10" ht="15.75" customHeight="1" x14ac:dyDescent="0.3">
      <c r="A612" s="13"/>
      <c r="B612" s="13"/>
      <c r="C612" s="13"/>
      <c r="F612" s="177"/>
      <c r="I612" s="177"/>
      <c r="J612" s="42"/>
    </row>
    <row r="613" spans="1:10" ht="15.75" customHeight="1" x14ac:dyDescent="0.3">
      <c r="A613" s="13"/>
      <c r="B613" s="13"/>
      <c r="C613" s="13"/>
      <c r="F613" s="177"/>
      <c r="I613" s="177"/>
      <c r="J613" s="42"/>
    </row>
    <row r="614" spans="1:10" ht="15.75" customHeight="1" x14ac:dyDescent="0.3">
      <c r="A614" s="13"/>
      <c r="B614" s="13"/>
      <c r="C614" s="13"/>
      <c r="F614" s="177"/>
      <c r="I614" s="177"/>
      <c r="J614" s="42"/>
    </row>
    <row r="615" spans="1:10" ht="15.75" customHeight="1" x14ac:dyDescent="0.3">
      <c r="A615" s="13"/>
      <c r="B615" s="13"/>
      <c r="C615" s="13"/>
      <c r="F615" s="177"/>
      <c r="I615" s="177"/>
      <c r="J615" s="42"/>
    </row>
    <row r="616" spans="1:10" ht="15.75" customHeight="1" x14ac:dyDescent="0.3">
      <c r="A616" s="13"/>
      <c r="B616" s="13"/>
      <c r="C616" s="13"/>
      <c r="F616" s="177"/>
      <c r="I616" s="177"/>
      <c r="J616" s="42"/>
    </row>
    <row r="617" spans="1:10" ht="15.75" customHeight="1" x14ac:dyDescent="0.3">
      <c r="A617" s="13"/>
      <c r="B617" s="13"/>
      <c r="C617" s="13"/>
      <c r="F617" s="177"/>
      <c r="I617" s="177"/>
      <c r="J617" s="42"/>
    </row>
    <row r="618" spans="1:10" ht="15.75" customHeight="1" x14ac:dyDescent="0.3">
      <c r="A618" s="13"/>
      <c r="B618" s="13"/>
      <c r="C618" s="13"/>
      <c r="F618" s="177"/>
      <c r="I618" s="177"/>
      <c r="J618" s="42"/>
    </row>
    <row r="619" spans="1:10" ht="15.75" customHeight="1" x14ac:dyDescent="0.3">
      <c r="A619" s="13"/>
      <c r="B619" s="13"/>
      <c r="C619" s="13"/>
      <c r="F619" s="177"/>
      <c r="I619" s="177"/>
      <c r="J619" s="42"/>
    </row>
    <row r="620" spans="1:10" ht="15.75" customHeight="1" x14ac:dyDescent="0.3">
      <c r="A620" s="13"/>
      <c r="B620" s="13"/>
      <c r="C620" s="13"/>
      <c r="F620" s="177"/>
      <c r="I620" s="177"/>
      <c r="J620" s="42"/>
    </row>
    <row r="621" spans="1:10" ht="15.75" customHeight="1" x14ac:dyDescent="0.3">
      <c r="A621" s="13"/>
      <c r="B621" s="13"/>
      <c r="C621" s="13"/>
      <c r="F621" s="177"/>
      <c r="I621" s="177"/>
      <c r="J621" s="42"/>
    </row>
    <row r="622" spans="1:10" ht="15.75" customHeight="1" x14ac:dyDescent="0.3">
      <c r="A622" s="13"/>
      <c r="B622" s="13"/>
      <c r="C622" s="13"/>
      <c r="F622" s="177"/>
      <c r="I622" s="177"/>
      <c r="J622" s="42"/>
    </row>
    <row r="623" spans="1:10" ht="15.75" customHeight="1" x14ac:dyDescent="0.3">
      <c r="A623" s="13"/>
      <c r="B623" s="13"/>
      <c r="C623" s="13"/>
      <c r="F623" s="177"/>
      <c r="I623" s="177"/>
      <c r="J623" s="42"/>
    </row>
    <row r="624" spans="1:10" ht="15.75" customHeight="1" x14ac:dyDescent="0.3">
      <c r="A624" s="13"/>
      <c r="B624" s="13"/>
      <c r="C624" s="13"/>
      <c r="F624" s="177"/>
      <c r="I624" s="177"/>
      <c r="J624" s="42"/>
    </row>
    <row r="625" spans="1:10" ht="15.75" customHeight="1" x14ac:dyDescent="0.3">
      <c r="A625" s="13"/>
      <c r="B625" s="13"/>
      <c r="C625" s="13"/>
      <c r="F625" s="177"/>
      <c r="I625" s="177"/>
      <c r="J625" s="42"/>
    </row>
    <row r="626" spans="1:10" ht="15.75" customHeight="1" x14ac:dyDescent="0.3">
      <c r="A626" s="13"/>
      <c r="B626" s="13"/>
      <c r="C626" s="13"/>
      <c r="F626" s="177"/>
      <c r="I626" s="177"/>
      <c r="J626" s="42"/>
    </row>
    <row r="627" spans="1:10" ht="15.75" customHeight="1" x14ac:dyDescent="0.3">
      <c r="A627" s="13"/>
      <c r="B627" s="13"/>
      <c r="C627" s="13"/>
      <c r="F627" s="177"/>
      <c r="I627" s="177"/>
      <c r="J627" s="42"/>
    </row>
    <row r="628" spans="1:10" ht="15.75" customHeight="1" x14ac:dyDescent="0.3">
      <c r="A628" s="13"/>
      <c r="B628" s="13"/>
      <c r="C628" s="13"/>
      <c r="F628" s="177"/>
      <c r="I628" s="177"/>
      <c r="J628" s="42"/>
    </row>
    <row r="629" spans="1:10" ht="15.75" customHeight="1" x14ac:dyDescent="0.3">
      <c r="A629" s="13"/>
      <c r="B629" s="13"/>
      <c r="C629" s="13"/>
      <c r="F629" s="177"/>
      <c r="I629" s="177"/>
      <c r="J629" s="42"/>
    </row>
    <row r="630" spans="1:10" ht="15.75" customHeight="1" x14ac:dyDescent="0.3">
      <c r="A630" s="13"/>
      <c r="B630" s="13"/>
      <c r="C630" s="13"/>
      <c r="F630" s="177"/>
      <c r="I630" s="177"/>
      <c r="J630" s="42"/>
    </row>
    <row r="631" spans="1:10" ht="15.75" customHeight="1" x14ac:dyDescent="0.3">
      <c r="A631" s="13"/>
      <c r="B631" s="13"/>
      <c r="C631" s="13"/>
      <c r="F631" s="177"/>
      <c r="I631" s="177"/>
      <c r="J631" s="42"/>
    </row>
    <row r="632" spans="1:10" ht="15.75" customHeight="1" x14ac:dyDescent="0.3">
      <c r="A632" s="13"/>
      <c r="B632" s="13"/>
      <c r="C632" s="13"/>
      <c r="F632" s="177"/>
      <c r="I632" s="177"/>
      <c r="J632" s="42"/>
    </row>
    <row r="633" spans="1:10" ht="15.75" customHeight="1" x14ac:dyDescent="0.3">
      <c r="A633" s="13"/>
      <c r="B633" s="13"/>
      <c r="C633" s="13"/>
      <c r="F633" s="177"/>
      <c r="I633" s="177"/>
      <c r="J633" s="42"/>
    </row>
    <row r="634" spans="1:10" ht="15.75" customHeight="1" x14ac:dyDescent="0.3">
      <c r="A634" s="13"/>
      <c r="B634" s="13"/>
      <c r="C634" s="13"/>
      <c r="F634" s="177"/>
      <c r="I634" s="177"/>
      <c r="J634" s="42"/>
    </row>
    <row r="635" spans="1:10" ht="15.75" customHeight="1" x14ac:dyDescent="0.3">
      <c r="A635" s="13"/>
      <c r="B635" s="13"/>
      <c r="C635" s="13"/>
      <c r="F635" s="177"/>
      <c r="I635" s="177"/>
      <c r="J635" s="42"/>
    </row>
    <row r="636" spans="1:10" ht="15.75" customHeight="1" x14ac:dyDescent="0.3">
      <c r="A636" s="13"/>
      <c r="B636" s="13"/>
      <c r="C636" s="13"/>
      <c r="F636" s="177"/>
      <c r="I636" s="177"/>
      <c r="J636" s="42"/>
    </row>
    <row r="637" spans="1:10" ht="15.75" customHeight="1" x14ac:dyDescent="0.3">
      <c r="A637" s="13"/>
      <c r="B637" s="13"/>
      <c r="C637" s="13"/>
      <c r="F637" s="177"/>
      <c r="I637" s="177"/>
      <c r="J637" s="42"/>
    </row>
    <row r="638" spans="1:10" ht="15.75" customHeight="1" x14ac:dyDescent="0.3">
      <c r="A638" s="13"/>
      <c r="B638" s="13"/>
      <c r="C638" s="13"/>
      <c r="F638" s="177"/>
      <c r="I638" s="177"/>
      <c r="J638" s="42"/>
    </row>
    <row r="639" spans="1:10" ht="15.75" customHeight="1" x14ac:dyDescent="0.3">
      <c r="A639" s="13"/>
      <c r="B639" s="13"/>
      <c r="C639" s="13"/>
      <c r="F639" s="177"/>
      <c r="I639" s="177"/>
      <c r="J639" s="42"/>
    </row>
    <row r="640" spans="1:10" ht="15.75" customHeight="1" x14ac:dyDescent="0.3">
      <c r="A640" s="13"/>
      <c r="B640" s="13"/>
      <c r="C640" s="13"/>
      <c r="F640" s="177"/>
      <c r="I640" s="177"/>
      <c r="J640" s="42"/>
    </row>
    <row r="641" spans="1:10" ht="15.75" customHeight="1" x14ac:dyDescent="0.3">
      <c r="A641" s="13"/>
      <c r="B641" s="13"/>
      <c r="C641" s="13"/>
      <c r="F641" s="177"/>
      <c r="I641" s="177"/>
      <c r="J641" s="42"/>
    </row>
    <row r="642" spans="1:10" ht="15.75" customHeight="1" x14ac:dyDescent="0.3">
      <c r="A642" s="13"/>
      <c r="B642" s="13"/>
      <c r="C642" s="13"/>
      <c r="F642" s="177"/>
      <c r="I642" s="177"/>
      <c r="J642" s="42"/>
    </row>
    <row r="643" spans="1:10" ht="15.75" customHeight="1" x14ac:dyDescent="0.3">
      <c r="A643" s="13"/>
      <c r="B643" s="13"/>
      <c r="C643" s="13"/>
      <c r="F643" s="177"/>
      <c r="I643" s="177"/>
      <c r="J643" s="42"/>
    </row>
    <row r="644" spans="1:10" ht="15.75" customHeight="1" x14ac:dyDescent="0.3">
      <c r="A644" s="13"/>
      <c r="B644" s="13"/>
      <c r="C644" s="13"/>
      <c r="F644" s="177"/>
      <c r="I644" s="177"/>
      <c r="J644" s="42"/>
    </row>
    <row r="645" spans="1:10" ht="15.75" customHeight="1" x14ac:dyDescent="0.3">
      <c r="A645" s="13"/>
      <c r="B645" s="13"/>
      <c r="C645" s="13"/>
      <c r="F645" s="177"/>
      <c r="I645" s="177"/>
      <c r="J645" s="42"/>
    </row>
    <row r="646" spans="1:10" ht="15.75" customHeight="1" x14ac:dyDescent="0.3">
      <c r="A646" s="13"/>
      <c r="B646" s="13"/>
      <c r="C646" s="13"/>
      <c r="F646" s="177"/>
      <c r="I646" s="177"/>
      <c r="J646" s="42"/>
    </row>
    <row r="647" spans="1:10" ht="15.75" customHeight="1" x14ac:dyDescent="0.3">
      <c r="A647" s="13"/>
      <c r="B647" s="13"/>
      <c r="C647" s="13"/>
      <c r="F647" s="177"/>
      <c r="I647" s="177"/>
      <c r="J647" s="42"/>
    </row>
    <row r="648" spans="1:10" ht="15.75" customHeight="1" x14ac:dyDescent="0.3">
      <c r="A648" s="13"/>
      <c r="B648" s="13"/>
      <c r="C648" s="13"/>
      <c r="F648" s="177"/>
      <c r="I648" s="177"/>
      <c r="J648" s="42"/>
    </row>
    <row r="649" spans="1:10" ht="15.75" customHeight="1" x14ac:dyDescent="0.3">
      <c r="A649" s="13"/>
      <c r="B649" s="13"/>
      <c r="C649" s="13"/>
      <c r="F649" s="177"/>
      <c r="I649" s="177"/>
      <c r="J649" s="42"/>
    </row>
    <row r="650" spans="1:10" ht="15.75" customHeight="1" x14ac:dyDescent="0.3">
      <c r="A650" s="13"/>
      <c r="B650" s="13"/>
      <c r="C650" s="13"/>
      <c r="F650" s="177"/>
      <c r="I650" s="177"/>
      <c r="J650" s="42"/>
    </row>
    <row r="651" spans="1:10" ht="15.75" customHeight="1" x14ac:dyDescent="0.3">
      <c r="A651" s="13"/>
      <c r="B651" s="13"/>
      <c r="C651" s="13"/>
      <c r="F651" s="177"/>
      <c r="I651" s="177"/>
      <c r="J651" s="42"/>
    </row>
    <row r="652" spans="1:10" ht="15.75" customHeight="1" x14ac:dyDescent="0.3">
      <c r="A652" s="13"/>
      <c r="B652" s="13"/>
      <c r="C652" s="13"/>
      <c r="F652" s="177"/>
      <c r="I652" s="177"/>
      <c r="J652" s="42"/>
    </row>
    <row r="653" spans="1:10" ht="15.75" customHeight="1" x14ac:dyDescent="0.3">
      <c r="A653" s="13"/>
      <c r="B653" s="13"/>
      <c r="C653" s="13"/>
      <c r="F653" s="177"/>
      <c r="I653" s="177"/>
      <c r="J653" s="42"/>
    </row>
    <row r="654" spans="1:10" ht="15.75" customHeight="1" x14ac:dyDescent="0.3">
      <c r="A654" s="13"/>
      <c r="B654" s="13"/>
      <c r="C654" s="13"/>
      <c r="F654" s="177"/>
      <c r="I654" s="177"/>
      <c r="J654" s="42"/>
    </row>
    <row r="655" spans="1:10" ht="15.75" customHeight="1" x14ac:dyDescent="0.3">
      <c r="A655" s="13"/>
      <c r="B655" s="13"/>
      <c r="C655" s="13"/>
      <c r="F655" s="177"/>
      <c r="I655" s="177"/>
      <c r="J655" s="42"/>
    </row>
    <row r="656" spans="1:10" ht="15.75" customHeight="1" x14ac:dyDescent="0.3">
      <c r="A656" s="13"/>
      <c r="B656" s="13"/>
      <c r="C656" s="13"/>
      <c r="F656" s="177"/>
      <c r="I656" s="177"/>
      <c r="J656" s="42"/>
    </row>
    <row r="657" spans="1:10" ht="15.75" customHeight="1" x14ac:dyDescent="0.3">
      <c r="A657" s="13"/>
      <c r="B657" s="13"/>
      <c r="C657" s="13"/>
      <c r="F657" s="177"/>
      <c r="I657" s="177"/>
      <c r="J657" s="42"/>
    </row>
    <row r="658" spans="1:10" ht="15.75" customHeight="1" x14ac:dyDescent="0.3">
      <c r="A658" s="13"/>
      <c r="B658" s="13"/>
      <c r="C658" s="13"/>
      <c r="F658" s="177"/>
      <c r="I658" s="177"/>
      <c r="J658" s="42"/>
    </row>
    <row r="659" spans="1:10" ht="15.75" customHeight="1" x14ac:dyDescent="0.3">
      <c r="A659" s="13"/>
      <c r="B659" s="13"/>
      <c r="C659" s="13"/>
      <c r="F659" s="177"/>
      <c r="I659" s="177"/>
      <c r="J659" s="42"/>
    </row>
    <row r="660" spans="1:10" ht="15.75" customHeight="1" x14ac:dyDescent="0.3">
      <c r="A660" s="13"/>
      <c r="B660" s="13"/>
      <c r="C660" s="13"/>
      <c r="F660" s="177"/>
      <c r="I660" s="177"/>
      <c r="J660" s="42"/>
    </row>
    <row r="661" spans="1:10" ht="15.75" customHeight="1" x14ac:dyDescent="0.3">
      <c r="A661" s="13"/>
      <c r="B661" s="13"/>
      <c r="C661" s="13"/>
      <c r="F661" s="177"/>
      <c r="I661" s="177"/>
      <c r="J661" s="42"/>
    </row>
    <row r="662" spans="1:10" ht="15.75" customHeight="1" x14ac:dyDescent="0.3">
      <c r="A662" s="13"/>
      <c r="B662" s="13"/>
      <c r="C662" s="13"/>
      <c r="F662" s="177"/>
      <c r="I662" s="177"/>
      <c r="J662" s="42"/>
    </row>
    <row r="663" spans="1:10" ht="15.75" customHeight="1" x14ac:dyDescent="0.3">
      <c r="A663" s="13"/>
      <c r="B663" s="13"/>
      <c r="C663" s="13"/>
      <c r="F663" s="177"/>
      <c r="I663" s="177"/>
      <c r="J663" s="42"/>
    </row>
    <row r="664" spans="1:10" ht="15.75" customHeight="1" x14ac:dyDescent="0.3">
      <c r="A664" s="13"/>
      <c r="B664" s="13"/>
      <c r="C664" s="13"/>
      <c r="F664" s="177"/>
      <c r="I664" s="177"/>
      <c r="J664" s="42"/>
    </row>
    <row r="665" spans="1:10" ht="15.75" customHeight="1" x14ac:dyDescent="0.3">
      <c r="A665" s="13"/>
      <c r="B665" s="13"/>
      <c r="C665" s="13"/>
      <c r="F665" s="177"/>
      <c r="I665" s="177"/>
      <c r="J665" s="42"/>
    </row>
    <row r="666" spans="1:10" ht="15.75" customHeight="1" x14ac:dyDescent="0.3">
      <c r="A666" s="13"/>
      <c r="B666" s="13"/>
      <c r="C666" s="13"/>
      <c r="F666" s="177"/>
      <c r="I666" s="177"/>
      <c r="J666" s="42"/>
    </row>
    <row r="667" spans="1:10" ht="15.75" customHeight="1" x14ac:dyDescent="0.3">
      <c r="A667" s="13"/>
      <c r="B667" s="13"/>
      <c r="C667" s="13"/>
      <c r="F667" s="177"/>
      <c r="I667" s="177"/>
      <c r="J667" s="42"/>
    </row>
    <row r="668" spans="1:10" ht="15.75" customHeight="1" x14ac:dyDescent="0.3">
      <c r="A668" s="13"/>
      <c r="B668" s="13"/>
      <c r="C668" s="13"/>
      <c r="F668" s="177"/>
      <c r="I668" s="177"/>
      <c r="J668" s="42"/>
    </row>
    <row r="669" spans="1:10" ht="15.75" customHeight="1" x14ac:dyDescent="0.3">
      <c r="A669" s="13"/>
      <c r="B669" s="13"/>
      <c r="C669" s="13"/>
      <c r="F669" s="177"/>
      <c r="I669" s="177"/>
      <c r="J669" s="42"/>
    </row>
    <row r="670" spans="1:10" ht="15.75" customHeight="1" x14ac:dyDescent="0.3">
      <c r="A670" s="13"/>
      <c r="B670" s="13"/>
      <c r="C670" s="13"/>
      <c r="F670" s="177"/>
      <c r="I670" s="177"/>
      <c r="J670" s="42"/>
    </row>
    <row r="671" spans="1:10" ht="15.75" customHeight="1" x14ac:dyDescent="0.3">
      <c r="A671" s="13"/>
      <c r="B671" s="13"/>
      <c r="C671" s="13"/>
      <c r="F671" s="177"/>
      <c r="I671" s="177"/>
      <c r="J671" s="42"/>
    </row>
    <row r="672" spans="1:10" ht="15.75" customHeight="1" x14ac:dyDescent="0.3">
      <c r="A672" s="13"/>
      <c r="B672" s="13"/>
      <c r="C672" s="13"/>
      <c r="F672" s="177"/>
      <c r="I672" s="177"/>
      <c r="J672" s="42"/>
    </row>
    <row r="673" spans="1:10" ht="15.75" customHeight="1" x14ac:dyDescent="0.3">
      <c r="A673" s="13"/>
      <c r="B673" s="13"/>
      <c r="C673" s="13"/>
      <c r="F673" s="177"/>
      <c r="I673" s="177"/>
      <c r="J673" s="42"/>
    </row>
    <row r="674" spans="1:10" ht="15.75" customHeight="1" x14ac:dyDescent="0.3">
      <c r="A674" s="13"/>
      <c r="B674" s="13"/>
      <c r="C674" s="13"/>
      <c r="F674" s="177"/>
      <c r="I674" s="177"/>
      <c r="J674" s="42"/>
    </row>
    <row r="675" spans="1:10" ht="15.75" customHeight="1" x14ac:dyDescent="0.3">
      <c r="A675" s="13"/>
      <c r="B675" s="13"/>
      <c r="C675" s="13"/>
      <c r="F675" s="177"/>
      <c r="I675" s="177"/>
      <c r="J675" s="42"/>
    </row>
    <row r="676" spans="1:10" ht="15.75" customHeight="1" x14ac:dyDescent="0.3">
      <c r="A676" s="13"/>
      <c r="B676" s="13"/>
      <c r="C676" s="13"/>
      <c r="F676" s="177"/>
      <c r="I676" s="177"/>
      <c r="J676" s="42"/>
    </row>
    <row r="677" spans="1:10" ht="15.75" customHeight="1" x14ac:dyDescent="0.3">
      <c r="A677" s="13"/>
      <c r="B677" s="13"/>
      <c r="C677" s="13"/>
      <c r="F677" s="177"/>
      <c r="I677" s="177"/>
      <c r="J677" s="42"/>
    </row>
    <row r="678" spans="1:10" ht="15.75" customHeight="1" x14ac:dyDescent="0.3">
      <c r="A678" s="13"/>
      <c r="B678" s="13"/>
      <c r="C678" s="13"/>
      <c r="F678" s="177"/>
      <c r="I678" s="177"/>
      <c r="J678" s="42"/>
    </row>
    <row r="679" spans="1:10" ht="15.75" customHeight="1" x14ac:dyDescent="0.3">
      <c r="A679" s="13"/>
      <c r="B679" s="13"/>
      <c r="C679" s="13"/>
      <c r="F679" s="177"/>
      <c r="I679" s="177"/>
      <c r="J679" s="42"/>
    </row>
    <row r="680" spans="1:10" ht="15.75" customHeight="1" x14ac:dyDescent="0.3">
      <c r="A680" s="13"/>
      <c r="B680" s="13"/>
      <c r="C680" s="13"/>
      <c r="F680" s="177"/>
      <c r="I680" s="177"/>
      <c r="J680" s="42"/>
    </row>
    <row r="681" spans="1:10" ht="15.75" customHeight="1" x14ac:dyDescent="0.3">
      <c r="A681" s="13"/>
      <c r="B681" s="13"/>
      <c r="C681" s="13"/>
      <c r="F681" s="177"/>
      <c r="I681" s="177"/>
      <c r="J681" s="42"/>
    </row>
    <row r="682" spans="1:10" ht="15.75" customHeight="1" x14ac:dyDescent="0.3">
      <c r="A682" s="13"/>
      <c r="B682" s="13"/>
      <c r="C682" s="13"/>
      <c r="F682" s="177"/>
      <c r="I682" s="177"/>
      <c r="J682" s="42"/>
    </row>
    <row r="683" spans="1:10" ht="15.75" customHeight="1" x14ac:dyDescent="0.3">
      <c r="A683" s="13"/>
      <c r="B683" s="13"/>
      <c r="C683" s="13"/>
      <c r="F683" s="177"/>
      <c r="I683" s="177"/>
      <c r="J683" s="42"/>
    </row>
    <row r="684" spans="1:10" ht="15.75" customHeight="1" x14ac:dyDescent="0.3">
      <c r="A684" s="13"/>
      <c r="B684" s="13"/>
      <c r="C684" s="13"/>
      <c r="F684" s="177"/>
      <c r="I684" s="177"/>
      <c r="J684" s="42"/>
    </row>
    <row r="685" spans="1:10" ht="15.75" customHeight="1" x14ac:dyDescent="0.3">
      <c r="A685" s="13"/>
      <c r="B685" s="13"/>
      <c r="C685" s="13"/>
      <c r="F685" s="177"/>
      <c r="I685" s="177"/>
      <c r="J685" s="42"/>
    </row>
    <row r="686" spans="1:10" ht="15.75" customHeight="1" x14ac:dyDescent="0.3">
      <c r="A686" s="13"/>
      <c r="B686" s="13"/>
      <c r="C686" s="13"/>
      <c r="F686" s="177"/>
      <c r="I686" s="177"/>
      <c r="J686" s="42"/>
    </row>
    <row r="687" spans="1:10" ht="15.75" customHeight="1" x14ac:dyDescent="0.3">
      <c r="A687" s="13"/>
      <c r="B687" s="13"/>
      <c r="C687" s="13"/>
      <c r="F687" s="177"/>
      <c r="I687" s="177"/>
      <c r="J687" s="42"/>
    </row>
    <row r="688" spans="1:10" ht="15.75" customHeight="1" x14ac:dyDescent="0.3">
      <c r="A688" s="13"/>
      <c r="B688" s="13"/>
      <c r="C688" s="13"/>
      <c r="F688" s="177"/>
      <c r="I688" s="177"/>
      <c r="J688" s="42"/>
    </row>
    <row r="689" spans="1:10" ht="15.75" customHeight="1" x14ac:dyDescent="0.3">
      <c r="A689" s="13"/>
      <c r="B689" s="13"/>
      <c r="C689" s="13"/>
      <c r="F689" s="177"/>
      <c r="I689" s="177"/>
      <c r="J689" s="42"/>
    </row>
    <row r="690" spans="1:10" ht="15.75" customHeight="1" x14ac:dyDescent="0.3">
      <c r="A690" s="13"/>
      <c r="B690" s="13"/>
      <c r="C690" s="13"/>
      <c r="F690" s="177"/>
      <c r="I690" s="177"/>
      <c r="J690" s="42"/>
    </row>
    <row r="691" spans="1:10" ht="15.75" customHeight="1" x14ac:dyDescent="0.3">
      <c r="A691" s="13"/>
      <c r="B691" s="13"/>
      <c r="C691" s="13"/>
      <c r="F691" s="177"/>
      <c r="I691" s="177"/>
      <c r="J691" s="42"/>
    </row>
    <row r="692" spans="1:10" ht="15.75" customHeight="1" x14ac:dyDescent="0.3">
      <c r="A692" s="13"/>
      <c r="B692" s="13"/>
      <c r="C692" s="13"/>
      <c r="F692" s="177"/>
      <c r="I692" s="177"/>
      <c r="J692" s="42"/>
    </row>
    <row r="693" spans="1:10" ht="15.75" customHeight="1" x14ac:dyDescent="0.3">
      <c r="A693" s="13"/>
      <c r="B693" s="13"/>
      <c r="C693" s="13"/>
      <c r="F693" s="177"/>
      <c r="I693" s="177"/>
      <c r="J693" s="42"/>
    </row>
    <row r="694" spans="1:10" ht="15.75" customHeight="1" x14ac:dyDescent="0.3">
      <c r="A694" s="13"/>
      <c r="B694" s="13"/>
      <c r="C694" s="13"/>
      <c r="F694" s="177"/>
      <c r="I694" s="177"/>
      <c r="J694" s="42"/>
    </row>
    <row r="695" spans="1:10" ht="15.75" customHeight="1" x14ac:dyDescent="0.3">
      <c r="A695" s="13"/>
      <c r="B695" s="13"/>
      <c r="C695" s="13"/>
      <c r="F695" s="177"/>
      <c r="I695" s="177"/>
      <c r="J695" s="42"/>
    </row>
    <row r="696" spans="1:10" ht="15.75" customHeight="1" x14ac:dyDescent="0.3">
      <c r="A696" s="13"/>
      <c r="B696" s="13"/>
      <c r="C696" s="13"/>
      <c r="F696" s="177"/>
      <c r="I696" s="177"/>
      <c r="J696" s="42"/>
    </row>
    <row r="697" spans="1:10" ht="15.75" customHeight="1" x14ac:dyDescent="0.3">
      <c r="A697" s="13"/>
      <c r="B697" s="13"/>
      <c r="C697" s="13"/>
      <c r="F697" s="177"/>
      <c r="I697" s="177"/>
      <c r="J697" s="42"/>
    </row>
    <row r="698" spans="1:10" ht="15.75" customHeight="1" x14ac:dyDescent="0.3">
      <c r="A698" s="13"/>
      <c r="B698" s="13"/>
      <c r="C698" s="13"/>
      <c r="F698" s="177"/>
      <c r="I698" s="177"/>
      <c r="J698" s="42"/>
    </row>
    <row r="699" spans="1:10" ht="15.75" customHeight="1" x14ac:dyDescent="0.3">
      <c r="A699" s="13"/>
      <c r="B699" s="13"/>
      <c r="C699" s="13"/>
      <c r="F699" s="177"/>
      <c r="I699" s="177"/>
      <c r="J699" s="42"/>
    </row>
    <row r="700" spans="1:10" ht="15.75" customHeight="1" x14ac:dyDescent="0.3">
      <c r="A700" s="13"/>
      <c r="B700" s="13"/>
      <c r="C700" s="13"/>
      <c r="F700" s="177"/>
      <c r="I700" s="177"/>
      <c r="J700" s="42"/>
    </row>
    <row r="701" spans="1:10" ht="15.75" customHeight="1" x14ac:dyDescent="0.3">
      <c r="A701" s="13"/>
      <c r="B701" s="13"/>
      <c r="C701" s="13"/>
      <c r="F701" s="177"/>
      <c r="I701" s="177"/>
      <c r="J701" s="42"/>
    </row>
    <row r="702" spans="1:10" ht="15.75" customHeight="1" x14ac:dyDescent="0.3">
      <c r="A702" s="13"/>
      <c r="B702" s="13"/>
      <c r="C702" s="13"/>
      <c r="F702" s="177"/>
      <c r="I702" s="177"/>
      <c r="J702" s="42"/>
    </row>
    <row r="703" spans="1:10" ht="15.75" customHeight="1" x14ac:dyDescent="0.3">
      <c r="A703" s="13"/>
      <c r="B703" s="13"/>
      <c r="C703" s="13"/>
      <c r="F703" s="177"/>
      <c r="I703" s="177"/>
      <c r="J703" s="42"/>
    </row>
    <row r="704" spans="1:10" ht="15.75" customHeight="1" x14ac:dyDescent="0.3">
      <c r="A704" s="13"/>
      <c r="B704" s="13"/>
      <c r="C704" s="13"/>
      <c r="F704" s="177"/>
      <c r="I704" s="177"/>
      <c r="J704" s="42"/>
    </row>
    <row r="705" spans="1:10" ht="15.75" customHeight="1" x14ac:dyDescent="0.3">
      <c r="A705" s="13"/>
      <c r="B705" s="13"/>
      <c r="C705" s="13"/>
      <c r="F705" s="177"/>
      <c r="I705" s="177"/>
      <c r="J705" s="42"/>
    </row>
    <row r="706" spans="1:10" ht="15.75" customHeight="1" x14ac:dyDescent="0.3">
      <c r="A706" s="13"/>
      <c r="B706" s="13"/>
      <c r="C706" s="13"/>
      <c r="F706" s="177"/>
      <c r="I706" s="177"/>
      <c r="J706" s="42"/>
    </row>
    <row r="707" spans="1:10" ht="15.75" customHeight="1" x14ac:dyDescent="0.3">
      <c r="A707" s="13"/>
      <c r="B707" s="13"/>
      <c r="C707" s="13"/>
      <c r="F707" s="177"/>
      <c r="I707" s="177"/>
      <c r="J707" s="42"/>
    </row>
    <row r="708" spans="1:10" ht="15.75" customHeight="1" x14ac:dyDescent="0.3">
      <c r="A708" s="13"/>
      <c r="B708" s="13"/>
      <c r="C708" s="13"/>
      <c r="F708" s="177"/>
      <c r="I708" s="177"/>
      <c r="J708" s="42"/>
    </row>
    <row r="709" spans="1:10" ht="15.75" customHeight="1" x14ac:dyDescent="0.3">
      <c r="A709" s="13"/>
      <c r="B709" s="13"/>
      <c r="C709" s="13"/>
      <c r="F709" s="177"/>
      <c r="I709" s="177"/>
      <c r="J709" s="42"/>
    </row>
    <row r="710" spans="1:10" ht="15.75" customHeight="1" x14ac:dyDescent="0.3">
      <c r="A710" s="13"/>
      <c r="B710" s="13"/>
      <c r="C710" s="13"/>
      <c r="F710" s="177"/>
      <c r="I710" s="177"/>
      <c r="J710" s="42"/>
    </row>
    <row r="711" spans="1:10" ht="15.75" customHeight="1" x14ac:dyDescent="0.3">
      <c r="A711" s="13"/>
      <c r="B711" s="13"/>
      <c r="C711" s="13"/>
      <c r="F711" s="177"/>
      <c r="I711" s="177"/>
      <c r="J711" s="42"/>
    </row>
    <row r="712" spans="1:10" ht="15.75" customHeight="1" x14ac:dyDescent="0.3">
      <c r="A712" s="13"/>
      <c r="B712" s="13"/>
      <c r="C712" s="13"/>
      <c r="F712" s="177"/>
      <c r="I712" s="177"/>
      <c r="J712" s="42"/>
    </row>
    <row r="713" spans="1:10" ht="15.75" customHeight="1" x14ac:dyDescent="0.3">
      <c r="A713" s="13"/>
      <c r="B713" s="13"/>
      <c r="C713" s="13"/>
      <c r="F713" s="177"/>
      <c r="I713" s="177"/>
      <c r="J713" s="42"/>
    </row>
    <row r="714" spans="1:10" ht="15.75" customHeight="1" x14ac:dyDescent="0.3">
      <c r="A714" s="13"/>
      <c r="B714" s="13"/>
      <c r="C714" s="13"/>
      <c r="F714" s="177"/>
      <c r="I714" s="177"/>
      <c r="J714" s="42"/>
    </row>
    <row r="715" spans="1:10" ht="15.75" customHeight="1" x14ac:dyDescent="0.3">
      <c r="A715" s="13"/>
      <c r="B715" s="13"/>
      <c r="C715" s="13"/>
      <c r="F715" s="177"/>
      <c r="I715" s="177"/>
      <c r="J715" s="42"/>
    </row>
    <row r="716" spans="1:10" ht="15.75" customHeight="1" x14ac:dyDescent="0.3">
      <c r="A716" s="13"/>
      <c r="B716" s="13"/>
      <c r="C716" s="13"/>
      <c r="F716" s="177"/>
      <c r="I716" s="177"/>
      <c r="J716" s="42"/>
    </row>
    <row r="717" spans="1:10" ht="15.75" customHeight="1" x14ac:dyDescent="0.3">
      <c r="A717" s="13"/>
      <c r="B717" s="13"/>
      <c r="C717" s="13"/>
      <c r="F717" s="177"/>
      <c r="I717" s="177"/>
      <c r="J717" s="42"/>
    </row>
    <row r="718" spans="1:10" ht="15.75" customHeight="1" x14ac:dyDescent="0.3">
      <c r="A718" s="13"/>
      <c r="B718" s="13"/>
      <c r="C718" s="13"/>
      <c r="F718" s="177"/>
      <c r="I718" s="177"/>
      <c r="J718" s="42"/>
    </row>
    <row r="719" spans="1:10" ht="15.75" customHeight="1" x14ac:dyDescent="0.3">
      <c r="A719" s="13"/>
      <c r="B719" s="13"/>
      <c r="C719" s="13"/>
      <c r="F719" s="177"/>
      <c r="I719" s="177"/>
      <c r="J719" s="42"/>
    </row>
    <row r="720" spans="1:10" ht="15.75" customHeight="1" x14ac:dyDescent="0.3">
      <c r="A720" s="13"/>
      <c r="B720" s="13"/>
      <c r="C720" s="13"/>
      <c r="F720" s="177"/>
      <c r="I720" s="177"/>
      <c r="J720" s="42"/>
    </row>
    <row r="721" spans="1:10" ht="15.75" customHeight="1" x14ac:dyDescent="0.3">
      <c r="A721" s="13"/>
      <c r="B721" s="13"/>
      <c r="C721" s="13"/>
      <c r="F721" s="177"/>
      <c r="I721" s="177"/>
      <c r="J721" s="42"/>
    </row>
    <row r="722" spans="1:10" ht="15.75" customHeight="1" x14ac:dyDescent="0.3">
      <c r="A722" s="13"/>
      <c r="B722" s="13"/>
      <c r="C722" s="13"/>
      <c r="F722" s="177"/>
      <c r="I722" s="177"/>
      <c r="J722" s="42"/>
    </row>
    <row r="723" spans="1:10" ht="15.75" customHeight="1" x14ac:dyDescent="0.3">
      <c r="A723" s="13"/>
      <c r="B723" s="13"/>
      <c r="C723" s="13"/>
      <c r="F723" s="177"/>
      <c r="I723" s="177"/>
      <c r="J723" s="42"/>
    </row>
    <row r="724" spans="1:10" ht="15.75" customHeight="1" x14ac:dyDescent="0.3">
      <c r="A724" s="13"/>
      <c r="B724" s="13"/>
      <c r="C724" s="13"/>
      <c r="F724" s="177"/>
      <c r="I724" s="177"/>
      <c r="J724" s="42"/>
    </row>
    <row r="725" spans="1:10" ht="15.75" customHeight="1" x14ac:dyDescent="0.3">
      <c r="A725" s="13"/>
      <c r="B725" s="13"/>
      <c r="C725" s="13"/>
      <c r="F725" s="177"/>
      <c r="I725" s="177"/>
      <c r="J725" s="42"/>
    </row>
    <row r="726" spans="1:10" ht="15.75" customHeight="1" x14ac:dyDescent="0.3">
      <c r="A726" s="13"/>
      <c r="B726" s="13"/>
      <c r="C726" s="13"/>
      <c r="F726" s="177"/>
      <c r="I726" s="177"/>
      <c r="J726" s="42"/>
    </row>
    <row r="727" spans="1:10" ht="15.75" customHeight="1" x14ac:dyDescent="0.3">
      <c r="A727" s="13"/>
      <c r="B727" s="13"/>
      <c r="C727" s="13"/>
      <c r="F727" s="177"/>
      <c r="I727" s="177"/>
      <c r="J727" s="42"/>
    </row>
    <row r="728" spans="1:10" ht="15.75" customHeight="1" x14ac:dyDescent="0.3">
      <c r="A728" s="13"/>
      <c r="B728" s="13"/>
      <c r="C728" s="13"/>
      <c r="F728" s="177"/>
      <c r="I728" s="177"/>
      <c r="J728" s="42"/>
    </row>
    <row r="729" spans="1:10" ht="15.75" customHeight="1" x14ac:dyDescent="0.3">
      <c r="A729" s="13"/>
      <c r="B729" s="13"/>
      <c r="C729" s="13"/>
      <c r="F729" s="177"/>
      <c r="I729" s="177"/>
      <c r="J729" s="42"/>
    </row>
    <row r="730" spans="1:10" ht="15.75" customHeight="1" x14ac:dyDescent="0.3">
      <c r="A730" s="13"/>
      <c r="B730" s="13"/>
      <c r="C730" s="13"/>
      <c r="F730" s="177"/>
      <c r="I730" s="177"/>
      <c r="J730" s="42"/>
    </row>
    <row r="731" spans="1:10" ht="15.75" customHeight="1" x14ac:dyDescent="0.3">
      <c r="A731" s="13"/>
      <c r="B731" s="13"/>
      <c r="C731" s="13"/>
      <c r="F731" s="177"/>
      <c r="I731" s="177"/>
      <c r="J731" s="42"/>
    </row>
    <row r="732" spans="1:10" ht="15.75" customHeight="1" x14ac:dyDescent="0.3">
      <c r="A732" s="13"/>
      <c r="B732" s="13"/>
      <c r="C732" s="13"/>
      <c r="F732" s="177"/>
      <c r="I732" s="177"/>
      <c r="J732" s="42"/>
    </row>
    <row r="733" spans="1:10" ht="15.75" customHeight="1" x14ac:dyDescent="0.3">
      <c r="A733" s="13"/>
      <c r="B733" s="13"/>
      <c r="C733" s="13"/>
      <c r="F733" s="177"/>
      <c r="I733" s="177"/>
      <c r="J733" s="42"/>
    </row>
    <row r="734" spans="1:10" ht="15.75" customHeight="1" x14ac:dyDescent="0.3">
      <c r="A734" s="13"/>
      <c r="B734" s="13"/>
      <c r="C734" s="13"/>
      <c r="F734" s="177"/>
      <c r="I734" s="177"/>
      <c r="J734" s="42"/>
    </row>
    <row r="735" spans="1:10" ht="15.75" customHeight="1" x14ac:dyDescent="0.3">
      <c r="A735" s="13"/>
      <c r="B735" s="13"/>
      <c r="C735" s="13"/>
      <c r="F735" s="177"/>
      <c r="I735" s="177"/>
      <c r="J735" s="42"/>
    </row>
    <row r="736" spans="1:10" ht="15.75" customHeight="1" x14ac:dyDescent="0.3">
      <c r="A736" s="13"/>
      <c r="B736" s="13"/>
      <c r="C736" s="13"/>
      <c r="F736" s="177"/>
      <c r="I736" s="177"/>
      <c r="J736" s="42"/>
    </row>
    <row r="737" spans="1:10" ht="15.75" customHeight="1" x14ac:dyDescent="0.3">
      <c r="A737" s="13"/>
      <c r="B737" s="13"/>
      <c r="C737" s="13"/>
      <c r="F737" s="177"/>
      <c r="I737" s="177"/>
      <c r="J737" s="42"/>
    </row>
    <row r="738" spans="1:10" ht="15.75" customHeight="1" x14ac:dyDescent="0.3">
      <c r="A738" s="13"/>
      <c r="B738" s="13"/>
      <c r="C738" s="13"/>
      <c r="F738" s="177"/>
      <c r="I738" s="177"/>
      <c r="J738" s="42"/>
    </row>
    <row r="739" spans="1:10" ht="15.75" customHeight="1" x14ac:dyDescent="0.3">
      <c r="A739" s="13"/>
      <c r="B739" s="13"/>
      <c r="C739" s="13"/>
      <c r="F739" s="177"/>
      <c r="I739" s="177"/>
      <c r="J739" s="42"/>
    </row>
    <row r="740" spans="1:10" ht="15.75" customHeight="1" x14ac:dyDescent="0.3">
      <c r="A740" s="13"/>
      <c r="B740" s="13"/>
      <c r="C740" s="13"/>
      <c r="F740" s="177"/>
      <c r="I740" s="177"/>
      <c r="J740" s="42"/>
    </row>
    <row r="741" spans="1:10" ht="15.75" customHeight="1" x14ac:dyDescent="0.3">
      <c r="A741" s="13"/>
      <c r="B741" s="13"/>
      <c r="C741" s="13"/>
      <c r="F741" s="177"/>
      <c r="I741" s="177"/>
      <c r="J741" s="42"/>
    </row>
    <row r="742" spans="1:10" ht="15.75" customHeight="1" x14ac:dyDescent="0.3">
      <c r="A742" s="13"/>
      <c r="B742" s="13"/>
      <c r="C742" s="13"/>
      <c r="F742" s="177"/>
      <c r="I742" s="177"/>
      <c r="J742" s="42"/>
    </row>
    <row r="743" spans="1:10" ht="15.75" customHeight="1" x14ac:dyDescent="0.3">
      <c r="A743" s="13"/>
      <c r="B743" s="13"/>
      <c r="C743" s="13"/>
      <c r="F743" s="177"/>
      <c r="I743" s="177"/>
      <c r="J743" s="42"/>
    </row>
    <row r="744" spans="1:10" ht="15.75" customHeight="1" x14ac:dyDescent="0.3">
      <c r="A744" s="13"/>
      <c r="B744" s="13"/>
      <c r="C744" s="13"/>
      <c r="F744" s="177"/>
      <c r="I744" s="177"/>
      <c r="J744" s="42"/>
    </row>
    <row r="745" spans="1:10" ht="15.75" customHeight="1" x14ac:dyDescent="0.3">
      <c r="A745" s="13"/>
      <c r="B745" s="13"/>
      <c r="C745" s="13"/>
      <c r="F745" s="177"/>
      <c r="I745" s="177"/>
      <c r="J745" s="42"/>
    </row>
    <row r="746" spans="1:10" ht="15.75" customHeight="1" x14ac:dyDescent="0.3">
      <c r="A746" s="13"/>
      <c r="B746" s="13"/>
      <c r="C746" s="13"/>
      <c r="F746" s="177"/>
      <c r="I746" s="177"/>
      <c r="J746" s="42"/>
    </row>
    <row r="747" spans="1:10" ht="15.75" customHeight="1" x14ac:dyDescent="0.3">
      <c r="A747" s="13"/>
      <c r="B747" s="13"/>
      <c r="C747" s="13"/>
      <c r="F747" s="177"/>
      <c r="I747" s="177"/>
      <c r="J747" s="42"/>
    </row>
    <row r="748" spans="1:10" ht="15.75" customHeight="1" x14ac:dyDescent="0.3">
      <c r="A748" s="13"/>
      <c r="B748" s="13"/>
      <c r="C748" s="13"/>
      <c r="F748" s="177"/>
      <c r="I748" s="177"/>
      <c r="J748" s="42"/>
    </row>
    <row r="749" spans="1:10" ht="15.75" customHeight="1" x14ac:dyDescent="0.3">
      <c r="A749" s="13"/>
      <c r="B749" s="13"/>
      <c r="C749" s="13"/>
      <c r="F749" s="177"/>
      <c r="I749" s="177"/>
      <c r="J749" s="42"/>
    </row>
    <row r="750" spans="1:10" ht="15.75" customHeight="1" x14ac:dyDescent="0.3">
      <c r="A750" s="13"/>
      <c r="B750" s="13"/>
      <c r="C750" s="13"/>
      <c r="F750" s="177"/>
      <c r="I750" s="177"/>
      <c r="J750" s="42"/>
    </row>
    <row r="751" spans="1:10" ht="15.75" customHeight="1" x14ac:dyDescent="0.3">
      <c r="A751" s="13"/>
      <c r="B751" s="13"/>
      <c r="C751" s="13"/>
      <c r="F751" s="177"/>
      <c r="I751" s="177"/>
      <c r="J751" s="42"/>
    </row>
    <row r="752" spans="1:10" ht="15.75" customHeight="1" x14ac:dyDescent="0.3">
      <c r="A752" s="13"/>
      <c r="B752" s="13"/>
      <c r="C752" s="13"/>
      <c r="F752" s="177"/>
      <c r="I752" s="177"/>
      <c r="J752" s="42"/>
    </row>
    <row r="753" spans="1:10" ht="15.75" customHeight="1" x14ac:dyDescent="0.3">
      <c r="A753" s="13"/>
      <c r="B753" s="13"/>
      <c r="C753" s="13"/>
      <c r="F753" s="177"/>
      <c r="I753" s="177"/>
      <c r="J753" s="42"/>
    </row>
    <row r="754" spans="1:10" ht="15.75" customHeight="1" x14ac:dyDescent="0.3">
      <c r="A754" s="13"/>
      <c r="B754" s="13"/>
      <c r="C754" s="13"/>
      <c r="F754" s="177"/>
      <c r="I754" s="177"/>
      <c r="J754" s="42"/>
    </row>
    <row r="755" spans="1:10" ht="15.75" customHeight="1" x14ac:dyDescent="0.3">
      <c r="A755" s="13"/>
      <c r="B755" s="13"/>
      <c r="C755" s="13"/>
      <c r="F755" s="177"/>
      <c r="I755" s="177"/>
      <c r="J755" s="42"/>
    </row>
    <row r="756" spans="1:10" ht="15.75" customHeight="1" x14ac:dyDescent="0.3">
      <c r="A756" s="13"/>
      <c r="B756" s="13"/>
      <c r="C756" s="13"/>
      <c r="F756" s="177"/>
      <c r="I756" s="177"/>
      <c r="J756" s="42"/>
    </row>
    <row r="757" spans="1:10" ht="15.75" customHeight="1" x14ac:dyDescent="0.3">
      <c r="A757" s="13"/>
      <c r="B757" s="13"/>
      <c r="C757" s="13"/>
      <c r="F757" s="177"/>
      <c r="I757" s="177"/>
      <c r="J757" s="42"/>
    </row>
    <row r="758" spans="1:10" ht="15.75" customHeight="1" x14ac:dyDescent="0.3">
      <c r="A758" s="13"/>
      <c r="B758" s="13"/>
      <c r="C758" s="13"/>
      <c r="F758" s="177"/>
      <c r="I758" s="177"/>
      <c r="J758" s="42"/>
    </row>
    <row r="759" spans="1:10" ht="15.75" customHeight="1" x14ac:dyDescent="0.3">
      <c r="A759" s="13"/>
      <c r="B759" s="13"/>
      <c r="C759" s="13"/>
      <c r="F759" s="177"/>
      <c r="I759" s="177"/>
      <c r="J759" s="42"/>
    </row>
    <row r="760" spans="1:10" ht="15.75" customHeight="1" x14ac:dyDescent="0.3">
      <c r="A760" s="13"/>
      <c r="B760" s="13"/>
      <c r="C760" s="13"/>
      <c r="F760" s="177"/>
      <c r="I760" s="177"/>
      <c r="J760" s="42"/>
    </row>
    <row r="761" spans="1:10" ht="15.75" customHeight="1" x14ac:dyDescent="0.3">
      <c r="A761" s="13"/>
      <c r="B761" s="13"/>
      <c r="C761" s="13"/>
      <c r="F761" s="177"/>
      <c r="I761" s="177"/>
      <c r="J761" s="42"/>
    </row>
    <row r="762" spans="1:10" ht="15.75" customHeight="1" x14ac:dyDescent="0.3">
      <c r="A762" s="13"/>
      <c r="B762" s="13"/>
      <c r="C762" s="13"/>
      <c r="F762" s="177"/>
      <c r="I762" s="177"/>
      <c r="J762" s="42"/>
    </row>
    <row r="763" spans="1:10" ht="15.75" customHeight="1" x14ac:dyDescent="0.3">
      <c r="A763" s="13"/>
      <c r="B763" s="13"/>
      <c r="C763" s="13"/>
      <c r="F763" s="177"/>
      <c r="I763" s="177"/>
      <c r="J763" s="42"/>
    </row>
    <row r="764" spans="1:10" ht="15.75" customHeight="1" x14ac:dyDescent="0.3">
      <c r="A764" s="13"/>
      <c r="B764" s="13"/>
      <c r="C764" s="13"/>
      <c r="F764" s="177"/>
      <c r="I764" s="177"/>
      <c r="J764" s="42"/>
    </row>
    <row r="765" spans="1:10" ht="15.75" customHeight="1" x14ac:dyDescent="0.3">
      <c r="A765" s="13"/>
      <c r="B765" s="13"/>
      <c r="C765" s="13"/>
      <c r="F765" s="177"/>
      <c r="I765" s="177"/>
      <c r="J765" s="42"/>
    </row>
    <row r="766" spans="1:10" ht="15.75" customHeight="1" x14ac:dyDescent="0.3">
      <c r="A766" s="13"/>
      <c r="B766" s="13"/>
      <c r="C766" s="13"/>
      <c r="F766" s="177"/>
      <c r="I766" s="177"/>
      <c r="J766" s="42"/>
    </row>
    <row r="767" spans="1:10" ht="15.75" customHeight="1" x14ac:dyDescent="0.3">
      <c r="A767" s="13"/>
      <c r="B767" s="13"/>
      <c r="C767" s="13"/>
      <c r="F767" s="177"/>
      <c r="I767" s="177"/>
      <c r="J767" s="42"/>
    </row>
    <row r="768" spans="1:10" ht="15.75" customHeight="1" x14ac:dyDescent="0.3">
      <c r="A768" s="13"/>
      <c r="B768" s="13"/>
      <c r="C768" s="13"/>
      <c r="F768" s="177"/>
      <c r="I768" s="177"/>
      <c r="J768" s="42"/>
    </row>
    <row r="769" spans="1:10" ht="15.75" customHeight="1" x14ac:dyDescent="0.3">
      <c r="A769" s="13"/>
      <c r="B769" s="13"/>
      <c r="C769" s="13"/>
      <c r="F769" s="177"/>
      <c r="I769" s="177"/>
      <c r="J769" s="42"/>
    </row>
    <row r="770" spans="1:10" ht="15.75" customHeight="1" x14ac:dyDescent="0.3">
      <c r="A770" s="13"/>
      <c r="B770" s="13"/>
      <c r="C770" s="13"/>
      <c r="F770" s="177"/>
      <c r="I770" s="177"/>
      <c r="J770" s="42"/>
    </row>
    <row r="771" spans="1:10" ht="15.75" customHeight="1" x14ac:dyDescent="0.3">
      <c r="A771" s="13"/>
      <c r="B771" s="13"/>
      <c r="C771" s="13"/>
      <c r="F771" s="177"/>
      <c r="I771" s="177"/>
      <c r="J771" s="42"/>
    </row>
    <row r="772" spans="1:10" ht="15.75" customHeight="1" x14ac:dyDescent="0.3">
      <c r="A772" s="13"/>
      <c r="B772" s="13"/>
      <c r="C772" s="13"/>
      <c r="F772" s="177"/>
      <c r="I772" s="177"/>
      <c r="J772" s="42"/>
    </row>
    <row r="773" spans="1:10" ht="15.75" customHeight="1" x14ac:dyDescent="0.3">
      <c r="A773" s="13"/>
      <c r="B773" s="13"/>
      <c r="C773" s="13"/>
      <c r="F773" s="177"/>
      <c r="I773" s="177"/>
      <c r="J773" s="42"/>
    </row>
    <row r="774" spans="1:10" ht="15.75" customHeight="1" x14ac:dyDescent="0.3">
      <c r="A774" s="13"/>
      <c r="B774" s="13"/>
      <c r="C774" s="13"/>
      <c r="F774" s="177"/>
      <c r="I774" s="177"/>
      <c r="J774" s="42"/>
    </row>
    <row r="775" spans="1:10" ht="15.75" customHeight="1" x14ac:dyDescent="0.3">
      <c r="A775" s="13"/>
      <c r="B775" s="13"/>
      <c r="C775" s="13"/>
      <c r="F775" s="177"/>
      <c r="I775" s="177"/>
      <c r="J775" s="42"/>
    </row>
    <row r="776" spans="1:10" ht="15.75" customHeight="1" x14ac:dyDescent="0.3">
      <c r="A776" s="13"/>
      <c r="B776" s="13"/>
      <c r="C776" s="13"/>
      <c r="F776" s="177"/>
      <c r="I776" s="177"/>
      <c r="J776" s="42"/>
    </row>
    <row r="777" spans="1:10" ht="15.75" customHeight="1" x14ac:dyDescent="0.3">
      <c r="A777" s="13"/>
      <c r="B777" s="13"/>
      <c r="C777" s="13"/>
      <c r="F777" s="177"/>
      <c r="I777" s="177"/>
      <c r="J777" s="42"/>
    </row>
    <row r="778" spans="1:10" ht="15.75" customHeight="1" x14ac:dyDescent="0.3">
      <c r="A778" s="13"/>
      <c r="B778" s="13"/>
      <c r="C778" s="13"/>
      <c r="F778" s="177"/>
      <c r="I778" s="177"/>
      <c r="J778" s="42"/>
    </row>
    <row r="779" spans="1:10" ht="15.75" customHeight="1" x14ac:dyDescent="0.3">
      <c r="A779" s="13"/>
      <c r="B779" s="13"/>
      <c r="C779" s="13"/>
      <c r="F779" s="177"/>
      <c r="I779" s="177"/>
      <c r="J779" s="42"/>
    </row>
    <row r="780" spans="1:10" ht="15.75" customHeight="1" x14ac:dyDescent="0.3">
      <c r="A780" s="13"/>
      <c r="B780" s="13"/>
      <c r="C780" s="13"/>
      <c r="F780" s="177"/>
      <c r="I780" s="177"/>
      <c r="J780" s="42"/>
    </row>
    <row r="781" spans="1:10" ht="15.75" customHeight="1" x14ac:dyDescent="0.3">
      <c r="A781" s="13"/>
      <c r="B781" s="13"/>
      <c r="C781" s="13"/>
      <c r="F781" s="177"/>
      <c r="I781" s="177"/>
      <c r="J781" s="42"/>
    </row>
    <row r="782" spans="1:10" ht="15.75" customHeight="1" x14ac:dyDescent="0.3">
      <c r="A782" s="13"/>
      <c r="B782" s="13"/>
      <c r="C782" s="13"/>
      <c r="F782" s="177"/>
      <c r="I782" s="177"/>
      <c r="J782" s="42"/>
    </row>
    <row r="783" spans="1:10" ht="15.75" customHeight="1" x14ac:dyDescent="0.3">
      <c r="A783" s="13"/>
      <c r="B783" s="13"/>
      <c r="C783" s="13"/>
      <c r="F783" s="177"/>
      <c r="I783" s="177"/>
      <c r="J783" s="42"/>
    </row>
    <row r="784" spans="1:10" ht="15.75" customHeight="1" x14ac:dyDescent="0.3">
      <c r="A784" s="13"/>
      <c r="B784" s="13"/>
      <c r="C784" s="13"/>
      <c r="F784" s="177"/>
      <c r="I784" s="177"/>
      <c r="J784" s="42"/>
    </row>
    <row r="785" spans="1:10" ht="15.75" customHeight="1" x14ac:dyDescent="0.3">
      <c r="A785" s="13"/>
      <c r="B785" s="13"/>
      <c r="C785" s="13"/>
      <c r="F785" s="177"/>
      <c r="I785" s="177"/>
      <c r="J785" s="42"/>
    </row>
    <row r="786" spans="1:10" ht="15.75" customHeight="1" x14ac:dyDescent="0.3">
      <c r="A786" s="13"/>
      <c r="B786" s="13"/>
      <c r="C786" s="13"/>
      <c r="F786" s="177"/>
      <c r="I786" s="177"/>
      <c r="J786" s="42"/>
    </row>
    <row r="787" spans="1:10" ht="15.75" customHeight="1" x14ac:dyDescent="0.3">
      <c r="A787" s="13"/>
      <c r="B787" s="13"/>
      <c r="C787" s="13"/>
      <c r="F787" s="177"/>
      <c r="I787" s="177"/>
      <c r="J787" s="42"/>
    </row>
    <row r="788" spans="1:10" ht="15.75" customHeight="1" x14ac:dyDescent="0.3">
      <c r="A788" s="13"/>
      <c r="B788" s="13"/>
      <c r="C788" s="13"/>
      <c r="F788" s="177"/>
      <c r="I788" s="177"/>
      <c r="J788" s="42"/>
    </row>
    <row r="789" spans="1:10" ht="15.75" customHeight="1" x14ac:dyDescent="0.3">
      <c r="A789" s="13"/>
      <c r="B789" s="13"/>
      <c r="C789" s="13"/>
      <c r="F789" s="177"/>
      <c r="I789" s="177"/>
      <c r="J789" s="42"/>
    </row>
    <row r="790" spans="1:10" ht="15.75" customHeight="1" x14ac:dyDescent="0.3">
      <c r="A790" s="13"/>
      <c r="B790" s="13"/>
      <c r="C790" s="13"/>
      <c r="F790" s="177"/>
      <c r="I790" s="177"/>
      <c r="J790" s="42"/>
    </row>
    <row r="791" spans="1:10" ht="15.75" customHeight="1" x14ac:dyDescent="0.3">
      <c r="A791" s="13"/>
      <c r="B791" s="13"/>
      <c r="C791" s="13"/>
      <c r="F791" s="177"/>
      <c r="I791" s="177"/>
      <c r="J791" s="42"/>
    </row>
    <row r="792" spans="1:10" ht="15.75" customHeight="1" x14ac:dyDescent="0.3">
      <c r="A792" s="13"/>
      <c r="B792" s="13"/>
      <c r="C792" s="13"/>
      <c r="F792" s="177"/>
      <c r="I792" s="177"/>
      <c r="J792" s="42"/>
    </row>
    <row r="793" spans="1:10" ht="15.75" customHeight="1" x14ac:dyDescent="0.3">
      <c r="A793" s="13"/>
      <c r="B793" s="13"/>
      <c r="C793" s="13"/>
      <c r="F793" s="177"/>
      <c r="I793" s="177"/>
      <c r="J793" s="42"/>
    </row>
    <row r="794" spans="1:10" ht="15.75" customHeight="1" x14ac:dyDescent="0.3">
      <c r="A794" s="13"/>
      <c r="B794" s="13"/>
      <c r="C794" s="13"/>
      <c r="F794" s="177"/>
      <c r="I794" s="177"/>
      <c r="J794" s="42"/>
    </row>
    <row r="795" spans="1:10" ht="15.75" customHeight="1" x14ac:dyDescent="0.3">
      <c r="A795" s="13"/>
      <c r="B795" s="13"/>
      <c r="C795" s="13"/>
      <c r="F795" s="177"/>
      <c r="I795" s="177"/>
      <c r="J795" s="42"/>
    </row>
    <row r="796" spans="1:10" ht="15.75" customHeight="1" x14ac:dyDescent="0.3">
      <c r="A796" s="13"/>
      <c r="B796" s="13"/>
      <c r="C796" s="13"/>
      <c r="F796" s="177"/>
      <c r="I796" s="177"/>
      <c r="J796" s="42"/>
    </row>
    <row r="797" spans="1:10" ht="15.75" customHeight="1" x14ac:dyDescent="0.3">
      <c r="A797" s="13"/>
      <c r="B797" s="13"/>
      <c r="C797" s="13"/>
      <c r="F797" s="177"/>
      <c r="I797" s="177"/>
      <c r="J797" s="42"/>
    </row>
    <row r="798" spans="1:10" ht="15.75" customHeight="1" x14ac:dyDescent="0.3">
      <c r="A798" s="13"/>
      <c r="B798" s="13"/>
      <c r="C798" s="13"/>
      <c r="F798" s="177"/>
      <c r="I798" s="177"/>
      <c r="J798" s="42"/>
    </row>
    <row r="799" spans="1:10" ht="15.75" customHeight="1" x14ac:dyDescent="0.3">
      <c r="A799" s="13"/>
      <c r="B799" s="13"/>
      <c r="C799" s="13"/>
      <c r="F799" s="177"/>
      <c r="I799" s="177"/>
      <c r="J799" s="42"/>
    </row>
    <row r="800" spans="1:10" ht="15.75" customHeight="1" x14ac:dyDescent="0.3">
      <c r="A800" s="13"/>
      <c r="B800" s="13"/>
      <c r="C800" s="13"/>
      <c r="F800" s="177"/>
      <c r="I800" s="177"/>
      <c r="J800" s="42"/>
    </row>
    <row r="801" spans="1:10" ht="15.75" customHeight="1" x14ac:dyDescent="0.3">
      <c r="A801" s="13"/>
      <c r="B801" s="13"/>
      <c r="C801" s="13"/>
      <c r="F801" s="177"/>
      <c r="I801" s="177"/>
      <c r="J801" s="42"/>
    </row>
    <row r="802" spans="1:10" ht="15.75" customHeight="1" x14ac:dyDescent="0.3">
      <c r="A802" s="13"/>
      <c r="B802" s="13"/>
      <c r="C802" s="13"/>
      <c r="F802" s="177"/>
      <c r="I802" s="177"/>
      <c r="J802" s="42"/>
    </row>
    <row r="803" spans="1:10" ht="15.75" customHeight="1" x14ac:dyDescent="0.3">
      <c r="A803" s="13"/>
      <c r="B803" s="13"/>
      <c r="C803" s="13"/>
      <c r="F803" s="177"/>
      <c r="I803" s="177"/>
      <c r="J803" s="42"/>
    </row>
    <row r="804" spans="1:10" ht="15.75" customHeight="1" x14ac:dyDescent="0.3">
      <c r="A804" s="13"/>
      <c r="B804" s="13"/>
      <c r="C804" s="13"/>
      <c r="F804" s="177"/>
      <c r="I804" s="177"/>
      <c r="J804" s="42"/>
    </row>
    <row r="805" spans="1:10" ht="15.75" customHeight="1" x14ac:dyDescent="0.3">
      <c r="A805" s="13"/>
      <c r="B805" s="13"/>
      <c r="C805" s="13"/>
      <c r="F805" s="177"/>
      <c r="I805" s="177"/>
      <c r="J805" s="42"/>
    </row>
    <row r="806" spans="1:10" ht="15.75" customHeight="1" x14ac:dyDescent="0.3">
      <c r="A806" s="13"/>
      <c r="B806" s="13"/>
      <c r="C806" s="13"/>
      <c r="F806" s="177"/>
      <c r="I806" s="177"/>
      <c r="J806" s="42"/>
    </row>
    <row r="807" spans="1:10" ht="15.75" customHeight="1" x14ac:dyDescent="0.3">
      <c r="A807" s="13"/>
      <c r="B807" s="13"/>
      <c r="C807" s="13"/>
      <c r="F807" s="177"/>
      <c r="I807" s="177"/>
      <c r="J807" s="42"/>
    </row>
    <row r="808" spans="1:10" ht="15.75" customHeight="1" x14ac:dyDescent="0.3">
      <c r="A808" s="13"/>
      <c r="B808" s="13"/>
      <c r="C808" s="13"/>
      <c r="F808" s="177"/>
      <c r="I808" s="177"/>
      <c r="J808" s="42"/>
    </row>
    <row r="809" spans="1:10" ht="15.75" customHeight="1" x14ac:dyDescent="0.3">
      <c r="A809" s="13"/>
      <c r="B809" s="13"/>
      <c r="C809" s="13"/>
      <c r="F809" s="177"/>
      <c r="I809" s="177"/>
      <c r="J809" s="42"/>
    </row>
    <row r="810" spans="1:10" ht="15.75" customHeight="1" x14ac:dyDescent="0.3">
      <c r="A810" s="13"/>
      <c r="B810" s="13"/>
      <c r="C810" s="13"/>
      <c r="F810" s="177"/>
      <c r="I810" s="177"/>
      <c r="J810" s="42"/>
    </row>
    <row r="811" spans="1:10" ht="15.75" customHeight="1" x14ac:dyDescent="0.3">
      <c r="A811" s="13"/>
      <c r="B811" s="13"/>
      <c r="C811" s="13"/>
      <c r="F811" s="177"/>
      <c r="I811" s="177"/>
      <c r="J811" s="42"/>
    </row>
    <row r="812" spans="1:10" ht="15.75" customHeight="1" x14ac:dyDescent="0.3">
      <c r="A812" s="13"/>
      <c r="B812" s="13"/>
      <c r="C812" s="13"/>
      <c r="F812" s="177"/>
      <c r="I812" s="177"/>
      <c r="J812" s="42"/>
    </row>
    <row r="813" spans="1:10" ht="15.75" customHeight="1" x14ac:dyDescent="0.3">
      <c r="A813" s="13"/>
      <c r="B813" s="13"/>
      <c r="C813" s="13"/>
      <c r="F813" s="177"/>
      <c r="I813" s="177"/>
      <c r="J813" s="42"/>
    </row>
    <row r="814" spans="1:10" ht="15.75" customHeight="1" x14ac:dyDescent="0.3">
      <c r="A814" s="13"/>
      <c r="B814" s="13"/>
      <c r="C814" s="13"/>
      <c r="F814" s="177"/>
      <c r="I814" s="177"/>
      <c r="J814" s="42"/>
    </row>
    <row r="815" spans="1:10" ht="15.75" customHeight="1" x14ac:dyDescent="0.3">
      <c r="A815" s="13"/>
      <c r="B815" s="13"/>
      <c r="C815" s="13"/>
      <c r="F815" s="177"/>
      <c r="I815" s="177"/>
      <c r="J815" s="42"/>
    </row>
    <row r="816" spans="1:10" ht="15.75" customHeight="1" x14ac:dyDescent="0.3">
      <c r="A816" s="13"/>
      <c r="B816" s="13"/>
      <c r="C816" s="13"/>
      <c r="F816" s="177"/>
      <c r="I816" s="177"/>
      <c r="J816" s="42"/>
    </row>
    <row r="817" spans="1:10" ht="15.75" customHeight="1" x14ac:dyDescent="0.3">
      <c r="A817" s="13"/>
      <c r="B817" s="13"/>
      <c r="C817" s="13"/>
      <c r="F817" s="177"/>
      <c r="I817" s="177"/>
      <c r="J817" s="42"/>
    </row>
    <row r="818" spans="1:10" ht="15.75" customHeight="1" x14ac:dyDescent="0.3">
      <c r="A818" s="13"/>
      <c r="B818" s="13"/>
      <c r="C818" s="13"/>
      <c r="F818" s="177"/>
      <c r="I818" s="177"/>
      <c r="J818" s="42"/>
    </row>
    <row r="819" spans="1:10" ht="15.75" customHeight="1" x14ac:dyDescent="0.3">
      <c r="A819" s="13"/>
      <c r="B819" s="13"/>
      <c r="C819" s="13"/>
      <c r="F819" s="177"/>
      <c r="I819" s="177"/>
      <c r="J819" s="42"/>
    </row>
    <row r="820" spans="1:10" ht="15.75" customHeight="1" x14ac:dyDescent="0.3">
      <c r="A820" s="13"/>
      <c r="B820" s="13"/>
      <c r="C820" s="13"/>
      <c r="F820" s="177"/>
      <c r="I820" s="177"/>
      <c r="J820" s="42"/>
    </row>
    <row r="821" spans="1:10" ht="15.75" customHeight="1" x14ac:dyDescent="0.3">
      <c r="A821" s="13"/>
      <c r="B821" s="13"/>
      <c r="C821" s="13"/>
      <c r="F821" s="177"/>
      <c r="I821" s="177"/>
      <c r="J821" s="42"/>
    </row>
    <row r="822" spans="1:10" ht="15.75" customHeight="1" x14ac:dyDescent="0.3">
      <c r="A822" s="13"/>
      <c r="B822" s="13"/>
      <c r="C822" s="13"/>
      <c r="F822" s="177"/>
      <c r="I822" s="177"/>
      <c r="J822" s="42"/>
    </row>
    <row r="823" spans="1:10" ht="15.75" customHeight="1" x14ac:dyDescent="0.3">
      <c r="A823" s="13"/>
      <c r="B823" s="13"/>
      <c r="C823" s="13"/>
      <c r="F823" s="177"/>
      <c r="I823" s="177"/>
      <c r="J823" s="42"/>
    </row>
    <row r="824" spans="1:10" ht="15.75" customHeight="1" x14ac:dyDescent="0.3">
      <c r="A824" s="13"/>
      <c r="B824" s="13"/>
      <c r="C824" s="13"/>
      <c r="F824" s="177"/>
      <c r="I824" s="177"/>
      <c r="J824" s="42"/>
    </row>
    <row r="825" spans="1:10" ht="15.75" customHeight="1" x14ac:dyDescent="0.3">
      <c r="A825" s="13"/>
      <c r="B825" s="13"/>
      <c r="C825" s="13"/>
      <c r="F825" s="177"/>
      <c r="I825" s="177"/>
      <c r="J825" s="42"/>
    </row>
    <row r="826" spans="1:10" ht="15.75" customHeight="1" x14ac:dyDescent="0.3">
      <c r="A826" s="13"/>
      <c r="B826" s="13"/>
      <c r="C826" s="13"/>
      <c r="F826" s="177"/>
      <c r="I826" s="177"/>
      <c r="J826" s="42"/>
    </row>
    <row r="827" spans="1:10" ht="15.75" customHeight="1" x14ac:dyDescent="0.3">
      <c r="A827" s="13"/>
      <c r="B827" s="13"/>
      <c r="C827" s="13"/>
      <c r="F827" s="177"/>
      <c r="I827" s="177"/>
      <c r="J827" s="42"/>
    </row>
    <row r="828" spans="1:10" ht="15.75" customHeight="1" x14ac:dyDescent="0.3">
      <c r="A828" s="13"/>
      <c r="B828" s="13"/>
      <c r="C828" s="13"/>
      <c r="F828" s="177"/>
      <c r="I828" s="177"/>
      <c r="J828" s="42"/>
    </row>
    <row r="829" spans="1:10" ht="15.75" customHeight="1" x14ac:dyDescent="0.3">
      <c r="A829" s="13"/>
      <c r="B829" s="13"/>
      <c r="C829" s="13"/>
      <c r="F829" s="177"/>
      <c r="I829" s="177"/>
      <c r="J829" s="42"/>
    </row>
    <row r="830" spans="1:10" ht="15.75" customHeight="1" x14ac:dyDescent="0.3">
      <c r="A830" s="13"/>
      <c r="B830" s="13"/>
      <c r="C830" s="13"/>
      <c r="F830" s="177"/>
      <c r="I830" s="177"/>
      <c r="J830" s="42"/>
    </row>
    <row r="831" spans="1:10" ht="15.75" customHeight="1" x14ac:dyDescent="0.3">
      <c r="A831" s="13"/>
      <c r="B831" s="13"/>
      <c r="C831" s="13"/>
      <c r="F831" s="177"/>
      <c r="I831" s="177"/>
      <c r="J831" s="42"/>
    </row>
    <row r="832" spans="1:10" ht="15.75" customHeight="1" x14ac:dyDescent="0.3">
      <c r="A832" s="13"/>
      <c r="B832" s="13"/>
      <c r="C832" s="13"/>
      <c r="F832" s="177"/>
      <c r="I832" s="177"/>
      <c r="J832" s="42"/>
    </row>
    <row r="833" spans="1:10" ht="15.75" customHeight="1" x14ac:dyDescent="0.3">
      <c r="A833" s="13"/>
      <c r="B833" s="13"/>
      <c r="C833" s="13"/>
      <c r="F833" s="177"/>
      <c r="I833" s="177"/>
      <c r="J833" s="42"/>
    </row>
    <row r="834" spans="1:10" ht="15.75" customHeight="1" x14ac:dyDescent="0.3">
      <c r="A834" s="13"/>
      <c r="B834" s="13"/>
      <c r="C834" s="13"/>
      <c r="F834" s="177"/>
      <c r="I834" s="177"/>
      <c r="J834" s="42"/>
    </row>
    <row r="835" spans="1:10" ht="15.75" customHeight="1" x14ac:dyDescent="0.3">
      <c r="A835" s="13"/>
      <c r="B835" s="13"/>
      <c r="C835" s="13"/>
      <c r="F835" s="177"/>
      <c r="I835" s="177"/>
      <c r="J835" s="42"/>
    </row>
    <row r="836" spans="1:10" ht="15.75" customHeight="1" x14ac:dyDescent="0.3">
      <c r="A836" s="13"/>
      <c r="B836" s="13"/>
      <c r="C836" s="13"/>
      <c r="F836" s="177"/>
      <c r="I836" s="177"/>
      <c r="J836" s="42"/>
    </row>
    <row r="837" spans="1:10" ht="15.75" customHeight="1" x14ac:dyDescent="0.3">
      <c r="A837" s="13"/>
      <c r="B837" s="13"/>
      <c r="C837" s="13"/>
      <c r="F837" s="177"/>
      <c r="I837" s="177"/>
      <c r="J837" s="42"/>
    </row>
    <row r="838" spans="1:10" ht="15.75" customHeight="1" x14ac:dyDescent="0.3">
      <c r="A838" s="13"/>
      <c r="B838" s="13"/>
      <c r="C838" s="13"/>
      <c r="F838" s="177"/>
      <c r="I838" s="177"/>
      <c r="J838" s="42"/>
    </row>
    <row r="839" spans="1:10" ht="15.75" customHeight="1" x14ac:dyDescent="0.3">
      <c r="A839" s="13"/>
      <c r="B839" s="13"/>
      <c r="C839" s="13"/>
      <c r="F839" s="177"/>
      <c r="I839" s="177"/>
      <c r="J839" s="42"/>
    </row>
    <row r="840" spans="1:10" ht="15.75" customHeight="1" x14ac:dyDescent="0.3">
      <c r="A840" s="13"/>
      <c r="B840" s="13"/>
      <c r="C840" s="13"/>
      <c r="F840" s="177"/>
      <c r="I840" s="177"/>
      <c r="J840" s="42"/>
    </row>
    <row r="841" spans="1:10" ht="15.75" customHeight="1" x14ac:dyDescent="0.3">
      <c r="A841" s="13"/>
      <c r="B841" s="13"/>
      <c r="C841" s="13"/>
      <c r="F841" s="177"/>
      <c r="I841" s="177"/>
      <c r="J841" s="42"/>
    </row>
    <row r="842" spans="1:10" ht="15.75" customHeight="1" x14ac:dyDescent="0.3">
      <c r="A842" s="13"/>
      <c r="B842" s="13"/>
      <c r="C842" s="13"/>
      <c r="F842" s="177"/>
      <c r="I842" s="177"/>
      <c r="J842" s="42"/>
    </row>
    <row r="843" spans="1:10" ht="15.75" customHeight="1" x14ac:dyDescent="0.3">
      <c r="A843" s="13"/>
      <c r="B843" s="13"/>
      <c r="C843" s="13"/>
      <c r="F843" s="177"/>
      <c r="I843" s="177"/>
      <c r="J843" s="42"/>
    </row>
    <row r="844" spans="1:10" ht="15.75" customHeight="1" x14ac:dyDescent="0.3">
      <c r="A844" s="13"/>
      <c r="B844" s="13"/>
      <c r="C844" s="13"/>
      <c r="F844" s="177"/>
      <c r="I844" s="177"/>
      <c r="J844" s="42"/>
    </row>
    <row r="845" spans="1:10" ht="15.75" customHeight="1" x14ac:dyDescent="0.3">
      <c r="A845" s="13"/>
      <c r="B845" s="13"/>
      <c r="C845" s="13"/>
      <c r="F845" s="177"/>
      <c r="I845" s="177"/>
      <c r="J845" s="42"/>
    </row>
    <row r="846" spans="1:10" ht="15.75" customHeight="1" x14ac:dyDescent="0.3">
      <c r="A846" s="13"/>
      <c r="B846" s="13"/>
      <c r="C846" s="13"/>
      <c r="F846" s="177"/>
      <c r="I846" s="177"/>
      <c r="J846" s="42"/>
    </row>
    <row r="847" spans="1:10" ht="15.75" customHeight="1" x14ac:dyDescent="0.3">
      <c r="A847" s="13"/>
      <c r="B847" s="13"/>
      <c r="C847" s="13"/>
      <c r="F847" s="177"/>
      <c r="I847" s="177"/>
      <c r="J847" s="42"/>
    </row>
    <row r="848" spans="1:10" ht="15.75" customHeight="1" x14ac:dyDescent="0.3">
      <c r="A848" s="13"/>
      <c r="B848" s="13"/>
      <c r="C848" s="13"/>
      <c r="F848" s="177"/>
      <c r="I848" s="177"/>
      <c r="J848" s="42"/>
    </row>
    <row r="849" spans="1:10" ht="15.75" customHeight="1" x14ac:dyDescent="0.3">
      <c r="A849" s="13"/>
      <c r="B849" s="13"/>
      <c r="C849" s="13"/>
      <c r="F849" s="177"/>
      <c r="I849" s="177"/>
      <c r="J849" s="42"/>
    </row>
    <row r="850" spans="1:10" ht="15.75" customHeight="1" x14ac:dyDescent="0.3">
      <c r="A850" s="13"/>
      <c r="B850" s="13"/>
      <c r="C850" s="13"/>
      <c r="F850" s="177"/>
      <c r="I850" s="177"/>
      <c r="J850" s="42"/>
    </row>
    <row r="851" spans="1:10" ht="15.75" customHeight="1" x14ac:dyDescent="0.3">
      <c r="A851" s="13"/>
      <c r="B851" s="13"/>
      <c r="C851" s="13"/>
      <c r="F851" s="177"/>
      <c r="I851" s="177"/>
      <c r="J851" s="42"/>
    </row>
    <row r="852" spans="1:10" ht="15.75" customHeight="1" x14ac:dyDescent="0.3">
      <c r="A852" s="13"/>
      <c r="B852" s="13"/>
      <c r="C852" s="13"/>
      <c r="F852" s="177"/>
      <c r="I852" s="177"/>
      <c r="J852" s="42"/>
    </row>
    <row r="853" spans="1:10" ht="15.75" customHeight="1" x14ac:dyDescent="0.3">
      <c r="A853" s="13"/>
      <c r="B853" s="13"/>
      <c r="C853" s="13"/>
      <c r="F853" s="177"/>
      <c r="I853" s="177"/>
      <c r="J853" s="42"/>
    </row>
    <row r="854" spans="1:10" ht="15.75" customHeight="1" x14ac:dyDescent="0.3">
      <c r="A854" s="13"/>
      <c r="B854" s="13"/>
      <c r="C854" s="13"/>
      <c r="F854" s="177"/>
      <c r="I854" s="177"/>
      <c r="J854" s="42"/>
    </row>
    <row r="855" spans="1:10" ht="15.75" customHeight="1" x14ac:dyDescent="0.3">
      <c r="A855" s="13"/>
      <c r="B855" s="13"/>
      <c r="C855" s="13"/>
      <c r="F855" s="177"/>
      <c r="I855" s="177"/>
      <c r="J855" s="42"/>
    </row>
    <row r="856" spans="1:10" ht="15.75" customHeight="1" x14ac:dyDescent="0.3">
      <c r="A856" s="13"/>
      <c r="B856" s="13"/>
      <c r="C856" s="13"/>
      <c r="F856" s="177"/>
      <c r="I856" s="177"/>
      <c r="J856" s="42"/>
    </row>
    <row r="857" spans="1:10" ht="15.75" customHeight="1" x14ac:dyDescent="0.3">
      <c r="A857" s="13"/>
      <c r="B857" s="13"/>
      <c r="C857" s="13"/>
      <c r="F857" s="177"/>
      <c r="I857" s="177"/>
      <c r="J857" s="42"/>
    </row>
    <row r="858" spans="1:10" ht="15.75" customHeight="1" x14ac:dyDescent="0.3">
      <c r="A858" s="13"/>
      <c r="B858" s="13"/>
      <c r="C858" s="13"/>
      <c r="F858" s="177"/>
      <c r="I858" s="177"/>
      <c r="J858" s="42"/>
    </row>
    <row r="859" spans="1:10" ht="15.75" customHeight="1" x14ac:dyDescent="0.3">
      <c r="A859" s="13"/>
      <c r="B859" s="13"/>
      <c r="C859" s="13"/>
      <c r="F859" s="177"/>
      <c r="I859" s="177"/>
      <c r="J859" s="42"/>
    </row>
    <row r="860" spans="1:10" ht="15.75" customHeight="1" x14ac:dyDescent="0.3">
      <c r="A860" s="13"/>
      <c r="B860" s="13"/>
      <c r="C860" s="13"/>
      <c r="F860" s="177"/>
      <c r="I860" s="177"/>
      <c r="J860" s="42"/>
    </row>
    <row r="861" spans="1:10" ht="15.75" customHeight="1" x14ac:dyDescent="0.3">
      <c r="A861" s="13"/>
      <c r="B861" s="13"/>
      <c r="C861" s="13"/>
      <c r="F861" s="177"/>
      <c r="I861" s="177"/>
      <c r="J861" s="42"/>
    </row>
    <row r="862" spans="1:10" ht="15.75" customHeight="1" x14ac:dyDescent="0.3">
      <c r="A862" s="13"/>
      <c r="B862" s="13"/>
      <c r="C862" s="13"/>
      <c r="F862" s="177"/>
      <c r="I862" s="177"/>
      <c r="J862" s="42"/>
    </row>
    <row r="863" spans="1:10" ht="15.75" customHeight="1" x14ac:dyDescent="0.3">
      <c r="A863" s="13"/>
      <c r="B863" s="13"/>
      <c r="C863" s="13"/>
      <c r="F863" s="177"/>
      <c r="I863" s="177"/>
      <c r="J863" s="42"/>
    </row>
    <row r="864" spans="1:10" ht="15.75" customHeight="1" x14ac:dyDescent="0.3">
      <c r="A864" s="13"/>
      <c r="B864" s="13"/>
      <c r="C864" s="13"/>
      <c r="F864" s="177"/>
      <c r="I864" s="177"/>
      <c r="J864" s="42"/>
    </row>
    <row r="865" spans="1:10" ht="15.75" customHeight="1" x14ac:dyDescent="0.3">
      <c r="A865" s="13"/>
      <c r="B865" s="13"/>
      <c r="C865" s="13"/>
      <c r="F865" s="177"/>
      <c r="I865" s="177"/>
      <c r="J865" s="42"/>
    </row>
    <row r="866" spans="1:10" ht="15.75" customHeight="1" x14ac:dyDescent="0.3">
      <c r="A866" s="13"/>
      <c r="B866" s="13"/>
      <c r="C866" s="13"/>
      <c r="F866" s="177"/>
      <c r="I866" s="177"/>
      <c r="J866" s="42"/>
    </row>
    <row r="867" spans="1:10" ht="15.75" customHeight="1" x14ac:dyDescent="0.3">
      <c r="A867" s="13"/>
      <c r="B867" s="13"/>
      <c r="C867" s="13"/>
      <c r="F867" s="177"/>
      <c r="I867" s="177"/>
      <c r="J867" s="42"/>
    </row>
    <row r="868" spans="1:10" ht="15.75" customHeight="1" x14ac:dyDescent="0.3">
      <c r="A868" s="13"/>
      <c r="B868" s="13"/>
      <c r="C868" s="13"/>
      <c r="F868" s="177"/>
      <c r="I868" s="177"/>
      <c r="J868" s="42"/>
    </row>
    <row r="869" spans="1:10" ht="15.75" customHeight="1" x14ac:dyDescent="0.3">
      <c r="A869" s="13"/>
      <c r="B869" s="13"/>
      <c r="C869" s="13"/>
      <c r="F869" s="177"/>
      <c r="I869" s="177"/>
      <c r="J869" s="42"/>
    </row>
    <row r="870" spans="1:10" ht="15.75" customHeight="1" x14ac:dyDescent="0.3">
      <c r="A870" s="13"/>
      <c r="B870" s="13"/>
      <c r="C870" s="13"/>
      <c r="F870" s="177"/>
      <c r="I870" s="177"/>
      <c r="J870" s="42"/>
    </row>
    <row r="871" spans="1:10" ht="15.75" customHeight="1" x14ac:dyDescent="0.3">
      <c r="A871" s="13"/>
      <c r="B871" s="13"/>
      <c r="C871" s="13"/>
      <c r="F871" s="177"/>
      <c r="I871" s="177"/>
      <c r="J871" s="42"/>
    </row>
    <row r="872" spans="1:10" ht="15.75" customHeight="1" x14ac:dyDescent="0.3">
      <c r="A872" s="13"/>
      <c r="B872" s="13"/>
      <c r="C872" s="13"/>
      <c r="F872" s="177"/>
      <c r="I872" s="177"/>
      <c r="J872" s="42"/>
    </row>
    <row r="873" spans="1:10" ht="15.75" customHeight="1" x14ac:dyDescent="0.3">
      <c r="A873" s="13"/>
      <c r="B873" s="13"/>
      <c r="C873" s="13"/>
      <c r="F873" s="177"/>
      <c r="I873" s="177"/>
      <c r="J873" s="42"/>
    </row>
    <row r="874" spans="1:10" ht="15.75" customHeight="1" x14ac:dyDescent="0.3">
      <c r="A874" s="13"/>
      <c r="B874" s="13"/>
      <c r="C874" s="13"/>
      <c r="F874" s="177"/>
      <c r="I874" s="177"/>
      <c r="J874" s="42"/>
    </row>
    <row r="875" spans="1:10" ht="15.75" customHeight="1" x14ac:dyDescent="0.3">
      <c r="A875" s="13"/>
      <c r="B875" s="13"/>
      <c r="C875" s="13"/>
      <c r="F875" s="177"/>
      <c r="I875" s="177"/>
      <c r="J875" s="42"/>
    </row>
    <row r="876" spans="1:10" ht="15.75" customHeight="1" x14ac:dyDescent="0.3">
      <c r="A876" s="13"/>
      <c r="B876" s="13"/>
      <c r="C876" s="13"/>
      <c r="F876" s="177"/>
      <c r="I876" s="177"/>
      <c r="J876" s="42"/>
    </row>
    <row r="877" spans="1:10" ht="15.75" customHeight="1" x14ac:dyDescent="0.3">
      <c r="A877" s="13"/>
      <c r="B877" s="13"/>
      <c r="C877" s="13"/>
      <c r="F877" s="177"/>
      <c r="I877" s="177"/>
      <c r="J877" s="42"/>
    </row>
    <row r="878" spans="1:10" ht="15.75" customHeight="1" x14ac:dyDescent="0.3">
      <c r="A878" s="13"/>
      <c r="B878" s="13"/>
      <c r="C878" s="13"/>
      <c r="F878" s="177"/>
      <c r="I878" s="177"/>
      <c r="J878" s="42"/>
    </row>
    <row r="879" spans="1:10" ht="15.75" customHeight="1" x14ac:dyDescent="0.3">
      <c r="A879" s="13"/>
      <c r="B879" s="13"/>
      <c r="C879" s="13"/>
      <c r="F879" s="177"/>
      <c r="I879" s="177"/>
      <c r="J879" s="42"/>
    </row>
    <row r="880" spans="1:10" ht="15.75" customHeight="1" x14ac:dyDescent="0.3">
      <c r="A880" s="13"/>
      <c r="B880" s="13"/>
      <c r="C880" s="13"/>
      <c r="F880" s="177"/>
      <c r="I880" s="177"/>
      <c r="J880" s="42"/>
    </row>
    <row r="881" spans="1:10" ht="15.75" customHeight="1" x14ac:dyDescent="0.3">
      <c r="A881" s="13"/>
      <c r="B881" s="13"/>
      <c r="C881" s="13"/>
      <c r="F881" s="177"/>
      <c r="I881" s="177"/>
      <c r="J881" s="42"/>
    </row>
    <row r="882" spans="1:10" ht="15.75" customHeight="1" x14ac:dyDescent="0.3">
      <c r="A882" s="13"/>
      <c r="B882" s="13"/>
      <c r="C882" s="13"/>
      <c r="F882" s="177"/>
      <c r="I882" s="177"/>
      <c r="J882" s="42"/>
    </row>
    <row r="883" spans="1:10" ht="15.75" customHeight="1" x14ac:dyDescent="0.3">
      <c r="A883" s="13"/>
      <c r="B883" s="13"/>
      <c r="C883" s="13"/>
      <c r="F883" s="177"/>
      <c r="I883" s="177"/>
      <c r="J883" s="42"/>
    </row>
    <row r="884" spans="1:10" ht="15.75" customHeight="1" x14ac:dyDescent="0.3">
      <c r="A884" s="13"/>
      <c r="B884" s="13"/>
      <c r="C884" s="13"/>
      <c r="F884" s="177"/>
      <c r="I884" s="177"/>
      <c r="J884" s="42"/>
    </row>
    <row r="885" spans="1:10" ht="15.75" customHeight="1" x14ac:dyDescent="0.3">
      <c r="A885" s="13"/>
      <c r="B885" s="13"/>
      <c r="C885" s="13"/>
      <c r="F885" s="177"/>
      <c r="I885" s="177"/>
      <c r="J885" s="42"/>
    </row>
    <row r="886" spans="1:10" ht="15.75" customHeight="1" x14ac:dyDescent="0.3">
      <c r="A886" s="13"/>
      <c r="B886" s="13"/>
      <c r="C886" s="13"/>
      <c r="F886" s="177"/>
      <c r="I886" s="177"/>
      <c r="J886" s="42"/>
    </row>
    <row r="887" spans="1:10" ht="15.75" customHeight="1" x14ac:dyDescent="0.3">
      <c r="A887" s="13"/>
      <c r="B887" s="13"/>
      <c r="C887" s="13"/>
      <c r="F887" s="177"/>
      <c r="I887" s="177"/>
      <c r="J887" s="42"/>
    </row>
    <row r="888" spans="1:10" ht="15.75" customHeight="1" x14ac:dyDescent="0.3">
      <c r="A888" s="13"/>
      <c r="B888" s="13"/>
      <c r="C888" s="13"/>
      <c r="F888" s="177"/>
      <c r="I888" s="177"/>
      <c r="J888" s="42"/>
    </row>
    <row r="889" spans="1:10" ht="15.75" customHeight="1" x14ac:dyDescent="0.3">
      <c r="A889" s="13"/>
      <c r="B889" s="13"/>
      <c r="C889" s="13"/>
      <c r="F889" s="177"/>
      <c r="I889" s="177"/>
      <c r="J889" s="42"/>
    </row>
    <row r="890" spans="1:10" ht="15.75" customHeight="1" x14ac:dyDescent="0.3">
      <c r="A890" s="13"/>
      <c r="B890" s="13"/>
      <c r="C890" s="13"/>
      <c r="F890" s="177"/>
      <c r="I890" s="177"/>
      <c r="J890" s="42"/>
    </row>
    <row r="891" spans="1:10" ht="15.75" customHeight="1" x14ac:dyDescent="0.3">
      <c r="A891" s="13"/>
      <c r="B891" s="13"/>
      <c r="C891" s="13"/>
      <c r="F891" s="177"/>
      <c r="I891" s="177"/>
      <c r="J891" s="42"/>
    </row>
    <row r="892" spans="1:10" ht="15.75" customHeight="1" x14ac:dyDescent="0.3">
      <c r="A892" s="13"/>
      <c r="B892" s="13"/>
      <c r="C892" s="13"/>
      <c r="F892" s="177"/>
      <c r="I892" s="177"/>
      <c r="J892" s="42"/>
    </row>
    <row r="893" spans="1:10" ht="15.75" customHeight="1" x14ac:dyDescent="0.3">
      <c r="A893" s="13"/>
      <c r="B893" s="13"/>
      <c r="C893" s="13"/>
      <c r="F893" s="177"/>
      <c r="I893" s="177"/>
      <c r="J893" s="42"/>
    </row>
    <row r="894" spans="1:10" ht="15.75" customHeight="1" x14ac:dyDescent="0.3">
      <c r="A894" s="13"/>
      <c r="B894" s="13"/>
      <c r="C894" s="13"/>
      <c r="F894" s="177"/>
      <c r="I894" s="177"/>
      <c r="J894" s="42"/>
    </row>
    <row r="895" spans="1:10" ht="15.75" customHeight="1" x14ac:dyDescent="0.3">
      <c r="A895" s="13"/>
      <c r="B895" s="13"/>
      <c r="C895" s="13"/>
      <c r="F895" s="177"/>
      <c r="I895" s="177"/>
      <c r="J895" s="42"/>
    </row>
    <row r="896" spans="1:10" ht="15.75" customHeight="1" x14ac:dyDescent="0.3">
      <c r="A896" s="13"/>
      <c r="B896" s="13"/>
      <c r="C896" s="13"/>
      <c r="F896" s="177"/>
      <c r="I896" s="177"/>
      <c r="J896" s="42"/>
    </row>
    <row r="897" spans="1:10" ht="15.75" customHeight="1" x14ac:dyDescent="0.3">
      <c r="A897" s="13"/>
      <c r="B897" s="13"/>
      <c r="C897" s="13"/>
      <c r="F897" s="177"/>
      <c r="I897" s="177"/>
      <c r="J897" s="42"/>
    </row>
    <row r="898" spans="1:10" ht="15.75" customHeight="1" x14ac:dyDescent="0.3">
      <c r="A898" s="13"/>
      <c r="B898" s="13"/>
      <c r="C898" s="13"/>
      <c r="F898" s="177"/>
      <c r="I898" s="177"/>
      <c r="J898" s="42"/>
    </row>
    <row r="899" spans="1:10" ht="15.75" customHeight="1" x14ac:dyDescent="0.3">
      <c r="A899" s="13"/>
      <c r="B899" s="13"/>
      <c r="C899" s="13"/>
      <c r="F899" s="177"/>
      <c r="I899" s="177"/>
      <c r="J899" s="42"/>
    </row>
    <row r="900" spans="1:10" ht="15.75" customHeight="1" x14ac:dyDescent="0.3">
      <c r="A900" s="13"/>
      <c r="B900" s="13"/>
      <c r="C900" s="13"/>
      <c r="F900" s="177"/>
      <c r="I900" s="177"/>
      <c r="J900" s="42"/>
    </row>
    <row r="901" spans="1:10" ht="15.75" customHeight="1" x14ac:dyDescent="0.3">
      <c r="A901" s="13"/>
      <c r="B901" s="13"/>
      <c r="C901" s="13"/>
      <c r="F901" s="177"/>
      <c r="I901" s="177"/>
      <c r="J901" s="42"/>
    </row>
    <row r="902" spans="1:10" ht="15.75" customHeight="1" x14ac:dyDescent="0.3">
      <c r="A902" s="13"/>
      <c r="B902" s="13"/>
      <c r="C902" s="13"/>
      <c r="F902" s="177"/>
      <c r="I902" s="177"/>
      <c r="J902" s="42"/>
    </row>
    <row r="903" spans="1:10" ht="15.75" customHeight="1" x14ac:dyDescent="0.3">
      <c r="A903" s="13"/>
      <c r="B903" s="13"/>
      <c r="C903" s="13"/>
      <c r="F903" s="177"/>
      <c r="I903" s="177"/>
      <c r="J903" s="42"/>
    </row>
    <row r="904" spans="1:10" ht="15.75" customHeight="1" x14ac:dyDescent="0.3">
      <c r="A904" s="13"/>
      <c r="B904" s="13"/>
      <c r="C904" s="13"/>
      <c r="F904" s="177"/>
      <c r="I904" s="177"/>
      <c r="J904" s="42"/>
    </row>
    <row r="905" spans="1:10" ht="15.75" customHeight="1" x14ac:dyDescent="0.3">
      <c r="A905" s="13"/>
      <c r="B905" s="13"/>
      <c r="C905" s="13"/>
      <c r="F905" s="177"/>
      <c r="I905" s="177"/>
      <c r="J905" s="42"/>
    </row>
    <row r="906" spans="1:10" ht="15.75" customHeight="1" x14ac:dyDescent="0.3">
      <c r="A906" s="13"/>
      <c r="B906" s="13"/>
      <c r="C906" s="13"/>
      <c r="F906" s="177"/>
      <c r="I906" s="177"/>
      <c r="J906" s="42"/>
    </row>
    <row r="907" spans="1:10" ht="15.75" customHeight="1" x14ac:dyDescent="0.3">
      <c r="A907" s="13"/>
      <c r="B907" s="13"/>
      <c r="C907" s="13"/>
      <c r="F907" s="177"/>
      <c r="I907" s="177"/>
      <c r="J907" s="42"/>
    </row>
    <row r="908" spans="1:10" ht="15.75" customHeight="1" x14ac:dyDescent="0.3">
      <c r="A908" s="13"/>
      <c r="B908" s="13"/>
      <c r="C908" s="13"/>
      <c r="F908" s="177"/>
      <c r="I908" s="177"/>
      <c r="J908" s="42"/>
    </row>
    <row r="909" spans="1:10" ht="15.75" customHeight="1" x14ac:dyDescent="0.3">
      <c r="A909" s="13"/>
      <c r="B909" s="13"/>
      <c r="C909" s="13"/>
      <c r="F909" s="177"/>
      <c r="I909" s="177"/>
      <c r="J909" s="42"/>
    </row>
    <row r="910" spans="1:10" ht="15.75" customHeight="1" x14ac:dyDescent="0.3">
      <c r="A910" s="13"/>
      <c r="B910" s="13"/>
      <c r="C910" s="13"/>
      <c r="F910" s="177"/>
      <c r="I910" s="177"/>
      <c r="J910" s="42"/>
    </row>
    <row r="911" spans="1:10" ht="15.75" customHeight="1" x14ac:dyDescent="0.3">
      <c r="A911" s="13"/>
      <c r="B911" s="13"/>
      <c r="C911" s="13"/>
      <c r="F911" s="177"/>
      <c r="I911" s="177"/>
      <c r="J911" s="42"/>
    </row>
    <row r="912" spans="1:10" ht="15.75" customHeight="1" x14ac:dyDescent="0.3">
      <c r="A912" s="13"/>
      <c r="B912" s="13"/>
      <c r="C912" s="13"/>
      <c r="F912" s="177"/>
      <c r="I912" s="177"/>
      <c r="J912" s="42"/>
    </row>
    <row r="913" spans="1:10" ht="15.75" customHeight="1" x14ac:dyDescent="0.3">
      <c r="A913" s="13"/>
      <c r="B913" s="13"/>
      <c r="C913" s="13"/>
      <c r="F913" s="177"/>
      <c r="I913" s="177"/>
      <c r="J913" s="42"/>
    </row>
    <row r="914" spans="1:10" ht="15.75" customHeight="1" x14ac:dyDescent="0.3">
      <c r="A914" s="13"/>
      <c r="B914" s="13"/>
      <c r="C914" s="13"/>
      <c r="F914" s="177"/>
      <c r="I914" s="177"/>
      <c r="J914" s="42"/>
    </row>
    <row r="915" spans="1:10" ht="15.75" customHeight="1" x14ac:dyDescent="0.3">
      <c r="A915" s="13"/>
      <c r="B915" s="13"/>
      <c r="C915" s="13"/>
      <c r="F915" s="177"/>
      <c r="I915" s="177"/>
      <c r="J915" s="42"/>
    </row>
    <row r="916" spans="1:10" ht="15.75" customHeight="1" x14ac:dyDescent="0.3">
      <c r="A916" s="13"/>
      <c r="B916" s="13"/>
      <c r="C916" s="13"/>
      <c r="F916" s="177"/>
      <c r="I916" s="177"/>
      <c r="J916" s="42"/>
    </row>
    <row r="917" spans="1:10" ht="15.75" customHeight="1" x14ac:dyDescent="0.3">
      <c r="A917" s="13"/>
      <c r="B917" s="13"/>
      <c r="C917" s="13"/>
      <c r="F917" s="177"/>
      <c r="I917" s="177"/>
      <c r="J917" s="42"/>
    </row>
    <row r="918" spans="1:10" ht="15.75" customHeight="1" x14ac:dyDescent="0.3">
      <c r="A918" s="13"/>
      <c r="B918" s="13"/>
      <c r="C918" s="13"/>
      <c r="F918" s="177"/>
      <c r="I918" s="177"/>
      <c r="J918" s="42"/>
    </row>
    <row r="919" spans="1:10" ht="15.75" customHeight="1" x14ac:dyDescent="0.3">
      <c r="A919" s="13"/>
      <c r="B919" s="13"/>
      <c r="C919" s="13"/>
      <c r="F919" s="177"/>
      <c r="I919" s="177"/>
      <c r="J919" s="42"/>
    </row>
    <row r="920" spans="1:10" ht="15.75" customHeight="1" x14ac:dyDescent="0.3">
      <c r="A920" s="13"/>
      <c r="B920" s="13"/>
      <c r="C920" s="13"/>
      <c r="F920" s="177"/>
      <c r="I920" s="177"/>
      <c r="J920" s="42"/>
    </row>
    <row r="921" spans="1:10" ht="15.75" customHeight="1" x14ac:dyDescent="0.3">
      <c r="A921" s="13"/>
      <c r="B921" s="13"/>
      <c r="C921" s="13"/>
      <c r="F921" s="177"/>
      <c r="I921" s="177"/>
      <c r="J921" s="42"/>
    </row>
    <row r="922" spans="1:10" ht="15.75" customHeight="1" x14ac:dyDescent="0.3">
      <c r="A922" s="13"/>
      <c r="B922" s="13"/>
      <c r="C922" s="13"/>
      <c r="F922" s="177"/>
      <c r="I922" s="177"/>
      <c r="J922" s="42"/>
    </row>
    <row r="923" spans="1:10" ht="15.75" customHeight="1" x14ac:dyDescent="0.3">
      <c r="A923" s="13"/>
      <c r="B923" s="13"/>
      <c r="C923" s="13"/>
      <c r="F923" s="177"/>
      <c r="I923" s="177"/>
      <c r="J923" s="42"/>
    </row>
    <row r="924" spans="1:10" ht="15.75" customHeight="1" x14ac:dyDescent="0.3">
      <c r="A924" s="13"/>
      <c r="B924" s="13"/>
      <c r="C924" s="13"/>
      <c r="F924" s="177"/>
      <c r="I924" s="177"/>
      <c r="J924" s="42"/>
    </row>
    <row r="925" spans="1:10" ht="15.75" customHeight="1" x14ac:dyDescent="0.3">
      <c r="A925" s="13"/>
      <c r="B925" s="13"/>
      <c r="C925" s="13"/>
      <c r="F925" s="177"/>
      <c r="I925" s="177"/>
      <c r="J925" s="42"/>
    </row>
    <row r="926" spans="1:10" ht="15.75" customHeight="1" x14ac:dyDescent="0.3">
      <c r="A926" s="13"/>
      <c r="B926" s="13"/>
      <c r="C926" s="13"/>
      <c r="F926" s="177"/>
      <c r="I926" s="177"/>
      <c r="J926" s="42"/>
    </row>
    <row r="927" spans="1:10" ht="15.75" customHeight="1" x14ac:dyDescent="0.3">
      <c r="A927" s="13"/>
      <c r="B927" s="13"/>
      <c r="C927" s="13"/>
      <c r="F927" s="177"/>
      <c r="I927" s="177"/>
      <c r="J927" s="42"/>
    </row>
    <row r="928" spans="1:10" ht="15.75" customHeight="1" x14ac:dyDescent="0.3">
      <c r="A928" s="13"/>
      <c r="B928" s="13"/>
      <c r="C928" s="13"/>
      <c r="F928" s="177"/>
      <c r="I928" s="177"/>
      <c r="J928" s="42"/>
    </row>
    <row r="929" spans="1:10" ht="15.75" customHeight="1" x14ac:dyDescent="0.3">
      <c r="A929" s="13"/>
      <c r="B929" s="13"/>
      <c r="C929" s="13"/>
      <c r="F929" s="177"/>
      <c r="I929" s="177"/>
      <c r="J929" s="42"/>
    </row>
    <row r="930" spans="1:10" ht="15.75" customHeight="1" x14ac:dyDescent="0.3">
      <c r="A930" s="13"/>
      <c r="B930" s="13"/>
      <c r="C930" s="13"/>
      <c r="F930" s="177"/>
      <c r="I930" s="177"/>
      <c r="J930" s="42"/>
    </row>
    <row r="931" spans="1:10" ht="15.75" customHeight="1" x14ac:dyDescent="0.3">
      <c r="A931" s="13"/>
      <c r="B931" s="13"/>
      <c r="C931" s="13"/>
      <c r="F931" s="177"/>
      <c r="I931" s="177"/>
      <c r="J931" s="42"/>
    </row>
    <row r="932" spans="1:10" ht="15.75" customHeight="1" x14ac:dyDescent="0.3">
      <c r="A932" s="13"/>
      <c r="B932" s="13"/>
      <c r="C932" s="13"/>
      <c r="F932" s="177"/>
      <c r="I932" s="177"/>
      <c r="J932" s="42"/>
    </row>
    <row r="933" spans="1:10" ht="15.75" customHeight="1" x14ac:dyDescent="0.3">
      <c r="A933" s="13"/>
      <c r="B933" s="13"/>
      <c r="C933" s="13"/>
      <c r="F933" s="177"/>
      <c r="I933" s="177"/>
      <c r="J933" s="42"/>
    </row>
    <row r="934" spans="1:10" ht="15.75" customHeight="1" x14ac:dyDescent="0.3">
      <c r="A934" s="13"/>
      <c r="B934" s="13"/>
      <c r="C934" s="13"/>
      <c r="F934" s="177"/>
      <c r="I934" s="177"/>
      <c r="J934" s="42"/>
    </row>
    <row r="935" spans="1:10" ht="15.75" customHeight="1" x14ac:dyDescent="0.3">
      <c r="A935" s="13"/>
      <c r="B935" s="13"/>
      <c r="C935" s="13"/>
      <c r="F935" s="177"/>
      <c r="I935" s="177"/>
      <c r="J935" s="42"/>
    </row>
    <row r="936" spans="1:10" ht="15.75" customHeight="1" x14ac:dyDescent="0.3">
      <c r="A936" s="13"/>
      <c r="B936" s="13"/>
      <c r="C936" s="13"/>
      <c r="F936" s="177"/>
      <c r="I936" s="177"/>
      <c r="J936" s="42"/>
    </row>
    <row r="937" spans="1:10" ht="15.75" customHeight="1" x14ac:dyDescent="0.3">
      <c r="A937" s="13"/>
      <c r="B937" s="13"/>
      <c r="C937" s="13"/>
      <c r="F937" s="177"/>
      <c r="I937" s="177"/>
      <c r="J937" s="42"/>
    </row>
    <row r="938" spans="1:10" ht="15.75" customHeight="1" x14ac:dyDescent="0.3">
      <c r="A938" s="13"/>
      <c r="B938" s="13"/>
      <c r="C938" s="13"/>
      <c r="F938" s="177"/>
      <c r="I938" s="177"/>
      <c r="J938" s="42"/>
    </row>
    <row r="939" spans="1:10" ht="15.75" customHeight="1" x14ac:dyDescent="0.3">
      <c r="A939" s="13"/>
      <c r="B939" s="13"/>
      <c r="C939" s="13"/>
      <c r="F939" s="177"/>
      <c r="I939" s="177"/>
      <c r="J939" s="42"/>
    </row>
    <row r="940" spans="1:10" ht="15.75" customHeight="1" x14ac:dyDescent="0.3">
      <c r="A940" s="13"/>
      <c r="B940" s="13"/>
      <c r="C940" s="13"/>
      <c r="F940" s="177"/>
      <c r="I940" s="177"/>
      <c r="J940" s="42"/>
    </row>
    <row r="941" spans="1:10" ht="15.75" customHeight="1" x14ac:dyDescent="0.3">
      <c r="A941" s="13"/>
      <c r="B941" s="13"/>
      <c r="C941" s="13"/>
      <c r="F941" s="177"/>
      <c r="I941" s="177"/>
      <c r="J941" s="42"/>
    </row>
    <row r="942" spans="1:10" ht="15.75" customHeight="1" x14ac:dyDescent="0.3">
      <c r="A942" s="13"/>
      <c r="B942" s="13"/>
      <c r="C942" s="13"/>
      <c r="F942" s="177"/>
      <c r="I942" s="177"/>
      <c r="J942" s="42"/>
    </row>
    <row r="943" spans="1:10" ht="15.75" customHeight="1" x14ac:dyDescent="0.3">
      <c r="A943" s="13"/>
      <c r="B943" s="13"/>
      <c r="C943" s="13"/>
      <c r="F943" s="177"/>
      <c r="I943" s="177"/>
      <c r="J943" s="42"/>
    </row>
    <row r="944" spans="1:10" ht="15.75" customHeight="1" x14ac:dyDescent="0.3">
      <c r="A944" s="13"/>
      <c r="B944" s="13"/>
      <c r="C944" s="13"/>
      <c r="F944" s="177"/>
      <c r="I944" s="177"/>
      <c r="J944" s="42"/>
    </row>
    <row r="945" spans="1:10" ht="15.75" customHeight="1" x14ac:dyDescent="0.3">
      <c r="A945" s="13"/>
      <c r="B945" s="13"/>
      <c r="C945" s="13"/>
      <c r="F945" s="177"/>
      <c r="I945" s="177"/>
      <c r="J945" s="42"/>
    </row>
    <row r="946" spans="1:10" ht="15.75" customHeight="1" x14ac:dyDescent="0.3">
      <c r="A946" s="13"/>
      <c r="B946" s="13"/>
      <c r="C946" s="13"/>
      <c r="F946" s="177"/>
      <c r="I946" s="177"/>
      <c r="J946" s="42"/>
    </row>
    <row r="947" spans="1:10" ht="15.75" customHeight="1" x14ac:dyDescent="0.3">
      <c r="A947" s="13"/>
      <c r="B947" s="13"/>
      <c r="C947" s="13"/>
      <c r="F947" s="177"/>
      <c r="I947" s="177"/>
      <c r="J947" s="42"/>
    </row>
    <row r="948" spans="1:10" ht="15.75" customHeight="1" x14ac:dyDescent="0.3">
      <c r="A948" s="13"/>
      <c r="B948" s="13"/>
      <c r="C948" s="13"/>
      <c r="F948" s="177"/>
      <c r="I948" s="177"/>
      <c r="J948" s="42"/>
    </row>
    <row r="949" spans="1:10" ht="15.75" customHeight="1" x14ac:dyDescent="0.3">
      <c r="A949" s="13"/>
      <c r="B949" s="13"/>
      <c r="C949" s="13"/>
      <c r="F949" s="177"/>
      <c r="I949" s="177"/>
      <c r="J949" s="42"/>
    </row>
    <row r="950" spans="1:10" ht="15.75" customHeight="1" x14ac:dyDescent="0.3">
      <c r="A950" s="13"/>
      <c r="B950" s="13"/>
      <c r="C950" s="13"/>
      <c r="F950" s="177"/>
      <c r="I950" s="177"/>
      <c r="J950" s="42"/>
    </row>
    <row r="951" spans="1:10" ht="15.75" customHeight="1" x14ac:dyDescent="0.3">
      <c r="A951" s="13"/>
      <c r="B951" s="13"/>
      <c r="C951" s="13"/>
      <c r="F951" s="177"/>
      <c r="I951" s="177"/>
      <c r="J951" s="42"/>
    </row>
    <row r="952" spans="1:10" ht="15.75" customHeight="1" x14ac:dyDescent="0.3">
      <c r="A952" s="13"/>
      <c r="B952" s="13"/>
      <c r="C952" s="13"/>
      <c r="F952" s="177"/>
      <c r="I952" s="177"/>
      <c r="J952" s="42"/>
    </row>
    <row r="953" spans="1:10" ht="15.75" customHeight="1" x14ac:dyDescent="0.3">
      <c r="A953" s="13"/>
      <c r="B953" s="13"/>
      <c r="C953" s="13"/>
      <c r="F953" s="177"/>
      <c r="I953" s="177"/>
      <c r="J953" s="42"/>
    </row>
    <row r="954" spans="1:10" ht="15.75" customHeight="1" x14ac:dyDescent="0.3">
      <c r="A954" s="13"/>
      <c r="B954" s="13"/>
      <c r="C954" s="13"/>
      <c r="F954" s="177"/>
      <c r="I954" s="177"/>
      <c r="J954" s="42"/>
    </row>
    <row r="955" spans="1:10" ht="15.75" customHeight="1" x14ac:dyDescent="0.3">
      <c r="A955" s="13"/>
      <c r="B955" s="13"/>
      <c r="C955" s="13"/>
      <c r="F955" s="177"/>
      <c r="I955" s="177"/>
      <c r="J955" s="42"/>
    </row>
    <row r="956" spans="1:10" ht="15.75" customHeight="1" x14ac:dyDescent="0.3">
      <c r="A956" s="13"/>
      <c r="B956" s="13"/>
      <c r="C956" s="13"/>
      <c r="F956" s="177"/>
      <c r="I956" s="177"/>
      <c r="J956" s="42"/>
    </row>
    <row r="957" spans="1:10" ht="15.75" customHeight="1" x14ac:dyDescent="0.3">
      <c r="A957" s="13"/>
      <c r="B957" s="13"/>
      <c r="C957" s="13"/>
      <c r="F957" s="177"/>
      <c r="I957" s="177"/>
      <c r="J957" s="42"/>
    </row>
    <row r="958" spans="1:10" ht="15.75" customHeight="1" x14ac:dyDescent="0.3">
      <c r="A958" s="13"/>
      <c r="B958" s="13"/>
      <c r="C958" s="13"/>
      <c r="F958" s="177"/>
      <c r="I958" s="177"/>
      <c r="J958" s="42"/>
    </row>
    <row r="959" spans="1:10" ht="15.75" customHeight="1" x14ac:dyDescent="0.3">
      <c r="A959" s="13"/>
      <c r="B959" s="13"/>
      <c r="C959" s="13"/>
      <c r="F959" s="177"/>
      <c r="I959" s="177"/>
      <c r="J959" s="42"/>
    </row>
    <row r="960" spans="1:10" ht="15.75" customHeight="1" x14ac:dyDescent="0.3">
      <c r="A960" s="13"/>
      <c r="B960" s="13"/>
      <c r="C960" s="13"/>
      <c r="F960" s="177"/>
      <c r="I960" s="177"/>
      <c r="J960" s="42"/>
    </row>
    <row r="961" spans="1:10" ht="15.75" customHeight="1" x14ac:dyDescent="0.3">
      <c r="A961" s="13"/>
      <c r="B961" s="13"/>
      <c r="C961" s="13"/>
      <c r="F961" s="177"/>
      <c r="I961" s="177"/>
      <c r="J961" s="42"/>
    </row>
    <row r="962" spans="1:10" ht="15.75" customHeight="1" x14ac:dyDescent="0.3">
      <c r="A962" s="13"/>
      <c r="B962" s="13"/>
      <c r="C962" s="13"/>
      <c r="F962" s="177"/>
      <c r="I962" s="177"/>
      <c r="J962" s="42"/>
    </row>
    <row r="963" spans="1:10" ht="15.75" customHeight="1" x14ac:dyDescent="0.3">
      <c r="A963" s="13"/>
      <c r="B963" s="13"/>
      <c r="C963" s="13"/>
      <c r="F963" s="177"/>
      <c r="I963" s="177"/>
      <c r="J963" s="42"/>
    </row>
    <row r="964" spans="1:10" ht="15.75" customHeight="1" x14ac:dyDescent="0.3">
      <c r="A964" s="13"/>
      <c r="B964" s="13"/>
      <c r="C964" s="13"/>
      <c r="F964" s="177"/>
      <c r="I964" s="177"/>
      <c r="J964" s="42"/>
    </row>
    <row r="965" spans="1:10" ht="15.75" customHeight="1" x14ac:dyDescent="0.3">
      <c r="A965" s="13"/>
      <c r="B965" s="13"/>
      <c r="C965" s="13"/>
      <c r="F965" s="177"/>
      <c r="I965" s="177"/>
      <c r="J965" s="42"/>
    </row>
    <row r="966" spans="1:10" ht="15.75" customHeight="1" x14ac:dyDescent="0.3">
      <c r="A966" s="13"/>
      <c r="B966" s="13"/>
      <c r="C966" s="13"/>
      <c r="F966" s="177"/>
      <c r="I966" s="177"/>
      <c r="J966" s="42"/>
    </row>
    <row r="967" spans="1:10" ht="15.75" customHeight="1" x14ac:dyDescent="0.3">
      <c r="A967" s="13"/>
      <c r="B967" s="13"/>
      <c r="C967" s="13"/>
      <c r="F967" s="177"/>
      <c r="I967" s="177"/>
      <c r="J967" s="42"/>
    </row>
    <row r="968" spans="1:10" ht="15.75" customHeight="1" x14ac:dyDescent="0.3">
      <c r="A968" s="13"/>
      <c r="B968" s="13"/>
      <c r="C968" s="13"/>
      <c r="F968" s="177"/>
      <c r="I968" s="177"/>
      <c r="J968" s="42"/>
    </row>
    <row r="969" spans="1:10" ht="15.75" customHeight="1" x14ac:dyDescent="0.3">
      <c r="A969" s="13"/>
      <c r="B969" s="13"/>
      <c r="C969" s="13"/>
      <c r="F969" s="177"/>
      <c r="I969" s="177"/>
      <c r="J969" s="42"/>
    </row>
    <row r="970" spans="1:10" ht="15.75" customHeight="1" x14ac:dyDescent="0.3">
      <c r="A970" s="13"/>
      <c r="B970" s="13"/>
      <c r="C970" s="13"/>
      <c r="F970" s="177"/>
      <c r="I970" s="177"/>
      <c r="J970" s="42"/>
    </row>
    <row r="971" spans="1:10" ht="15.75" customHeight="1" x14ac:dyDescent="0.3">
      <c r="A971" s="13"/>
      <c r="B971" s="13"/>
      <c r="C971" s="13"/>
      <c r="F971" s="177"/>
      <c r="I971" s="177"/>
      <c r="J971" s="42"/>
    </row>
    <row r="972" spans="1:10" ht="15.75" customHeight="1" x14ac:dyDescent="0.3">
      <c r="A972" s="13"/>
      <c r="B972" s="13"/>
      <c r="C972" s="13"/>
      <c r="F972" s="177"/>
      <c r="I972" s="177"/>
      <c r="J972" s="42"/>
    </row>
    <row r="973" spans="1:10" ht="15.75" customHeight="1" x14ac:dyDescent="0.3">
      <c r="A973" s="13"/>
      <c r="B973" s="13"/>
      <c r="C973" s="13"/>
      <c r="F973" s="177"/>
      <c r="I973" s="177"/>
      <c r="J973" s="42"/>
    </row>
    <row r="974" spans="1:10" ht="15.75" customHeight="1" x14ac:dyDescent="0.3">
      <c r="A974" s="13"/>
      <c r="B974" s="13"/>
      <c r="C974" s="13"/>
      <c r="F974" s="177"/>
      <c r="I974" s="177"/>
      <c r="J974" s="42"/>
    </row>
    <row r="975" spans="1:10" ht="15.75" customHeight="1" x14ac:dyDescent="0.3">
      <c r="A975" s="13"/>
      <c r="B975" s="13"/>
      <c r="C975" s="13"/>
      <c r="F975" s="177"/>
      <c r="I975" s="177"/>
      <c r="J975" s="42"/>
    </row>
    <row r="976" spans="1:10" ht="15.75" customHeight="1" x14ac:dyDescent="0.3">
      <c r="A976" s="13"/>
      <c r="B976" s="13"/>
      <c r="C976" s="13"/>
      <c r="F976" s="177"/>
      <c r="I976" s="177"/>
      <c r="J976" s="42"/>
    </row>
    <row r="977" spans="1:10" ht="15.75" customHeight="1" x14ac:dyDescent="0.3">
      <c r="A977" s="13"/>
      <c r="B977" s="13"/>
      <c r="C977" s="13"/>
      <c r="F977" s="177"/>
      <c r="I977" s="177"/>
      <c r="J977" s="42"/>
    </row>
    <row r="978" spans="1:10" ht="15.75" customHeight="1" x14ac:dyDescent="0.3">
      <c r="A978" s="13"/>
      <c r="B978" s="13"/>
      <c r="C978" s="13"/>
      <c r="F978" s="177"/>
      <c r="I978" s="177"/>
      <c r="J978" s="42"/>
    </row>
    <row r="979" spans="1:10" ht="15.75" customHeight="1" x14ac:dyDescent="0.3">
      <c r="A979" s="13"/>
      <c r="B979" s="13"/>
      <c r="C979" s="13"/>
      <c r="F979" s="177"/>
      <c r="I979" s="177"/>
      <c r="J979" s="42"/>
    </row>
    <row r="980" spans="1:10" ht="15.75" customHeight="1" x14ac:dyDescent="0.3">
      <c r="A980" s="13"/>
      <c r="B980" s="13"/>
      <c r="C980" s="13"/>
      <c r="F980" s="177"/>
      <c r="I980" s="177"/>
      <c r="J980" s="42"/>
    </row>
    <row r="981" spans="1:10" ht="15.75" customHeight="1" x14ac:dyDescent="0.3">
      <c r="A981" s="13"/>
      <c r="B981" s="13"/>
      <c r="C981" s="13"/>
      <c r="F981" s="177"/>
      <c r="I981" s="177"/>
      <c r="J981" s="42"/>
    </row>
    <row r="982" spans="1:10" ht="15.75" customHeight="1" x14ac:dyDescent="0.3">
      <c r="A982" s="13"/>
      <c r="B982" s="13"/>
      <c r="C982" s="13"/>
      <c r="F982" s="177"/>
      <c r="I982" s="177"/>
      <c r="J982" s="42"/>
    </row>
    <row r="983" spans="1:10" ht="15.75" customHeight="1" x14ac:dyDescent="0.3">
      <c r="A983" s="13"/>
      <c r="B983" s="13"/>
      <c r="C983" s="13"/>
      <c r="F983" s="177"/>
      <c r="I983" s="177"/>
      <c r="J983" s="42"/>
    </row>
    <row r="984" spans="1:10" ht="15.75" customHeight="1" x14ac:dyDescent="0.3">
      <c r="A984" s="13"/>
      <c r="B984" s="13"/>
      <c r="C984" s="13"/>
      <c r="F984" s="177"/>
      <c r="I984" s="177"/>
      <c r="J984" s="42"/>
    </row>
    <row r="985" spans="1:10" ht="15.75" customHeight="1" x14ac:dyDescent="0.3">
      <c r="A985" s="13"/>
      <c r="B985" s="13"/>
      <c r="C985" s="13"/>
      <c r="F985" s="177"/>
      <c r="I985" s="177"/>
      <c r="J985" s="42"/>
    </row>
    <row r="986" spans="1:10" ht="15.75" customHeight="1" x14ac:dyDescent="0.3">
      <c r="A986" s="13"/>
      <c r="B986" s="13"/>
      <c r="C986" s="13"/>
      <c r="F986" s="177"/>
      <c r="I986" s="177"/>
      <c r="J986" s="42"/>
    </row>
    <row r="987" spans="1:10" ht="15.75" customHeight="1" x14ac:dyDescent="0.3">
      <c r="A987" s="13"/>
      <c r="B987" s="13"/>
      <c r="C987" s="13"/>
      <c r="F987" s="177"/>
      <c r="I987" s="177"/>
      <c r="J987" s="42"/>
    </row>
    <row r="988" spans="1:10" ht="15.75" customHeight="1" x14ac:dyDescent="0.3">
      <c r="A988" s="13"/>
      <c r="B988" s="13"/>
      <c r="C988" s="13"/>
      <c r="F988" s="177"/>
      <c r="I988" s="177"/>
      <c r="J988" s="42"/>
    </row>
    <row r="989" spans="1:10" ht="15.75" customHeight="1" x14ac:dyDescent="0.3">
      <c r="A989" s="13"/>
      <c r="B989" s="13"/>
      <c r="C989" s="13"/>
      <c r="F989" s="177"/>
      <c r="I989" s="177"/>
      <c r="J989" s="42"/>
    </row>
    <row r="990" spans="1:10" ht="15.75" customHeight="1" x14ac:dyDescent="0.3">
      <c r="A990" s="13"/>
      <c r="B990" s="13"/>
      <c r="C990" s="13"/>
      <c r="F990" s="177"/>
      <c r="I990" s="177"/>
      <c r="J990" s="42"/>
    </row>
    <row r="991" spans="1:10" ht="15.75" customHeight="1" x14ac:dyDescent="0.3">
      <c r="A991" s="13"/>
      <c r="B991" s="13"/>
      <c r="C991" s="13"/>
      <c r="F991" s="177"/>
      <c r="I991" s="177"/>
      <c r="J991" s="42"/>
    </row>
    <row r="992" spans="1:10" ht="15.75" customHeight="1" x14ac:dyDescent="0.3">
      <c r="A992" s="13"/>
      <c r="B992" s="13"/>
      <c r="C992" s="13"/>
      <c r="F992" s="177"/>
      <c r="I992" s="177"/>
      <c r="J992" s="42"/>
    </row>
    <row r="993" spans="1:10" ht="15.75" customHeight="1" x14ac:dyDescent="0.3">
      <c r="A993" s="13"/>
      <c r="B993" s="13"/>
      <c r="C993" s="13"/>
      <c r="F993" s="177"/>
      <c r="I993" s="177"/>
      <c r="J993" s="42"/>
    </row>
    <row r="994" spans="1:10" ht="15.75" customHeight="1" x14ac:dyDescent="0.3">
      <c r="A994" s="13"/>
      <c r="B994" s="13"/>
      <c r="C994" s="13"/>
      <c r="F994" s="177"/>
      <c r="I994" s="177"/>
      <c r="J994" s="42"/>
    </row>
    <row r="995" spans="1:10" ht="15.75" customHeight="1" x14ac:dyDescent="0.3">
      <c r="A995" s="13"/>
      <c r="B995" s="13"/>
      <c r="C995" s="13"/>
      <c r="F995" s="177"/>
      <c r="I995" s="177"/>
      <c r="J995" s="42"/>
    </row>
    <row r="996" spans="1:10" ht="15.75" customHeight="1" x14ac:dyDescent="0.3">
      <c r="A996" s="13"/>
      <c r="B996" s="13"/>
      <c r="C996" s="13"/>
      <c r="F996" s="177"/>
      <c r="I996" s="177"/>
      <c r="J996" s="42"/>
    </row>
    <row r="997" spans="1:10" ht="15.75" customHeight="1" x14ac:dyDescent="0.3">
      <c r="A997" s="13"/>
      <c r="B997" s="13"/>
      <c r="C997" s="13"/>
      <c r="F997" s="177"/>
      <c r="I997" s="177"/>
      <c r="J997" s="42"/>
    </row>
    <row r="998" spans="1:10" ht="15.75" customHeight="1" x14ac:dyDescent="0.3">
      <c r="A998" s="13"/>
      <c r="B998" s="13"/>
      <c r="C998" s="13"/>
      <c r="F998" s="177"/>
      <c r="I998" s="177"/>
      <c r="J998" s="42"/>
    </row>
    <row r="999" spans="1:10" ht="15.75" customHeight="1" x14ac:dyDescent="0.3">
      <c r="A999" s="13"/>
      <c r="B999" s="13"/>
      <c r="C999" s="13"/>
      <c r="F999" s="177"/>
      <c r="I999" s="177"/>
      <c r="J999" s="42"/>
    </row>
    <row r="1000" spans="1:10" ht="15.75" customHeight="1" x14ac:dyDescent="0.3">
      <c r="A1000" s="13"/>
      <c r="B1000" s="13"/>
      <c r="C1000" s="13"/>
      <c r="F1000" s="177"/>
      <c r="I1000" s="177"/>
      <c r="J1000" s="42"/>
    </row>
    <row r="1001" spans="1:10" ht="15.75" customHeight="1" x14ac:dyDescent="0.3">
      <c r="A1001" s="13"/>
      <c r="B1001" s="13"/>
      <c r="C1001" s="13"/>
      <c r="F1001" s="177"/>
      <c r="I1001" s="177"/>
      <c r="J1001" s="42"/>
    </row>
    <row r="1002" spans="1:10" ht="15.75" customHeight="1" x14ac:dyDescent="0.3">
      <c r="A1002" s="13"/>
      <c r="B1002" s="13"/>
      <c r="C1002" s="13"/>
      <c r="F1002" s="177"/>
      <c r="I1002" s="177"/>
      <c r="J1002" s="42"/>
    </row>
    <row r="1003" spans="1:10" ht="15.75" customHeight="1" x14ac:dyDescent="0.3">
      <c r="A1003" s="13"/>
      <c r="B1003" s="13"/>
      <c r="C1003" s="13"/>
      <c r="F1003" s="177"/>
      <c r="I1003" s="177"/>
      <c r="J1003" s="42"/>
    </row>
    <row r="1004" spans="1:10" ht="15.75" customHeight="1" x14ac:dyDescent="0.3">
      <c r="A1004" s="13"/>
      <c r="B1004" s="13"/>
      <c r="C1004" s="13"/>
      <c r="F1004" s="177"/>
      <c r="I1004" s="177"/>
      <c r="J1004" s="42"/>
    </row>
    <row r="1005" spans="1:10" ht="15.75" customHeight="1" x14ac:dyDescent="0.3">
      <c r="A1005" s="13"/>
      <c r="B1005" s="13"/>
      <c r="C1005" s="13"/>
      <c r="F1005" s="177"/>
      <c r="I1005" s="177"/>
      <c r="J1005" s="42"/>
    </row>
    <row r="1006" spans="1:10" ht="15.75" customHeight="1" x14ac:dyDescent="0.3">
      <c r="A1006" s="13"/>
      <c r="B1006" s="13"/>
      <c r="C1006" s="13"/>
      <c r="F1006" s="177"/>
      <c r="I1006" s="177"/>
      <c r="J1006" s="42"/>
    </row>
    <row r="1007" spans="1:10" ht="15.75" customHeight="1" x14ac:dyDescent="0.3">
      <c r="A1007" s="13"/>
      <c r="B1007" s="13"/>
      <c r="C1007" s="13"/>
      <c r="F1007" s="177"/>
      <c r="I1007" s="177"/>
      <c r="J1007" s="42"/>
    </row>
    <row r="1008" spans="1:10" ht="15.75" customHeight="1" x14ac:dyDescent="0.3">
      <c r="A1008" s="13"/>
      <c r="B1008" s="13"/>
      <c r="C1008" s="13"/>
      <c r="F1008" s="177"/>
      <c r="I1008" s="177"/>
      <c r="J1008" s="42"/>
    </row>
    <row r="1009" spans="1:10" ht="15.75" customHeight="1" x14ac:dyDescent="0.3">
      <c r="A1009" s="13"/>
      <c r="B1009" s="13"/>
      <c r="C1009" s="13"/>
      <c r="F1009" s="177"/>
      <c r="I1009" s="177"/>
      <c r="J1009" s="42"/>
    </row>
    <row r="1010" spans="1:10" ht="15.75" customHeight="1" x14ac:dyDescent="0.3">
      <c r="A1010" s="13"/>
      <c r="B1010" s="13"/>
      <c r="C1010" s="13"/>
      <c r="F1010" s="177"/>
      <c r="I1010" s="177"/>
      <c r="J1010" s="42"/>
    </row>
    <row r="1011" spans="1:10" ht="15.75" customHeight="1" x14ac:dyDescent="0.3">
      <c r="A1011" s="13"/>
      <c r="B1011" s="13"/>
      <c r="C1011" s="13"/>
      <c r="F1011" s="177"/>
      <c r="I1011" s="177"/>
      <c r="J1011" s="42"/>
    </row>
    <row r="1012" spans="1:10" ht="15.75" customHeight="1" x14ac:dyDescent="0.3">
      <c r="A1012" s="13"/>
      <c r="B1012" s="13"/>
      <c r="C1012" s="13"/>
      <c r="F1012" s="177"/>
      <c r="I1012" s="177"/>
      <c r="J1012" s="42"/>
    </row>
    <row r="1013" spans="1:10" ht="15.75" customHeight="1" x14ac:dyDescent="0.3">
      <c r="A1013" s="13"/>
      <c r="B1013" s="13"/>
      <c r="C1013" s="13"/>
      <c r="F1013" s="177"/>
      <c r="I1013" s="177"/>
      <c r="J1013" s="42"/>
    </row>
    <row r="1014" spans="1:10" ht="15.75" customHeight="1" x14ac:dyDescent="0.3">
      <c r="A1014" s="13"/>
      <c r="B1014" s="13"/>
      <c r="C1014" s="13"/>
      <c r="F1014" s="177"/>
      <c r="I1014" s="177"/>
      <c r="J1014" s="42"/>
    </row>
    <row r="1015" spans="1:10" ht="15.75" customHeight="1" x14ac:dyDescent="0.3">
      <c r="A1015" s="13"/>
      <c r="B1015" s="13"/>
      <c r="C1015" s="13"/>
      <c r="F1015" s="177"/>
      <c r="I1015" s="177"/>
      <c r="J1015" s="42"/>
    </row>
    <row r="1016" spans="1:10" ht="15.75" customHeight="1" x14ac:dyDescent="0.3">
      <c r="A1016" s="13"/>
      <c r="B1016" s="13"/>
      <c r="C1016" s="13"/>
      <c r="F1016" s="177"/>
      <c r="I1016" s="177"/>
      <c r="J1016" s="42"/>
    </row>
    <row r="1017" spans="1:10" ht="15.75" customHeight="1" x14ac:dyDescent="0.3">
      <c r="A1017" s="13"/>
      <c r="B1017" s="13"/>
      <c r="C1017" s="13"/>
      <c r="F1017" s="177"/>
      <c r="I1017" s="177"/>
      <c r="J1017" s="42"/>
    </row>
    <row r="1018" spans="1:10" ht="15.75" customHeight="1" x14ac:dyDescent="0.3">
      <c r="A1018" s="13"/>
      <c r="B1018" s="13"/>
      <c r="C1018" s="13"/>
      <c r="F1018" s="177"/>
      <c r="I1018" s="177"/>
      <c r="J1018" s="42"/>
    </row>
    <row r="1019" spans="1:10" ht="15.75" customHeight="1" x14ac:dyDescent="0.3">
      <c r="A1019" s="13"/>
      <c r="B1019" s="13"/>
      <c r="C1019" s="13"/>
      <c r="F1019" s="177"/>
      <c r="I1019" s="177"/>
      <c r="J1019" s="42"/>
    </row>
    <row r="1020" spans="1:10" ht="15.75" customHeight="1" x14ac:dyDescent="0.3">
      <c r="A1020" s="13"/>
      <c r="B1020" s="13"/>
      <c r="C1020" s="13"/>
      <c r="F1020" s="177"/>
      <c r="I1020" s="177"/>
      <c r="J1020" s="42"/>
    </row>
    <row r="1021" spans="1:10" ht="15.75" customHeight="1" x14ac:dyDescent="0.3">
      <c r="A1021" s="13"/>
      <c r="B1021" s="13"/>
      <c r="C1021" s="13"/>
      <c r="F1021" s="177"/>
      <c r="I1021" s="177"/>
      <c r="J1021" s="42"/>
    </row>
    <row r="1022" spans="1:10" ht="15.75" customHeight="1" x14ac:dyDescent="0.3">
      <c r="A1022" s="13"/>
      <c r="B1022" s="13"/>
      <c r="C1022" s="13"/>
      <c r="F1022" s="177"/>
      <c r="I1022" s="177"/>
      <c r="J1022" s="42"/>
    </row>
    <row r="1023" spans="1:10" ht="15.75" customHeight="1" x14ac:dyDescent="0.3">
      <c r="A1023" s="13"/>
      <c r="B1023" s="13"/>
      <c r="C1023" s="13"/>
      <c r="F1023" s="177"/>
      <c r="I1023" s="177"/>
      <c r="J1023" s="42"/>
    </row>
    <row r="1024" spans="1:10" ht="12.45" x14ac:dyDescent="0.3">
      <c r="A1024" s="13"/>
      <c r="B1024" s="13"/>
      <c r="C1024" s="13"/>
      <c r="F1024" s="177"/>
      <c r="I1024" s="177"/>
      <c r="J1024" s="42"/>
    </row>
    <row r="1025" spans="1:10" ht="12.45" x14ac:dyDescent="0.3">
      <c r="A1025" s="13"/>
      <c r="B1025" s="13"/>
      <c r="C1025" s="13"/>
      <c r="F1025" s="177"/>
      <c r="I1025" s="177"/>
      <c r="J1025" s="42"/>
    </row>
    <row r="1026" spans="1:10" ht="12.45" x14ac:dyDescent="0.3">
      <c r="A1026" s="13"/>
      <c r="B1026" s="13"/>
      <c r="C1026" s="13"/>
      <c r="F1026" s="177"/>
      <c r="I1026" s="177"/>
      <c r="J1026" s="4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1003"/>
  <sheetViews>
    <sheetView showGridLines="0" zoomScale="85" zoomScaleNormal="85" workbookViewId="0">
      <pane xSplit="9" topLeftCell="J1" activePane="topRight" state="frozen"/>
      <selection activeCell="G28" sqref="G28"/>
      <selection pane="topRight" activeCell="L35" sqref="L35"/>
    </sheetView>
  </sheetViews>
  <sheetFormatPr defaultColWidth="0" defaultRowHeight="15" customHeight="1" outlineLevelRow="1" x14ac:dyDescent="0.3"/>
  <cols>
    <col min="1" max="3" width="1.07421875" customWidth="1"/>
    <col min="4" max="4" width="55.61328125" customWidth="1"/>
    <col min="5" max="6" width="20.3046875" customWidth="1"/>
    <col min="7" max="7" width="22.3046875" customWidth="1"/>
    <col min="8" max="9" width="20.3046875" customWidth="1"/>
    <col min="10" max="10" width="1" customWidth="1"/>
    <col min="11" max="20" width="14" customWidth="1"/>
    <col min="21" max="46" width="10.765625" customWidth="1"/>
    <col min="47" max="66" width="10.765625" hidden="1" customWidth="1"/>
    <col min="67" max="16384" width="14.4609375" hidden="1"/>
  </cols>
  <sheetData>
    <row r="1" spans="1:66" ht="15.75" customHeight="1" x14ac:dyDescent="0.3">
      <c r="A1" s="14"/>
      <c r="B1" s="14"/>
      <c r="C1" s="14"/>
      <c r="D1" s="1" t="s">
        <v>293</v>
      </c>
      <c r="E1" s="4"/>
      <c r="F1" s="74"/>
      <c r="G1" s="4"/>
      <c r="H1" s="4"/>
      <c r="I1" s="2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ht="15.75" customHeight="1" x14ac:dyDescent="0.3">
      <c r="A2" s="13"/>
      <c r="B2" s="13"/>
      <c r="C2" s="13"/>
      <c r="D2" s="16"/>
      <c r="E2" s="16"/>
      <c r="F2" s="77"/>
      <c r="G2" s="16"/>
      <c r="H2" s="17"/>
      <c r="I2" s="18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pans="1:66" ht="18" customHeight="1" x14ac:dyDescent="0.3">
      <c r="A3" s="19"/>
      <c r="B3" s="20"/>
      <c r="C3" s="20"/>
      <c r="D3" s="21" t="s">
        <v>11</v>
      </c>
      <c r="E3" s="22"/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1:66" s="226" customFormat="1" ht="15.75" customHeight="1" x14ac:dyDescent="0.3">
      <c r="A4" s="222"/>
      <c r="B4" s="222"/>
      <c r="C4" s="222"/>
      <c r="D4" s="345"/>
      <c r="E4" s="346" t="s">
        <v>12</v>
      </c>
      <c r="F4" s="346" t="s">
        <v>13</v>
      </c>
      <c r="G4" s="346" t="s">
        <v>14</v>
      </c>
      <c r="H4" s="346" t="s">
        <v>15</v>
      </c>
      <c r="I4" s="347" t="s">
        <v>16</v>
      </c>
      <c r="J4" s="348"/>
      <c r="K4" s="349">
        <f t="shared" ref="K4:AT4" si="0" xml:space="preserve"> YEAR(K5)</f>
        <v>2029</v>
      </c>
      <c r="L4" s="349">
        <f t="shared" si="0"/>
        <v>2029</v>
      </c>
      <c r="M4" s="349">
        <f t="shared" si="0"/>
        <v>2029</v>
      </c>
      <c r="N4" s="349">
        <f t="shared" si="0"/>
        <v>2029</v>
      </c>
      <c r="O4" s="349">
        <f t="shared" si="0"/>
        <v>2029</v>
      </c>
      <c r="P4" s="349">
        <f t="shared" si="0"/>
        <v>2029</v>
      </c>
      <c r="Q4" s="349">
        <f t="shared" si="0"/>
        <v>2029</v>
      </c>
      <c r="R4" s="349">
        <f t="shared" si="0"/>
        <v>2029</v>
      </c>
      <c r="S4" s="349">
        <f t="shared" si="0"/>
        <v>2029</v>
      </c>
      <c r="T4" s="349">
        <f t="shared" si="0"/>
        <v>2029</v>
      </c>
      <c r="U4" s="349">
        <f t="shared" si="0"/>
        <v>2029</v>
      </c>
      <c r="V4" s="349">
        <f t="shared" si="0"/>
        <v>2029</v>
      </c>
      <c r="W4" s="349">
        <f t="shared" si="0"/>
        <v>2030</v>
      </c>
      <c r="X4" s="349">
        <f t="shared" si="0"/>
        <v>2030</v>
      </c>
      <c r="Y4" s="349">
        <f t="shared" si="0"/>
        <v>2030</v>
      </c>
      <c r="Z4" s="349">
        <f t="shared" si="0"/>
        <v>2030</v>
      </c>
      <c r="AA4" s="349">
        <f t="shared" si="0"/>
        <v>2030</v>
      </c>
      <c r="AB4" s="349">
        <f t="shared" si="0"/>
        <v>2030</v>
      </c>
      <c r="AC4" s="349">
        <f t="shared" si="0"/>
        <v>2030</v>
      </c>
      <c r="AD4" s="349">
        <f t="shared" si="0"/>
        <v>2030</v>
      </c>
      <c r="AE4" s="349">
        <f t="shared" si="0"/>
        <v>2030</v>
      </c>
      <c r="AF4" s="349">
        <f t="shared" si="0"/>
        <v>2030</v>
      </c>
      <c r="AG4" s="349">
        <f t="shared" si="0"/>
        <v>2030</v>
      </c>
      <c r="AH4" s="349">
        <f t="shared" si="0"/>
        <v>2030</v>
      </c>
      <c r="AI4" s="349">
        <f t="shared" si="0"/>
        <v>2031</v>
      </c>
      <c r="AJ4" s="349">
        <f t="shared" si="0"/>
        <v>2031</v>
      </c>
      <c r="AK4" s="349">
        <f t="shared" si="0"/>
        <v>2031</v>
      </c>
      <c r="AL4" s="349">
        <f t="shared" si="0"/>
        <v>2031</v>
      </c>
      <c r="AM4" s="349">
        <f t="shared" si="0"/>
        <v>2031</v>
      </c>
      <c r="AN4" s="349">
        <f t="shared" si="0"/>
        <v>2031</v>
      </c>
      <c r="AO4" s="349">
        <f t="shared" si="0"/>
        <v>2031</v>
      </c>
      <c r="AP4" s="349">
        <f t="shared" si="0"/>
        <v>2031</v>
      </c>
      <c r="AQ4" s="349">
        <f t="shared" si="0"/>
        <v>2031</v>
      </c>
      <c r="AR4" s="349">
        <f t="shared" si="0"/>
        <v>2031</v>
      </c>
      <c r="AS4" s="349">
        <f t="shared" si="0"/>
        <v>2031</v>
      </c>
      <c r="AT4" s="349">
        <f t="shared" si="0"/>
        <v>2031</v>
      </c>
      <c r="AU4" s="349"/>
      <c r="AV4" s="345"/>
      <c r="AW4" s="345"/>
      <c r="AX4" s="345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</row>
    <row r="5" spans="1:66" ht="15.75" customHeight="1" x14ac:dyDescent="0.3">
      <c r="A5" s="13"/>
      <c r="B5" s="13"/>
      <c r="C5" s="13"/>
      <c r="D5" s="9" t="s">
        <v>17</v>
      </c>
      <c r="E5" s="8" t="s">
        <v>18</v>
      </c>
      <c r="F5" s="50"/>
      <c r="G5" s="30"/>
      <c r="H5" s="8"/>
      <c r="I5" s="31"/>
      <c r="J5" s="31"/>
      <c r="K5" s="323">
        <f xml:space="preserve"> I6 + 1</f>
        <v>47119</v>
      </c>
      <c r="L5" s="323">
        <f t="shared" ref="L5:AT5" si="1" xml:space="preserve"> K6 + 1</f>
        <v>47150</v>
      </c>
      <c r="M5" s="323">
        <f t="shared" si="1"/>
        <v>47178</v>
      </c>
      <c r="N5" s="323">
        <f t="shared" si="1"/>
        <v>47209</v>
      </c>
      <c r="O5" s="323">
        <f t="shared" si="1"/>
        <v>47239</v>
      </c>
      <c r="P5" s="323">
        <f t="shared" si="1"/>
        <v>47270</v>
      </c>
      <c r="Q5" s="323">
        <f t="shared" si="1"/>
        <v>47300</v>
      </c>
      <c r="R5" s="323">
        <f t="shared" si="1"/>
        <v>47331</v>
      </c>
      <c r="S5" s="323">
        <f t="shared" si="1"/>
        <v>47362</v>
      </c>
      <c r="T5" s="323">
        <f t="shared" si="1"/>
        <v>47392</v>
      </c>
      <c r="U5" s="323">
        <f t="shared" si="1"/>
        <v>47423</v>
      </c>
      <c r="V5" s="323">
        <f t="shared" si="1"/>
        <v>47453</v>
      </c>
      <c r="W5" s="323">
        <f t="shared" si="1"/>
        <v>47484</v>
      </c>
      <c r="X5" s="323">
        <f t="shared" si="1"/>
        <v>47515</v>
      </c>
      <c r="Y5" s="323">
        <f t="shared" si="1"/>
        <v>47543</v>
      </c>
      <c r="Z5" s="323">
        <f t="shared" si="1"/>
        <v>47574</v>
      </c>
      <c r="AA5" s="323">
        <f t="shared" si="1"/>
        <v>47604</v>
      </c>
      <c r="AB5" s="323">
        <f t="shared" si="1"/>
        <v>47635</v>
      </c>
      <c r="AC5" s="323">
        <f t="shared" si="1"/>
        <v>47665</v>
      </c>
      <c r="AD5" s="323">
        <f t="shared" si="1"/>
        <v>47696</v>
      </c>
      <c r="AE5" s="323">
        <f t="shared" si="1"/>
        <v>47727</v>
      </c>
      <c r="AF5" s="323">
        <f t="shared" si="1"/>
        <v>47757</v>
      </c>
      <c r="AG5" s="323">
        <f t="shared" si="1"/>
        <v>47788</v>
      </c>
      <c r="AH5" s="323">
        <f t="shared" si="1"/>
        <v>47818</v>
      </c>
      <c r="AI5" s="323">
        <f t="shared" si="1"/>
        <v>47849</v>
      </c>
      <c r="AJ5" s="323">
        <f t="shared" si="1"/>
        <v>47880</v>
      </c>
      <c r="AK5" s="323">
        <f t="shared" si="1"/>
        <v>47908</v>
      </c>
      <c r="AL5" s="323">
        <f t="shared" si="1"/>
        <v>47939</v>
      </c>
      <c r="AM5" s="323">
        <f t="shared" si="1"/>
        <v>47969</v>
      </c>
      <c r="AN5" s="323">
        <f t="shared" si="1"/>
        <v>48000</v>
      </c>
      <c r="AO5" s="323">
        <f t="shared" si="1"/>
        <v>48030</v>
      </c>
      <c r="AP5" s="323">
        <f t="shared" si="1"/>
        <v>48061</v>
      </c>
      <c r="AQ5" s="323">
        <f t="shared" si="1"/>
        <v>48092</v>
      </c>
      <c r="AR5" s="323">
        <f t="shared" si="1"/>
        <v>48122</v>
      </c>
      <c r="AS5" s="323">
        <f t="shared" si="1"/>
        <v>48153</v>
      </c>
      <c r="AT5" s="323">
        <f t="shared" si="1"/>
        <v>48183</v>
      </c>
      <c r="AU5" s="32"/>
      <c r="AV5" s="9"/>
      <c r="AW5" s="9"/>
      <c r="AX5" s="9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</row>
    <row r="6" spans="1:66" ht="15.75" customHeight="1" x14ac:dyDescent="0.3">
      <c r="A6" s="13"/>
      <c r="B6" s="13"/>
      <c r="C6" s="13"/>
      <c r="D6" s="9" t="s">
        <v>20</v>
      </c>
      <c r="E6" s="8" t="s">
        <v>18</v>
      </c>
      <c r="F6" s="50"/>
      <c r="G6" s="30"/>
      <c r="H6" s="8"/>
      <c r="I6" s="86">
        <f xml:space="preserve"> 'Assumptions and inputs'!I8</f>
        <v>47118</v>
      </c>
      <c r="J6" s="33"/>
      <c r="K6" s="323">
        <f t="shared" ref="K6:AT6" si="2" xml:space="preserve"> EOMONTH(K5, 0)</f>
        <v>47149</v>
      </c>
      <c r="L6" s="323">
        <f t="shared" si="2"/>
        <v>47177</v>
      </c>
      <c r="M6" s="323">
        <f t="shared" si="2"/>
        <v>47208</v>
      </c>
      <c r="N6" s="323">
        <f t="shared" si="2"/>
        <v>47238</v>
      </c>
      <c r="O6" s="323">
        <f t="shared" si="2"/>
        <v>47269</v>
      </c>
      <c r="P6" s="323">
        <f t="shared" si="2"/>
        <v>47299</v>
      </c>
      <c r="Q6" s="323">
        <f t="shared" si="2"/>
        <v>47330</v>
      </c>
      <c r="R6" s="323">
        <f t="shared" si="2"/>
        <v>47361</v>
      </c>
      <c r="S6" s="323">
        <f t="shared" si="2"/>
        <v>47391</v>
      </c>
      <c r="T6" s="323">
        <f t="shared" si="2"/>
        <v>47422</v>
      </c>
      <c r="U6" s="323">
        <f t="shared" si="2"/>
        <v>47452</v>
      </c>
      <c r="V6" s="323">
        <f t="shared" si="2"/>
        <v>47483</v>
      </c>
      <c r="W6" s="323">
        <f t="shared" si="2"/>
        <v>47514</v>
      </c>
      <c r="X6" s="323">
        <f t="shared" si="2"/>
        <v>47542</v>
      </c>
      <c r="Y6" s="323">
        <f t="shared" si="2"/>
        <v>47573</v>
      </c>
      <c r="Z6" s="323">
        <f t="shared" si="2"/>
        <v>47603</v>
      </c>
      <c r="AA6" s="323">
        <f t="shared" si="2"/>
        <v>47634</v>
      </c>
      <c r="AB6" s="323">
        <f t="shared" si="2"/>
        <v>47664</v>
      </c>
      <c r="AC6" s="323">
        <f t="shared" si="2"/>
        <v>47695</v>
      </c>
      <c r="AD6" s="323">
        <f t="shared" si="2"/>
        <v>47726</v>
      </c>
      <c r="AE6" s="323">
        <f t="shared" si="2"/>
        <v>47756</v>
      </c>
      <c r="AF6" s="323">
        <f t="shared" si="2"/>
        <v>47787</v>
      </c>
      <c r="AG6" s="323">
        <f t="shared" si="2"/>
        <v>47817</v>
      </c>
      <c r="AH6" s="323">
        <f t="shared" si="2"/>
        <v>47848</v>
      </c>
      <c r="AI6" s="323">
        <f t="shared" si="2"/>
        <v>47879</v>
      </c>
      <c r="AJ6" s="323">
        <f t="shared" si="2"/>
        <v>47907</v>
      </c>
      <c r="AK6" s="323">
        <f t="shared" si="2"/>
        <v>47938</v>
      </c>
      <c r="AL6" s="323">
        <f t="shared" si="2"/>
        <v>47968</v>
      </c>
      <c r="AM6" s="323">
        <f t="shared" si="2"/>
        <v>47999</v>
      </c>
      <c r="AN6" s="323">
        <f t="shared" si="2"/>
        <v>48029</v>
      </c>
      <c r="AO6" s="323">
        <f t="shared" si="2"/>
        <v>48060</v>
      </c>
      <c r="AP6" s="323">
        <f t="shared" si="2"/>
        <v>48091</v>
      </c>
      <c r="AQ6" s="323">
        <f t="shared" si="2"/>
        <v>48121</v>
      </c>
      <c r="AR6" s="323">
        <f t="shared" si="2"/>
        <v>48152</v>
      </c>
      <c r="AS6" s="323">
        <f t="shared" si="2"/>
        <v>48182</v>
      </c>
      <c r="AT6" s="323">
        <f t="shared" si="2"/>
        <v>48213</v>
      </c>
      <c r="AU6" s="32"/>
      <c r="AV6" s="9"/>
      <c r="AW6" s="9"/>
      <c r="AX6" s="9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</row>
    <row r="7" spans="1:66" ht="15.75" customHeight="1" x14ac:dyDescent="0.3">
      <c r="A7" s="13"/>
      <c r="B7" s="13"/>
      <c r="C7" s="13"/>
      <c r="D7" s="9" t="s">
        <v>21</v>
      </c>
      <c r="E7" s="8"/>
      <c r="F7" s="50"/>
      <c r="G7" s="30"/>
      <c r="H7" s="8"/>
      <c r="I7" s="42">
        <f xml:space="preserve"> 'Assumptions and inputs'!I9</f>
        <v>0</v>
      </c>
      <c r="J7" s="34"/>
      <c r="K7" s="337">
        <f xml:space="preserve"> I7 + 1</f>
        <v>1</v>
      </c>
      <c r="L7" s="337">
        <f t="shared" ref="L7:AT7" si="3" xml:space="preserve"> K7 + 1</f>
        <v>2</v>
      </c>
      <c r="M7" s="337">
        <f t="shared" si="3"/>
        <v>3</v>
      </c>
      <c r="N7" s="337">
        <f t="shared" si="3"/>
        <v>4</v>
      </c>
      <c r="O7" s="90">
        <f t="shared" si="3"/>
        <v>5</v>
      </c>
      <c r="P7" s="90">
        <f t="shared" si="3"/>
        <v>6</v>
      </c>
      <c r="Q7" s="90">
        <f t="shared" si="3"/>
        <v>7</v>
      </c>
      <c r="R7" s="90">
        <f t="shared" si="3"/>
        <v>8</v>
      </c>
      <c r="S7" s="90">
        <f t="shared" si="3"/>
        <v>9</v>
      </c>
      <c r="T7" s="90">
        <f t="shared" si="3"/>
        <v>10</v>
      </c>
      <c r="U7" s="90">
        <f t="shared" si="3"/>
        <v>11</v>
      </c>
      <c r="V7" s="90">
        <f t="shared" si="3"/>
        <v>12</v>
      </c>
      <c r="W7" s="90">
        <f t="shared" si="3"/>
        <v>13</v>
      </c>
      <c r="X7" s="90">
        <f t="shared" si="3"/>
        <v>14</v>
      </c>
      <c r="Y7" s="90">
        <f t="shared" si="3"/>
        <v>15</v>
      </c>
      <c r="Z7" s="90">
        <f t="shared" si="3"/>
        <v>16</v>
      </c>
      <c r="AA7" s="90">
        <f t="shared" si="3"/>
        <v>17</v>
      </c>
      <c r="AB7" s="90">
        <f t="shared" si="3"/>
        <v>18</v>
      </c>
      <c r="AC7" s="90">
        <f t="shared" si="3"/>
        <v>19</v>
      </c>
      <c r="AD7" s="90">
        <f t="shared" si="3"/>
        <v>20</v>
      </c>
      <c r="AE7" s="90">
        <f t="shared" si="3"/>
        <v>21</v>
      </c>
      <c r="AF7" s="90">
        <f t="shared" si="3"/>
        <v>22</v>
      </c>
      <c r="AG7" s="90">
        <f t="shared" si="3"/>
        <v>23</v>
      </c>
      <c r="AH7" s="90">
        <f t="shared" si="3"/>
        <v>24</v>
      </c>
      <c r="AI7" s="90">
        <f t="shared" si="3"/>
        <v>25</v>
      </c>
      <c r="AJ7" s="90">
        <f t="shared" si="3"/>
        <v>26</v>
      </c>
      <c r="AK7" s="90">
        <f t="shared" si="3"/>
        <v>27</v>
      </c>
      <c r="AL7" s="90">
        <f t="shared" si="3"/>
        <v>28</v>
      </c>
      <c r="AM7" s="90">
        <f t="shared" si="3"/>
        <v>29</v>
      </c>
      <c r="AN7" s="90">
        <f t="shared" si="3"/>
        <v>30</v>
      </c>
      <c r="AO7" s="90">
        <f t="shared" si="3"/>
        <v>31</v>
      </c>
      <c r="AP7" s="90">
        <f t="shared" si="3"/>
        <v>32</v>
      </c>
      <c r="AQ7" s="90">
        <f t="shared" si="3"/>
        <v>33</v>
      </c>
      <c r="AR7" s="90">
        <f t="shared" si="3"/>
        <v>34</v>
      </c>
      <c r="AS7" s="90">
        <f t="shared" si="3"/>
        <v>35</v>
      </c>
      <c r="AT7" s="90">
        <f t="shared" si="3"/>
        <v>36</v>
      </c>
      <c r="AU7" s="92"/>
      <c r="AV7" s="9"/>
      <c r="AW7" s="9"/>
      <c r="AX7" s="9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</row>
    <row r="8" spans="1:66" ht="15.75" customHeight="1" x14ac:dyDescent="0.3">
      <c r="A8" s="13"/>
      <c r="B8" s="13"/>
      <c r="C8" s="13"/>
      <c r="D8" s="95" t="s">
        <v>22</v>
      </c>
      <c r="E8" s="94"/>
      <c r="F8" s="96"/>
      <c r="G8" s="97"/>
      <c r="H8" s="94"/>
      <c r="I8" s="98"/>
      <c r="J8" s="7"/>
      <c r="K8" s="338">
        <f t="shared" ref="K8:AT8" si="4" xml:space="preserve"> (K6 - K5 + 1) / (DATE(YEAR(K6), 12, 31) - DATE(YEAR(K6), 1, 1) + 1)</f>
        <v>8.4931506849315067E-2</v>
      </c>
      <c r="L8" s="338">
        <f t="shared" si="4"/>
        <v>7.6712328767123292E-2</v>
      </c>
      <c r="M8" s="338">
        <f t="shared" si="4"/>
        <v>8.4931506849315067E-2</v>
      </c>
      <c r="N8" s="338">
        <f t="shared" si="4"/>
        <v>8.2191780821917804E-2</v>
      </c>
      <c r="O8" s="338">
        <f t="shared" si="4"/>
        <v>8.4931506849315067E-2</v>
      </c>
      <c r="P8" s="338">
        <f t="shared" si="4"/>
        <v>8.2191780821917804E-2</v>
      </c>
      <c r="Q8" s="338">
        <f t="shared" si="4"/>
        <v>8.4931506849315067E-2</v>
      </c>
      <c r="R8" s="338">
        <f t="shared" si="4"/>
        <v>8.4931506849315067E-2</v>
      </c>
      <c r="S8" s="338">
        <f t="shared" si="4"/>
        <v>8.2191780821917804E-2</v>
      </c>
      <c r="T8" s="338">
        <f t="shared" si="4"/>
        <v>8.4931506849315067E-2</v>
      </c>
      <c r="U8" s="338">
        <f t="shared" si="4"/>
        <v>8.2191780821917804E-2</v>
      </c>
      <c r="V8" s="338">
        <f t="shared" si="4"/>
        <v>8.4931506849315067E-2</v>
      </c>
      <c r="W8" s="338">
        <f t="shared" si="4"/>
        <v>8.4931506849315067E-2</v>
      </c>
      <c r="X8" s="338">
        <f t="shared" si="4"/>
        <v>7.6712328767123292E-2</v>
      </c>
      <c r="Y8" s="338">
        <f t="shared" si="4"/>
        <v>8.4931506849315067E-2</v>
      </c>
      <c r="Z8" s="338">
        <f t="shared" si="4"/>
        <v>8.2191780821917804E-2</v>
      </c>
      <c r="AA8" s="338">
        <f t="shared" si="4"/>
        <v>8.4931506849315067E-2</v>
      </c>
      <c r="AB8" s="338">
        <f t="shared" si="4"/>
        <v>8.2191780821917804E-2</v>
      </c>
      <c r="AC8" s="338">
        <f t="shared" si="4"/>
        <v>8.4931506849315067E-2</v>
      </c>
      <c r="AD8" s="338">
        <f t="shared" si="4"/>
        <v>8.4931506849315067E-2</v>
      </c>
      <c r="AE8" s="338">
        <f t="shared" si="4"/>
        <v>8.2191780821917804E-2</v>
      </c>
      <c r="AF8" s="338">
        <f t="shared" si="4"/>
        <v>8.4931506849315067E-2</v>
      </c>
      <c r="AG8" s="338">
        <f t="shared" si="4"/>
        <v>8.2191780821917804E-2</v>
      </c>
      <c r="AH8" s="338">
        <f t="shared" si="4"/>
        <v>8.4931506849315067E-2</v>
      </c>
      <c r="AI8" s="338">
        <f t="shared" si="4"/>
        <v>8.4931506849315067E-2</v>
      </c>
      <c r="AJ8" s="338">
        <f t="shared" si="4"/>
        <v>7.6712328767123292E-2</v>
      </c>
      <c r="AK8" s="338">
        <f t="shared" si="4"/>
        <v>8.4931506849315067E-2</v>
      </c>
      <c r="AL8" s="338">
        <f t="shared" si="4"/>
        <v>8.2191780821917804E-2</v>
      </c>
      <c r="AM8" s="338">
        <f t="shared" si="4"/>
        <v>8.4931506849315067E-2</v>
      </c>
      <c r="AN8" s="338">
        <f t="shared" si="4"/>
        <v>8.2191780821917804E-2</v>
      </c>
      <c r="AO8" s="338">
        <f t="shared" si="4"/>
        <v>8.4931506849315067E-2</v>
      </c>
      <c r="AP8" s="338">
        <f t="shared" si="4"/>
        <v>8.4931506849315067E-2</v>
      </c>
      <c r="AQ8" s="338">
        <f t="shared" si="4"/>
        <v>8.2191780821917804E-2</v>
      </c>
      <c r="AR8" s="338">
        <f t="shared" si="4"/>
        <v>8.4931506849315067E-2</v>
      </c>
      <c r="AS8" s="338">
        <f t="shared" si="4"/>
        <v>8.2191780821917804E-2</v>
      </c>
      <c r="AT8" s="338">
        <f t="shared" si="4"/>
        <v>8.4931506849315067E-2</v>
      </c>
      <c r="AU8" s="99"/>
      <c r="AV8" s="95"/>
      <c r="AW8" s="95"/>
      <c r="AX8" s="95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</row>
    <row r="9" spans="1:66" ht="15.75" customHeight="1" x14ac:dyDescent="0.3">
      <c r="A9" s="13"/>
      <c r="B9" s="13"/>
      <c r="C9" s="13"/>
      <c r="D9" s="9"/>
      <c r="E9" s="8"/>
      <c r="F9" s="50"/>
      <c r="G9" s="30"/>
      <c r="H9" s="8"/>
      <c r="I9" s="7"/>
      <c r="J9" s="7"/>
      <c r="K9" s="325"/>
      <c r="L9" s="325"/>
      <c r="M9" s="325"/>
      <c r="N9" s="325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</row>
    <row r="10" spans="1:66" ht="15.75" customHeight="1" collapsed="1" x14ac:dyDescent="0.3">
      <c r="A10" s="13"/>
      <c r="B10" s="105"/>
      <c r="C10" s="105"/>
      <c r="D10" s="104" t="s">
        <v>288</v>
      </c>
      <c r="E10" s="105"/>
      <c r="F10" s="105"/>
      <c r="G10" s="106"/>
      <c r="H10" s="105"/>
      <c r="I10" s="105"/>
      <c r="J10" s="41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60"/>
      <c r="AX10" s="160"/>
      <c r="AY10" s="160"/>
      <c r="AZ10" s="160"/>
    </row>
    <row r="11" spans="1:66" ht="15.75" customHeight="1" outlineLevel="1" x14ac:dyDescent="0.3">
      <c r="A11" s="233"/>
      <c r="B11" s="233"/>
      <c r="C11" s="233"/>
      <c r="D11" s="246"/>
      <c r="E11" s="218"/>
      <c r="F11" s="497"/>
      <c r="G11" s="450"/>
      <c r="H11" s="218"/>
      <c r="I11" s="238"/>
      <c r="J11" s="238"/>
      <c r="K11" s="454"/>
      <c r="L11" s="454"/>
      <c r="M11" s="454"/>
      <c r="N11" s="454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</row>
    <row r="12" spans="1:66" ht="18" customHeight="1" outlineLevel="1" x14ac:dyDescent="0.3">
      <c r="A12" s="19"/>
      <c r="B12" s="20"/>
      <c r="C12" s="20"/>
      <c r="D12" s="21" t="s">
        <v>73</v>
      </c>
      <c r="E12" s="22"/>
      <c r="F12" s="22"/>
      <c r="G12" s="22"/>
      <c r="H12" s="22"/>
      <c r="I12" s="22"/>
      <c r="J12" s="8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</row>
    <row r="13" spans="1:66" ht="12.75" customHeight="1" outlineLevel="1" x14ac:dyDescent="0.3">
      <c r="A13" s="13"/>
      <c r="B13" s="13"/>
      <c r="C13" s="13"/>
      <c r="D13" s="107" t="str">
        <f xml:space="preserve"> 'Assumptions and inputs'!D27</f>
        <v>Год</v>
      </c>
      <c r="E13" s="109"/>
      <c r="F13" s="109"/>
      <c r="G13" s="109"/>
      <c r="H13" s="111"/>
      <c r="I13" s="66">
        <f xml:space="preserve"> 'Assumptions and inputs'!I27</f>
        <v>2028</v>
      </c>
      <c r="J13" s="66">
        <f xml:space="preserve"> 'Assumptions and inputs'!J27</f>
        <v>0</v>
      </c>
      <c r="K13" s="339">
        <f xml:space="preserve"> 'Assumptions and inputs'!K27</f>
        <v>2029</v>
      </c>
      <c r="L13" s="339">
        <f xml:space="preserve"> 'Assumptions and inputs'!L27</f>
        <v>2030</v>
      </c>
      <c r="M13" s="339">
        <f xml:space="preserve"> 'Assumptions and inputs'!M27</f>
        <v>2031</v>
      </c>
      <c r="N13" s="339">
        <f xml:space="preserve"> 'Assumptions and inputs'!N27</f>
        <v>2032</v>
      </c>
      <c r="O13" s="66">
        <f xml:space="preserve"> 'Assumptions and inputs'!O27</f>
        <v>2033</v>
      </c>
      <c r="P13" s="66"/>
      <c r="Q13" s="66"/>
      <c r="R13" s="66"/>
      <c r="S13" s="66"/>
      <c r="T13" s="66"/>
      <c r="U13" s="66"/>
      <c r="V13" s="66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</row>
    <row r="14" spans="1:66" ht="12.75" customHeight="1" outlineLevel="1" x14ac:dyDescent="0.3">
      <c r="A14" s="13"/>
      <c r="B14" s="13"/>
      <c r="C14" s="13"/>
      <c r="D14" s="9" t="str">
        <f xml:space="preserve"> 'Assumptions and inputs'!D28</f>
        <v>Плановый темп роста в год</v>
      </c>
      <c r="E14" s="8" t="str">
        <f xml:space="preserve"> 'Assumptions and inputs'!E28</f>
        <v>%</v>
      </c>
      <c r="F14" s="8"/>
      <c r="G14" s="8"/>
      <c r="H14" s="39"/>
      <c r="I14" s="49">
        <f xml:space="preserve"> 'Assumptions and inputs'!I28</f>
        <v>0</v>
      </c>
      <c r="J14" s="49">
        <f xml:space="preserve"> 'Assumptions and inputs'!J28</f>
        <v>0</v>
      </c>
      <c r="K14" s="340">
        <f xml:space="preserve"> 'Assumptions and inputs'!K28</f>
        <v>0</v>
      </c>
      <c r="L14" s="340">
        <f xml:space="preserve"> 'Assumptions and inputs'!L28</f>
        <v>1.1499999999999999</v>
      </c>
      <c r="M14" s="340">
        <f xml:space="preserve"> 'Assumptions and inputs'!M28</f>
        <v>0.2</v>
      </c>
      <c r="N14" s="340">
        <f xml:space="preserve"> 'Assumptions and inputs'!N28</f>
        <v>0.2</v>
      </c>
      <c r="O14" s="49">
        <f xml:space="preserve"> 'Assumptions and inputs'!O28</f>
        <v>0.2</v>
      </c>
      <c r="P14" s="49"/>
      <c r="Q14" s="49"/>
      <c r="R14" s="49"/>
      <c r="S14" s="49"/>
      <c r="T14" s="49"/>
      <c r="U14" s="49"/>
      <c r="V14" s="49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 ht="12.75" customHeight="1" outlineLevel="1" x14ac:dyDescent="0.3">
      <c r="A15" s="13"/>
      <c r="B15" s="13"/>
      <c r="C15" s="13"/>
      <c r="D15" s="9" t="str">
        <f xml:space="preserve"> 'Assumptions and inputs'!D29</f>
        <v xml:space="preserve">Плановый объем производства в год запуска проекта </v>
      </c>
      <c r="E15" s="8" t="str">
        <f xml:space="preserve"> 'Assumptions and inputs'!E29</f>
        <v>кг</v>
      </c>
      <c r="F15" s="8"/>
      <c r="G15" s="8"/>
      <c r="H15" s="39"/>
      <c r="I15" s="36">
        <f xml:space="preserve"> 'Assumptions and inputs'!I29</f>
        <v>5000000</v>
      </c>
      <c r="J15" s="49">
        <f xml:space="preserve"> 'Assumptions and inputs'!J29</f>
        <v>0</v>
      </c>
      <c r="K15" s="36">
        <f xml:space="preserve"> I15 * (1 + K14)</f>
        <v>5000000</v>
      </c>
      <c r="L15" s="36">
        <f xml:space="preserve"> K15 * (1 + L14)</f>
        <v>10750000</v>
      </c>
      <c r="M15" s="36">
        <f xml:space="preserve"> L15 * (1 + M14)</f>
        <v>12900000</v>
      </c>
      <c r="N15" s="36">
        <f xml:space="preserve"> M15 * (1 + N14)</f>
        <v>15480000</v>
      </c>
      <c r="O15" s="36">
        <f xml:space="preserve"> N15 * (1 + O14)</f>
        <v>18576000</v>
      </c>
      <c r="P15" s="49"/>
      <c r="Q15" s="49"/>
      <c r="R15" s="49"/>
      <c r="S15" s="49"/>
      <c r="T15" s="49"/>
      <c r="U15" s="49"/>
      <c r="V15" s="49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 ht="12.75" customHeight="1" outlineLevel="1" x14ac:dyDescent="0.3">
      <c r="A16" s="13"/>
      <c r="B16" s="13"/>
      <c r="C16" s="13"/>
      <c r="D16" s="9" t="str">
        <f xml:space="preserve"> 'Assumptions and inputs'!D31</f>
        <v>Месяц</v>
      </c>
      <c r="E16" s="8"/>
      <c r="F16" s="8"/>
      <c r="G16" s="8"/>
      <c r="H16" s="39"/>
      <c r="I16" s="49"/>
      <c r="J16" s="49"/>
      <c r="K16" s="264">
        <f xml:space="preserve"> 'Assumptions and inputs'!K31</f>
        <v>1</v>
      </c>
      <c r="L16" s="264">
        <f xml:space="preserve"> 'Assumptions and inputs'!L31</f>
        <v>2</v>
      </c>
      <c r="M16" s="264">
        <f xml:space="preserve"> 'Assumptions and inputs'!M31</f>
        <v>3</v>
      </c>
      <c r="N16" s="264">
        <f xml:space="preserve"> 'Assumptions and inputs'!N31</f>
        <v>4</v>
      </c>
      <c r="O16" s="8">
        <f xml:space="preserve"> 'Assumptions and inputs'!O31</f>
        <v>5</v>
      </c>
      <c r="P16" s="8">
        <f xml:space="preserve"> 'Assumptions and inputs'!P31</f>
        <v>6</v>
      </c>
      <c r="Q16" s="8">
        <f xml:space="preserve"> 'Assumptions and inputs'!Q31</f>
        <v>7</v>
      </c>
      <c r="R16" s="8">
        <f xml:space="preserve"> 'Assumptions and inputs'!R31</f>
        <v>8</v>
      </c>
      <c r="S16" s="8">
        <f xml:space="preserve"> 'Assumptions and inputs'!S31</f>
        <v>9</v>
      </c>
      <c r="T16" s="8">
        <f xml:space="preserve"> 'Assumptions and inputs'!T31</f>
        <v>10</v>
      </c>
      <c r="U16" s="8">
        <f xml:space="preserve"> 'Assumptions and inputs'!U31</f>
        <v>11</v>
      </c>
      <c r="V16" s="8">
        <f xml:space="preserve"> 'Assumptions and inputs'!V31</f>
        <v>12</v>
      </c>
      <c r="W16" s="8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</row>
    <row r="17" spans="1:66" ht="12.75" customHeight="1" outlineLevel="1" x14ac:dyDescent="0.3">
      <c r="A17" s="13"/>
      <c r="B17" s="13"/>
      <c r="C17" s="13"/>
      <c r="D17" s="9" t="str">
        <f xml:space="preserve"> 'Assumptions and inputs'!D32</f>
        <v xml:space="preserve">Сезонность </v>
      </c>
      <c r="E17" s="8"/>
      <c r="F17" s="8"/>
      <c r="G17" s="8"/>
      <c r="H17" s="39"/>
      <c r="I17" s="52"/>
      <c r="J17" s="49"/>
      <c r="K17" s="122">
        <f xml:space="preserve"> 'Assumptions and inputs'!K32</f>
        <v>0.75</v>
      </c>
      <c r="L17" s="122">
        <f xml:space="preserve"> 'Assumptions and inputs'!L32</f>
        <v>0.85</v>
      </c>
      <c r="M17" s="122">
        <f xml:space="preserve"> 'Assumptions and inputs'!M32</f>
        <v>0.9</v>
      </c>
      <c r="N17" s="122">
        <f xml:space="preserve"> 'Assumptions and inputs'!N32</f>
        <v>1.1000000000000001</v>
      </c>
      <c r="O17" s="122">
        <f xml:space="preserve"> 'Assumptions and inputs'!O32</f>
        <v>1.2</v>
      </c>
      <c r="P17" s="122">
        <f xml:space="preserve"> 'Assumptions and inputs'!P32</f>
        <v>1.25</v>
      </c>
      <c r="Q17" s="122">
        <f xml:space="preserve"> 'Assumptions and inputs'!Q32</f>
        <v>1.2</v>
      </c>
      <c r="R17" s="122">
        <f xml:space="preserve"> 'Assumptions and inputs'!R32</f>
        <v>1.1000000000000001</v>
      </c>
      <c r="S17" s="122">
        <f xml:space="preserve"> 'Assumptions and inputs'!S32</f>
        <v>1.05</v>
      </c>
      <c r="T17" s="122">
        <f xml:space="preserve"> 'Assumptions and inputs'!T32</f>
        <v>0.95</v>
      </c>
      <c r="U17" s="122">
        <f xml:space="preserve"> 'Assumptions and inputs'!U32</f>
        <v>0.85</v>
      </c>
      <c r="V17" s="122">
        <f xml:space="preserve"> 'Assumptions and inputs'!V32</f>
        <v>0.8</v>
      </c>
      <c r="W17" s="122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</row>
    <row r="18" spans="1:66" s="226" customFormat="1" ht="12.75" customHeight="1" outlineLevel="1" x14ac:dyDescent="0.3">
      <c r="A18" s="222"/>
      <c r="B18" s="222"/>
      <c r="C18" s="222"/>
      <c r="D18" s="223" t="str">
        <f xml:space="preserve"> 'Assumptions and inputs'!D34</f>
        <v xml:space="preserve">Месяц начала продаж </v>
      </c>
      <c r="E18" s="224" t="str">
        <f xml:space="preserve"> 'Assumptions and inputs'!E34</f>
        <v>мес</v>
      </c>
      <c r="F18" s="224"/>
      <c r="G18" s="224"/>
      <c r="H18" s="224">
        <f xml:space="preserve"> 'Assumptions and inputs'!H34</f>
        <v>3</v>
      </c>
      <c r="I18" s="225"/>
      <c r="J18" s="225"/>
      <c r="K18" s="281"/>
      <c r="L18" s="281"/>
      <c r="M18" s="281"/>
      <c r="N18" s="281"/>
      <c r="O18" s="225"/>
      <c r="P18" s="225"/>
      <c r="Q18" s="225"/>
      <c r="R18" s="225"/>
      <c r="S18" s="225"/>
      <c r="T18" s="225"/>
      <c r="U18" s="225"/>
      <c r="V18" s="225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</row>
    <row r="19" spans="1:66" s="226" customFormat="1" ht="12.75" customHeight="1" outlineLevel="1" x14ac:dyDescent="0.3">
      <c r="A19" s="222"/>
      <c r="B19" s="222"/>
      <c r="C19" s="222"/>
      <c r="D19" s="223" t="str">
        <f xml:space="preserve"> 'Assumptions and inputs'!D35</f>
        <v>Период между производством и продажей</v>
      </c>
      <c r="E19" s="224" t="str">
        <f xml:space="preserve"> 'Assumptions and inputs'!E35</f>
        <v>мес</v>
      </c>
      <c r="F19" s="224"/>
      <c r="G19" s="224"/>
      <c r="H19" s="224">
        <f xml:space="preserve"> 'Assumptions and inputs'!H35</f>
        <v>1</v>
      </c>
      <c r="I19" s="227"/>
      <c r="J19" s="227"/>
      <c r="K19" s="341"/>
      <c r="L19" s="341"/>
      <c r="M19" s="341"/>
      <c r="N19" s="341"/>
      <c r="O19" s="227"/>
      <c r="P19" s="227"/>
      <c r="Q19" s="227"/>
      <c r="R19" s="227"/>
      <c r="S19" s="227"/>
      <c r="T19" s="227"/>
      <c r="U19" s="227"/>
      <c r="V19" s="227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</row>
    <row r="20" spans="1:66" s="226" customFormat="1" ht="12.75" customHeight="1" outlineLevel="1" x14ac:dyDescent="0.3">
      <c r="A20" s="223"/>
      <c r="B20" s="223"/>
      <c r="C20" s="223"/>
      <c r="D20" s="223"/>
      <c r="E20" s="224"/>
      <c r="F20" s="228"/>
      <c r="G20" s="224"/>
      <c r="H20" s="229"/>
      <c r="I20" s="227"/>
      <c r="J20" s="227"/>
      <c r="K20" s="342"/>
      <c r="L20" s="342"/>
      <c r="M20" s="342"/>
      <c r="N20" s="342"/>
      <c r="O20" s="224"/>
      <c r="P20" s="229"/>
      <c r="Q20" s="229"/>
      <c r="R20" s="229"/>
      <c r="S20" s="229"/>
      <c r="T20" s="229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</row>
    <row r="21" spans="1:66" s="226" customFormat="1" ht="12.75" customHeight="1" x14ac:dyDescent="0.3">
      <c r="A21" s="223"/>
      <c r="B21" s="223"/>
      <c r="C21" s="223"/>
      <c r="D21" s="223"/>
      <c r="E21" s="224"/>
      <c r="F21" s="228"/>
      <c r="G21" s="224"/>
      <c r="H21" s="229"/>
      <c r="I21" s="227"/>
      <c r="J21" s="227"/>
      <c r="K21" s="342"/>
      <c r="L21" s="342"/>
      <c r="M21" s="342"/>
      <c r="N21" s="342"/>
      <c r="O21" s="224"/>
      <c r="P21" s="229"/>
      <c r="Q21" s="229"/>
      <c r="R21" s="229"/>
      <c r="S21" s="229"/>
      <c r="T21" s="229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</row>
    <row r="22" spans="1:66" ht="18" customHeight="1" collapsed="1" x14ac:dyDescent="0.3">
      <c r="A22" s="13"/>
      <c r="B22" s="105"/>
      <c r="C22" s="105"/>
      <c r="D22" s="104" t="s">
        <v>291</v>
      </c>
      <c r="E22" s="105"/>
      <c r="F22" s="105"/>
      <c r="G22" s="106"/>
      <c r="H22" s="105"/>
      <c r="I22" s="105"/>
      <c r="J22" s="41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60"/>
      <c r="AX22" s="160"/>
      <c r="AY22" s="160"/>
      <c r="AZ22" s="160"/>
    </row>
    <row r="23" spans="1:66" s="226" customFormat="1" ht="12.75" customHeight="1" outlineLevel="1" x14ac:dyDescent="0.3">
      <c r="A23" s="498"/>
      <c r="B23" s="498"/>
      <c r="C23" s="498"/>
      <c r="D23" s="498"/>
      <c r="E23" s="433"/>
      <c r="F23" s="499"/>
      <c r="G23" s="433"/>
      <c r="H23" s="500"/>
      <c r="I23" s="490"/>
      <c r="J23" s="490"/>
      <c r="K23" s="501"/>
      <c r="L23" s="501"/>
      <c r="M23" s="501"/>
      <c r="N23" s="501"/>
      <c r="O23" s="433"/>
      <c r="P23" s="500"/>
      <c r="Q23" s="500"/>
      <c r="R23" s="500"/>
      <c r="S23" s="500"/>
      <c r="T23" s="500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432"/>
      <c r="AF23" s="432"/>
      <c r="AG23" s="432"/>
      <c r="AH23" s="432"/>
      <c r="AI23" s="432"/>
      <c r="AJ23" s="432"/>
      <c r="AK23" s="432"/>
      <c r="AL23" s="432"/>
      <c r="AM23" s="432"/>
      <c r="AN23" s="432"/>
      <c r="AO23" s="432"/>
      <c r="AP23" s="432"/>
      <c r="AQ23" s="432"/>
      <c r="AR23" s="432"/>
      <c r="AS23" s="432"/>
      <c r="AT23" s="432"/>
      <c r="AU23" s="432"/>
      <c r="AV23" s="432"/>
      <c r="AW23" s="432"/>
      <c r="AX23" s="432"/>
      <c r="AY23" s="432"/>
      <c r="AZ23" s="432"/>
      <c r="BA23" s="432"/>
      <c r="BB23" s="432"/>
      <c r="BC23" s="432"/>
      <c r="BD23" s="432"/>
      <c r="BE23" s="432"/>
      <c r="BF23" s="432"/>
      <c r="BG23" s="432"/>
      <c r="BH23" s="432"/>
      <c r="BI23" s="432"/>
      <c r="BJ23" s="432"/>
      <c r="BK23" s="432"/>
      <c r="BL23" s="432"/>
      <c r="BM23" s="432"/>
      <c r="BN23" s="432"/>
    </row>
    <row r="24" spans="1:66" s="442" customFormat="1" ht="15.75" customHeight="1" outlineLevel="1" x14ac:dyDescent="0.3">
      <c r="A24" s="223"/>
      <c r="B24" s="223"/>
      <c r="C24" s="223"/>
      <c r="D24" s="434" t="s">
        <v>92</v>
      </c>
      <c r="E24" s="435" t="s">
        <v>36</v>
      </c>
      <c r="F24" s="436"/>
      <c r="G24" s="437"/>
      <c r="H24" s="435"/>
      <c r="I24" s="438"/>
      <c r="J24" s="439"/>
      <c r="K24" s="440">
        <f t="shared" ref="K24:AT24" si="5" xml:space="preserve"> IF(K25 = 0, 0, K28)</f>
        <v>0</v>
      </c>
      <c r="L24" s="440">
        <f t="shared" si="5"/>
        <v>326027.39726027398</v>
      </c>
      <c r="M24" s="440">
        <f t="shared" si="5"/>
        <v>382191.78082191781</v>
      </c>
      <c r="N24" s="440">
        <f t="shared" si="5"/>
        <v>452054.79452054796</v>
      </c>
      <c r="O24" s="440">
        <f t="shared" si="5"/>
        <v>509589.04109589034</v>
      </c>
      <c r="P24" s="440">
        <f t="shared" si="5"/>
        <v>513698.63013698626</v>
      </c>
      <c r="Q24" s="440">
        <f t="shared" si="5"/>
        <v>509589.04109589034</v>
      </c>
      <c r="R24" s="440">
        <f t="shared" si="5"/>
        <v>467123.28767123289</v>
      </c>
      <c r="S24" s="440">
        <f t="shared" si="5"/>
        <v>431506.84931506845</v>
      </c>
      <c r="T24" s="440">
        <f t="shared" si="5"/>
        <v>403424.65753424651</v>
      </c>
      <c r="U24" s="440">
        <f t="shared" si="5"/>
        <v>349315.06849315064</v>
      </c>
      <c r="V24" s="440">
        <f t="shared" si="5"/>
        <v>339726.0273972603</v>
      </c>
      <c r="W24" s="440">
        <f t="shared" si="5"/>
        <v>684760.27397260279</v>
      </c>
      <c r="X24" s="440">
        <f t="shared" si="5"/>
        <v>700958.90410958906</v>
      </c>
      <c r="Y24" s="440">
        <f t="shared" si="5"/>
        <v>821712.32876712328</v>
      </c>
      <c r="Z24" s="440">
        <f t="shared" si="5"/>
        <v>971917.80821917811</v>
      </c>
      <c r="AA24" s="440">
        <f t="shared" si="5"/>
        <v>1095616.4383561644</v>
      </c>
      <c r="AB24" s="440">
        <f t="shared" si="5"/>
        <v>1104452.0547945206</v>
      </c>
      <c r="AC24" s="440">
        <f t="shared" si="5"/>
        <v>1095616.4383561644</v>
      </c>
      <c r="AD24" s="440">
        <f t="shared" si="5"/>
        <v>1004315.0684931508</v>
      </c>
      <c r="AE24" s="440">
        <f t="shared" si="5"/>
        <v>927739.72602739732</v>
      </c>
      <c r="AF24" s="440">
        <f t="shared" si="5"/>
        <v>867363.01369863015</v>
      </c>
      <c r="AG24" s="440">
        <f t="shared" si="5"/>
        <v>751027.39726027392</v>
      </c>
      <c r="AH24" s="440">
        <f t="shared" si="5"/>
        <v>730410.95890410966</v>
      </c>
      <c r="AI24" s="440">
        <f t="shared" si="5"/>
        <v>821712.32876712328</v>
      </c>
      <c r="AJ24" s="440">
        <f t="shared" si="5"/>
        <v>841150.68493150687</v>
      </c>
      <c r="AK24" s="440">
        <f t="shared" si="5"/>
        <v>986054.79452054796</v>
      </c>
      <c r="AL24" s="440">
        <f t="shared" si="5"/>
        <v>1166301.3698630137</v>
      </c>
      <c r="AM24" s="440">
        <f t="shared" si="5"/>
        <v>1314739.7260273972</v>
      </c>
      <c r="AN24" s="440">
        <f t="shared" si="5"/>
        <v>1325342.4657534247</v>
      </c>
      <c r="AO24" s="440">
        <f t="shared" si="5"/>
        <v>1314739.7260273972</v>
      </c>
      <c r="AP24" s="440">
        <f t="shared" si="5"/>
        <v>1205178.0821917809</v>
      </c>
      <c r="AQ24" s="440">
        <f t="shared" si="5"/>
        <v>1113287.6712328768</v>
      </c>
      <c r="AR24" s="440">
        <f t="shared" si="5"/>
        <v>1040835.6164383561</v>
      </c>
      <c r="AS24" s="440">
        <f t="shared" si="5"/>
        <v>901232.87671232875</v>
      </c>
      <c r="AT24" s="440">
        <f t="shared" si="5"/>
        <v>876493.15068493155</v>
      </c>
      <c r="AU24" s="440"/>
      <c r="AV24" s="434"/>
      <c r="AW24" s="434"/>
      <c r="AX24" s="434"/>
      <c r="AY24" s="441"/>
      <c r="AZ24" s="441"/>
      <c r="BA24" s="441"/>
      <c r="BB24" s="441"/>
      <c r="BC24" s="441"/>
      <c r="BD24" s="441"/>
      <c r="BE24" s="441"/>
      <c r="BF24" s="441"/>
      <c r="BG24" s="441"/>
      <c r="BH24" s="441"/>
      <c r="BI24" s="441"/>
      <c r="BJ24" s="441"/>
      <c r="BK24" s="441"/>
      <c r="BL24" s="441"/>
      <c r="BM24" s="441"/>
      <c r="BN24" s="441"/>
    </row>
    <row r="25" spans="1:66" s="226" customFormat="1" ht="15" customHeight="1" outlineLevel="1" x14ac:dyDescent="0.3">
      <c r="A25" s="223"/>
      <c r="B25" s="223"/>
      <c r="C25" s="223"/>
      <c r="D25" s="223" t="s">
        <v>113</v>
      </c>
      <c r="E25" s="224" t="s">
        <v>312</v>
      </c>
      <c r="F25" s="228"/>
      <c r="G25" s="231"/>
      <c r="H25" s="230"/>
      <c r="I25" s="225"/>
      <c r="J25" s="232"/>
      <c r="K25" s="510">
        <f xml:space="preserve"> INT(K7 &gt;= $H$18 - $H$19)</f>
        <v>0</v>
      </c>
      <c r="L25" s="510">
        <f t="shared" ref="L25:AT25" si="6" xml:space="preserve"> INT(L7 &gt;= $H$18 - $H$19)</f>
        <v>1</v>
      </c>
      <c r="M25" s="510">
        <f t="shared" si="6"/>
        <v>1</v>
      </c>
      <c r="N25" s="510">
        <f t="shared" si="6"/>
        <v>1</v>
      </c>
      <c r="O25" s="510">
        <f t="shared" si="6"/>
        <v>1</v>
      </c>
      <c r="P25" s="510">
        <f t="shared" si="6"/>
        <v>1</v>
      </c>
      <c r="Q25" s="510">
        <f t="shared" si="6"/>
        <v>1</v>
      </c>
      <c r="R25" s="510">
        <f t="shared" si="6"/>
        <v>1</v>
      </c>
      <c r="S25" s="510">
        <f t="shared" si="6"/>
        <v>1</v>
      </c>
      <c r="T25" s="510">
        <f t="shared" si="6"/>
        <v>1</v>
      </c>
      <c r="U25" s="510">
        <f t="shared" si="6"/>
        <v>1</v>
      </c>
      <c r="V25" s="510">
        <f t="shared" si="6"/>
        <v>1</v>
      </c>
      <c r="W25" s="510">
        <f t="shared" si="6"/>
        <v>1</v>
      </c>
      <c r="X25" s="510">
        <f t="shared" si="6"/>
        <v>1</v>
      </c>
      <c r="Y25" s="510">
        <f t="shared" si="6"/>
        <v>1</v>
      </c>
      <c r="Z25" s="510">
        <f t="shared" si="6"/>
        <v>1</v>
      </c>
      <c r="AA25" s="510">
        <f t="shared" si="6"/>
        <v>1</v>
      </c>
      <c r="AB25" s="510">
        <f t="shared" si="6"/>
        <v>1</v>
      </c>
      <c r="AC25" s="510">
        <f t="shared" si="6"/>
        <v>1</v>
      </c>
      <c r="AD25" s="510">
        <f t="shared" si="6"/>
        <v>1</v>
      </c>
      <c r="AE25" s="510">
        <f t="shared" si="6"/>
        <v>1</v>
      </c>
      <c r="AF25" s="510">
        <f t="shared" si="6"/>
        <v>1</v>
      </c>
      <c r="AG25" s="510">
        <f t="shared" si="6"/>
        <v>1</v>
      </c>
      <c r="AH25" s="510">
        <f t="shared" si="6"/>
        <v>1</v>
      </c>
      <c r="AI25" s="510">
        <f t="shared" si="6"/>
        <v>1</v>
      </c>
      <c r="AJ25" s="510">
        <f t="shared" si="6"/>
        <v>1</v>
      </c>
      <c r="AK25" s="510">
        <f t="shared" si="6"/>
        <v>1</v>
      </c>
      <c r="AL25" s="510">
        <f t="shared" si="6"/>
        <v>1</v>
      </c>
      <c r="AM25" s="510">
        <f t="shared" si="6"/>
        <v>1</v>
      </c>
      <c r="AN25" s="510">
        <f t="shared" si="6"/>
        <v>1</v>
      </c>
      <c r="AO25" s="510">
        <f t="shared" si="6"/>
        <v>1</v>
      </c>
      <c r="AP25" s="510">
        <f t="shared" si="6"/>
        <v>1</v>
      </c>
      <c r="AQ25" s="510">
        <f t="shared" si="6"/>
        <v>1</v>
      </c>
      <c r="AR25" s="510">
        <f t="shared" si="6"/>
        <v>1</v>
      </c>
      <c r="AS25" s="510">
        <f t="shared" si="6"/>
        <v>1</v>
      </c>
      <c r="AT25" s="510">
        <f t="shared" si="6"/>
        <v>1</v>
      </c>
      <c r="AU25" s="223"/>
      <c r="AV25" s="223"/>
      <c r="AW25" s="223"/>
      <c r="AX25" s="223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</row>
    <row r="26" spans="1:66" ht="15" customHeight="1" outlineLevel="1" x14ac:dyDescent="0.3">
      <c r="A26" s="223"/>
      <c r="B26" s="223"/>
      <c r="C26" s="223"/>
      <c r="D26" s="307" t="s">
        <v>310</v>
      </c>
      <c r="E26" s="8" t="s">
        <v>36</v>
      </c>
      <c r="F26" s="50"/>
      <c r="G26" s="30"/>
      <c r="H26" s="109"/>
      <c r="I26" s="52"/>
      <c r="J26" s="47"/>
      <c r="K26" s="267">
        <f xml:space="preserve"> INDEX($K$15:$O$15, , MATCH(K$4, $K$13:$O$13, 0))</f>
        <v>5000000</v>
      </c>
      <c r="L26" s="267">
        <f t="shared" ref="L26:AT26" si="7" xml:space="preserve"> INDEX($K$15:$O$15, , MATCH(L$4, $K$13:$O$13, 0))</f>
        <v>5000000</v>
      </c>
      <c r="M26" s="267">
        <f t="shared" si="7"/>
        <v>5000000</v>
      </c>
      <c r="N26" s="267">
        <f t="shared" si="7"/>
        <v>5000000</v>
      </c>
      <c r="O26" s="267">
        <f t="shared" si="7"/>
        <v>5000000</v>
      </c>
      <c r="P26" s="267">
        <f t="shared" si="7"/>
        <v>5000000</v>
      </c>
      <c r="Q26" s="267">
        <f t="shared" si="7"/>
        <v>5000000</v>
      </c>
      <c r="R26" s="267">
        <f t="shared" si="7"/>
        <v>5000000</v>
      </c>
      <c r="S26" s="267">
        <f t="shared" si="7"/>
        <v>5000000</v>
      </c>
      <c r="T26" s="267">
        <f t="shared" si="7"/>
        <v>5000000</v>
      </c>
      <c r="U26" s="267">
        <f t="shared" si="7"/>
        <v>5000000</v>
      </c>
      <c r="V26" s="267">
        <f t="shared" si="7"/>
        <v>5000000</v>
      </c>
      <c r="W26" s="267">
        <f t="shared" si="7"/>
        <v>10750000</v>
      </c>
      <c r="X26" s="267">
        <f t="shared" si="7"/>
        <v>10750000</v>
      </c>
      <c r="Y26" s="267">
        <f t="shared" si="7"/>
        <v>10750000</v>
      </c>
      <c r="Z26" s="267">
        <f t="shared" si="7"/>
        <v>10750000</v>
      </c>
      <c r="AA26" s="267">
        <f t="shared" si="7"/>
        <v>10750000</v>
      </c>
      <c r="AB26" s="267">
        <f t="shared" si="7"/>
        <v>10750000</v>
      </c>
      <c r="AC26" s="267">
        <f t="shared" si="7"/>
        <v>10750000</v>
      </c>
      <c r="AD26" s="267">
        <f t="shared" si="7"/>
        <v>10750000</v>
      </c>
      <c r="AE26" s="267">
        <f t="shared" si="7"/>
        <v>10750000</v>
      </c>
      <c r="AF26" s="267">
        <f t="shared" si="7"/>
        <v>10750000</v>
      </c>
      <c r="AG26" s="267">
        <f t="shared" si="7"/>
        <v>10750000</v>
      </c>
      <c r="AH26" s="267">
        <f t="shared" si="7"/>
        <v>10750000</v>
      </c>
      <c r="AI26" s="267">
        <f t="shared" si="7"/>
        <v>12900000</v>
      </c>
      <c r="AJ26" s="267">
        <f t="shared" si="7"/>
        <v>12900000</v>
      </c>
      <c r="AK26" s="267">
        <f t="shared" si="7"/>
        <v>12900000</v>
      </c>
      <c r="AL26" s="267">
        <f t="shared" si="7"/>
        <v>12900000</v>
      </c>
      <c r="AM26" s="267">
        <f t="shared" si="7"/>
        <v>12900000</v>
      </c>
      <c r="AN26" s="267">
        <f t="shared" si="7"/>
        <v>12900000</v>
      </c>
      <c r="AO26" s="267">
        <f t="shared" si="7"/>
        <v>12900000</v>
      </c>
      <c r="AP26" s="267">
        <f t="shared" si="7"/>
        <v>12900000</v>
      </c>
      <c r="AQ26" s="267">
        <f t="shared" si="7"/>
        <v>12900000</v>
      </c>
      <c r="AR26" s="267">
        <f t="shared" si="7"/>
        <v>12900000</v>
      </c>
      <c r="AS26" s="267">
        <f t="shared" si="7"/>
        <v>12900000</v>
      </c>
      <c r="AT26" s="267">
        <f t="shared" si="7"/>
        <v>12900000</v>
      </c>
      <c r="AU26" s="9"/>
      <c r="AV26" s="9"/>
      <c r="AW26" s="9"/>
      <c r="AX26" s="9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</row>
    <row r="27" spans="1:66" ht="15.75" customHeight="1" outlineLevel="1" x14ac:dyDescent="0.3">
      <c r="A27" s="223"/>
      <c r="B27" s="223"/>
      <c r="C27" s="223"/>
      <c r="D27" s="307" t="s">
        <v>135</v>
      </c>
      <c r="E27" s="8" t="s">
        <v>36</v>
      </c>
      <c r="F27" s="50"/>
      <c r="G27" s="30"/>
      <c r="H27" s="109"/>
      <c r="I27" s="7"/>
      <c r="J27" s="49"/>
      <c r="K27" s="267">
        <f t="shared" ref="K27:AT27" si="8" xml:space="preserve"> K26 * K8</f>
        <v>424657.53424657532</v>
      </c>
      <c r="L27" s="267">
        <f t="shared" si="8"/>
        <v>383561.64383561647</v>
      </c>
      <c r="M27" s="267">
        <f t="shared" si="8"/>
        <v>424657.53424657532</v>
      </c>
      <c r="N27" s="267">
        <f t="shared" si="8"/>
        <v>410958.904109589</v>
      </c>
      <c r="O27" s="267">
        <f t="shared" si="8"/>
        <v>424657.53424657532</v>
      </c>
      <c r="P27" s="267">
        <f t="shared" si="8"/>
        <v>410958.904109589</v>
      </c>
      <c r="Q27" s="267">
        <f t="shared" si="8"/>
        <v>424657.53424657532</v>
      </c>
      <c r="R27" s="267">
        <f t="shared" si="8"/>
        <v>424657.53424657532</v>
      </c>
      <c r="S27" s="267">
        <f t="shared" si="8"/>
        <v>410958.904109589</v>
      </c>
      <c r="T27" s="267">
        <f t="shared" si="8"/>
        <v>424657.53424657532</v>
      </c>
      <c r="U27" s="267">
        <f t="shared" si="8"/>
        <v>410958.904109589</v>
      </c>
      <c r="V27" s="267">
        <f t="shared" si="8"/>
        <v>424657.53424657532</v>
      </c>
      <c r="W27" s="36">
        <f t="shared" si="8"/>
        <v>913013.69863013702</v>
      </c>
      <c r="X27" s="267">
        <f t="shared" si="8"/>
        <v>824657.53424657544</v>
      </c>
      <c r="Y27" s="267">
        <f t="shared" si="8"/>
        <v>913013.69863013702</v>
      </c>
      <c r="Z27" s="36">
        <f t="shared" si="8"/>
        <v>883561.64383561641</v>
      </c>
      <c r="AA27" s="267">
        <f t="shared" si="8"/>
        <v>913013.69863013702</v>
      </c>
      <c r="AB27" s="267">
        <f t="shared" si="8"/>
        <v>883561.64383561641</v>
      </c>
      <c r="AC27" s="267">
        <f t="shared" si="8"/>
        <v>913013.69863013702</v>
      </c>
      <c r="AD27" s="267">
        <f t="shared" si="8"/>
        <v>913013.69863013702</v>
      </c>
      <c r="AE27" s="267">
        <f t="shared" si="8"/>
        <v>883561.64383561641</v>
      </c>
      <c r="AF27" s="267">
        <f t="shared" si="8"/>
        <v>913013.69863013702</v>
      </c>
      <c r="AG27" s="267">
        <f t="shared" si="8"/>
        <v>883561.64383561641</v>
      </c>
      <c r="AH27" s="36">
        <f t="shared" si="8"/>
        <v>913013.69863013702</v>
      </c>
      <c r="AI27" s="267">
        <f t="shared" si="8"/>
        <v>1095616.4383561644</v>
      </c>
      <c r="AJ27" s="267">
        <f t="shared" si="8"/>
        <v>989589.04109589045</v>
      </c>
      <c r="AK27" s="267">
        <f t="shared" si="8"/>
        <v>1095616.4383561644</v>
      </c>
      <c r="AL27" s="267">
        <f t="shared" si="8"/>
        <v>1060273.9726027397</v>
      </c>
      <c r="AM27" s="267">
        <f t="shared" si="8"/>
        <v>1095616.4383561644</v>
      </c>
      <c r="AN27" s="267">
        <f t="shared" si="8"/>
        <v>1060273.9726027397</v>
      </c>
      <c r="AO27" s="267">
        <f t="shared" si="8"/>
        <v>1095616.4383561644</v>
      </c>
      <c r="AP27" s="267">
        <f t="shared" si="8"/>
        <v>1095616.4383561644</v>
      </c>
      <c r="AQ27" s="267">
        <f t="shared" si="8"/>
        <v>1060273.9726027397</v>
      </c>
      <c r="AR27" s="267">
        <f t="shared" si="8"/>
        <v>1095616.4383561644</v>
      </c>
      <c r="AS27" s="267">
        <f t="shared" si="8"/>
        <v>1060273.9726027397</v>
      </c>
      <c r="AT27" s="267">
        <f t="shared" si="8"/>
        <v>1095616.4383561644</v>
      </c>
      <c r="AU27" s="36"/>
      <c r="AV27" s="9"/>
      <c r="AW27" s="9"/>
      <c r="AX27" s="9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</row>
    <row r="28" spans="1:66" ht="15.75" customHeight="1" outlineLevel="1" x14ac:dyDescent="0.3">
      <c r="A28" s="223"/>
      <c r="B28" s="223"/>
      <c r="C28" s="223"/>
      <c r="D28" s="270" t="s">
        <v>136</v>
      </c>
      <c r="E28" s="8" t="s">
        <v>36</v>
      </c>
      <c r="F28" s="50"/>
      <c r="G28" s="30"/>
      <c r="H28" s="109"/>
      <c r="I28" s="7"/>
      <c r="J28" s="47"/>
      <c r="K28" s="268">
        <f t="shared" ref="K28:AT28" si="9" xml:space="preserve"> K27 * (INDEX($K$17:$V$17, , MATCH(MONTH(K5), $K$16:$V$16, 0)))</f>
        <v>318493.15068493149</v>
      </c>
      <c r="L28" s="268">
        <f xml:space="preserve"> L27 * (INDEX($K$17:$V$17, , MATCH(MONTH(L5), $K$16:$V$16, 0)))</f>
        <v>326027.39726027398</v>
      </c>
      <c r="M28" s="268">
        <f t="shared" si="9"/>
        <v>382191.78082191781</v>
      </c>
      <c r="N28" s="268">
        <f t="shared" si="9"/>
        <v>452054.79452054796</v>
      </c>
      <c r="O28" s="268">
        <f t="shared" si="9"/>
        <v>509589.04109589034</v>
      </c>
      <c r="P28" s="268">
        <f t="shared" si="9"/>
        <v>513698.63013698626</v>
      </c>
      <c r="Q28" s="268">
        <f t="shared" si="9"/>
        <v>509589.04109589034</v>
      </c>
      <c r="R28" s="268">
        <f t="shared" si="9"/>
        <v>467123.28767123289</v>
      </c>
      <c r="S28" s="268">
        <f t="shared" si="9"/>
        <v>431506.84931506845</v>
      </c>
      <c r="T28" s="268">
        <f t="shared" si="9"/>
        <v>403424.65753424651</v>
      </c>
      <c r="U28" s="268">
        <f t="shared" si="9"/>
        <v>349315.06849315064</v>
      </c>
      <c r="V28" s="268">
        <f t="shared" si="9"/>
        <v>339726.0273972603</v>
      </c>
      <c r="W28" s="35">
        <f t="shared" si="9"/>
        <v>684760.27397260279</v>
      </c>
      <c r="X28" s="268">
        <f t="shared" si="9"/>
        <v>700958.90410958906</v>
      </c>
      <c r="Y28" s="268">
        <f t="shared" si="9"/>
        <v>821712.32876712328</v>
      </c>
      <c r="Z28" s="35">
        <f t="shared" si="9"/>
        <v>971917.80821917811</v>
      </c>
      <c r="AA28" s="268">
        <f t="shared" si="9"/>
        <v>1095616.4383561644</v>
      </c>
      <c r="AB28" s="268">
        <f t="shared" si="9"/>
        <v>1104452.0547945206</v>
      </c>
      <c r="AC28" s="268">
        <f t="shared" si="9"/>
        <v>1095616.4383561644</v>
      </c>
      <c r="AD28" s="268">
        <f t="shared" si="9"/>
        <v>1004315.0684931508</v>
      </c>
      <c r="AE28" s="268">
        <f t="shared" si="9"/>
        <v>927739.72602739732</v>
      </c>
      <c r="AF28" s="268">
        <f t="shared" si="9"/>
        <v>867363.01369863015</v>
      </c>
      <c r="AG28" s="268">
        <f t="shared" si="9"/>
        <v>751027.39726027392</v>
      </c>
      <c r="AH28" s="35">
        <f t="shared" si="9"/>
        <v>730410.95890410966</v>
      </c>
      <c r="AI28" s="268">
        <f t="shared" si="9"/>
        <v>821712.32876712328</v>
      </c>
      <c r="AJ28" s="268">
        <f t="shared" si="9"/>
        <v>841150.68493150687</v>
      </c>
      <c r="AK28" s="268">
        <f t="shared" si="9"/>
        <v>986054.79452054796</v>
      </c>
      <c r="AL28" s="268">
        <f t="shared" si="9"/>
        <v>1166301.3698630137</v>
      </c>
      <c r="AM28" s="268">
        <f t="shared" si="9"/>
        <v>1314739.7260273972</v>
      </c>
      <c r="AN28" s="268">
        <f t="shared" si="9"/>
        <v>1325342.4657534247</v>
      </c>
      <c r="AO28" s="268">
        <f t="shared" si="9"/>
        <v>1314739.7260273972</v>
      </c>
      <c r="AP28" s="268">
        <f t="shared" si="9"/>
        <v>1205178.0821917809</v>
      </c>
      <c r="AQ28" s="268">
        <f t="shared" si="9"/>
        <v>1113287.6712328768</v>
      </c>
      <c r="AR28" s="268">
        <f t="shared" si="9"/>
        <v>1040835.6164383561</v>
      </c>
      <c r="AS28" s="268">
        <f t="shared" si="9"/>
        <v>901232.87671232875</v>
      </c>
      <c r="AT28" s="268">
        <f t="shared" si="9"/>
        <v>876493.15068493155</v>
      </c>
      <c r="AU28" s="35"/>
      <c r="AV28" s="9"/>
      <c r="AW28" s="9"/>
      <c r="AX28" s="9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</row>
    <row r="29" spans="1:66" ht="15.75" customHeight="1" outlineLevel="1" x14ac:dyDescent="0.3">
      <c r="A29" s="223"/>
      <c r="B29" s="223"/>
      <c r="C29" s="223"/>
      <c r="D29" s="19"/>
      <c r="E29" s="8"/>
      <c r="F29" s="50"/>
      <c r="G29" s="30"/>
      <c r="H29" s="8"/>
      <c r="I29" s="7"/>
      <c r="J29" s="47"/>
      <c r="K29" s="268"/>
      <c r="L29" s="268"/>
      <c r="M29" s="268"/>
      <c r="N29" s="268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9"/>
      <c r="AW29" s="9"/>
      <c r="AX29" s="9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</row>
    <row r="30" spans="1:66" ht="15.75" customHeight="1" x14ac:dyDescent="0.3">
      <c r="A30" s="223"/>
      <c r="B30" s="223"/>
      <c r="C30" s="223"/>
      <c r="D30" s="19"/>
      <c r="E30" s="8"/>
      <c r="F30" s="50"/>
      <c r="G30" s="30"/>
      <c r="H30" s="8"/>
      <c r="I30" s="7"/>
      <c r="J30" s="47"/>
      <c r="K30" s="268"/>
      <c r="L30" s="268"/>
      <c r="M30" s="268"/>
      <c r="N30" s="268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9"/>
      <c r="AW30" s="9"/>
      <c r="AX30" s="9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</row>
    <row r="31" spans="1:66" ht="18" customHeight="1" collapsed="1" x14ac:dyDescent="0.3">
      <c r="A31" s="13"/>
      <c r="B31" s="105"/>
      <c r="C31" s="105"/>
      <c r="D31" s="104" t="s">
        <v>292</v>
      </c>
      <c r="E31" s="105"/>
      <c r="F31" s="105"/>
      <c r="G31" s="106"/>
      <c r="H31" s="105"/>
      <c r="I31" s="105"/>
      <c r="J31" s="41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60"/>
      <c r="AX31" s="160"/>
      <c r="AY31" s="160"/>
      <c r="AZ31" s="160"/>
    </row>
    <row r="32" spans="1:66" s="344" customFormat="1" ht="12.45" outlineLevel="1" x14ac:dyDescent="0.3">
      <c r="A32" s="453"/>
      <c r="B32" s="492"/>
      <c r="C32" s="492"/>
      <c r="D32" s="491"/>
      <c r="E32" s="492"/>
      <c r="F32" s="492"/>
      <c r="G32" s="493"/>
      <c r="H32" s="492"/>
      <c r="I32" s="492"/>
      <c r="J32" s="494"/>
      <c r="K32" s="495"/>
      <c r="L32" s="495"/>
      <c r="M32" s="495"/>
      <c r="N32" s="495"/>
      <c r="O32" s="495"/>
      <c r="P32" s="495"/>
      <c r="Q32" s="495"/>
      <c r="R32" s="495"/>
      <c r="S32" s="495"/>
      <c r="T32" s="495"/>
      <c r="U32" s="495"/>
      <c r="V32" s="495"/>
      <c r="W32" s="495"/>
      <c r="X32" s="495"/>
      <c r="Y32" s="495"/>
      <c r="Z32" s="495"/>
      <c r="AA32" s="495"/>
      <c r="AB32" s="495"/>
      <c r="AC32" s="495"/>
      <c r="AD32" s="495"/>
      <c r="AE32" s="495"/>
      <c r="AF32" s="495"/>
      <c r="AG32" s="495"/>
      <c r="AH32" s="495"/>
      <c r="AI32" s="495"/>
      <c r="AJ32" s="495"/>
      <c r="AK32" s="495"/>
      <c r="AL32" s="495"/>
      <c r="AM32" s="495"/>
      <c r="AN32" s="495"/>
      <c r="AO32" s="495"/>
      <c r="AP32" s="495"/>
      <c r="AQ32" s="495"/>
      <c r="AR32" s="495"/>
      <c r="AS32" s="495"/>
      <c r="AT32" s="495"/>
      <c r="AU32" s="495"/>
      <c r="AV32" s="495"/>
      <c r="AW32" s="496"/>
      <c r="AX32" s="496"/>
      <c r="AY32" s="496"/>
      <c r="AZ32" s="496"/>
    </row>
    <row r="33" spans="1:66" s="429" customFormat="1" ht="15.75" customHeight="1" outlineLevel="1" x14ac:dyDescent="0.3">
      <c r="A33" s="223"/>
      <c r="B33" s="223"/>
      <c r="C33" s="223"/>
      <c r="D33" s="444" t="s">
        <v>137</v>
      </c>
      <c r="E33" s="445" t="s">
        <v>36</v>
      </c>
      <c r="F33" s="633"/>
      <c r="G33" s="634"/>
      <c r="H33" s="445"/>
      <c r="I33" s="446"/>
      <c r="J33" s="446"/>
      <c r="K33" s="447">
        <f ca="1" xml:space="preserve"> IF(K7 &lt; $H$19, 0, OFFSET(K24, 0, - 1 * $H$19))</f>
        <v>0</v>
      </c>
      <c r="L33" s="447">
        <f t="shared" ref="L33:AT33" ca="1" si="10" xml:space="preserve"> IF(L7 &lt; $H$19, 0, OFFSET(L24, 0, - 1 * $H$19))</f>
        <v>0</v>
      </c>
      <c r="M33" s="447">
        <f ca="1" xml:space="preserve"> IF(M7 &lt; $H$19, 0, OFFSET(M24, 0, - 1 * $H$19))</f>
        <v>326027.39726027398</v>
      </c>
      <c r="N33" s="447">
        <f ca="1" xml:space="preserve"> IF(N7 &lt; $H$19, 0, OFFSET(N24, 0, - 1 * $H$19))</f>
        <v>382191.78082191781</v>
      </c>
      <c r="O33" s="447">
        <f t="shared" ca="1" si="10"/>
        <v>452054.79452054796</v>
      </c>
      <c r="P33" s="447">
        <f t="shared" ca="1" si="10"/>
        <v>509589.04109589034</v>
      </c>
      <c r="Q33" s="447">
        <f t="shared" ca="1" si="10"/>
        <v>513698.63013698626</v>
      </c>
      <c r="R33" s="447">
        <f t="shared" ca="1" si="10"/>
        <v>509589.04109589034</v>
      </c>
      <c r="S33" s="447">
        <f t="shared" ca="1" si="10"/>
        <v>467123.28767123289</v>
      </c>
      <c r="T33" s="447">
        <f t="shared" ca="1" si="10"/>
        <v>431506.84931506845</v>
      </c>
      <c r="U33" s="447">
        <f t="shared" ca="1" si="10"/>
        <v>403424.65753424651</v>
      </c>
      <c r="V33" s="447">
        <f t="shared" ca="1" si="10"/>
        <v>349315.06849315064</v>
      </c>
      <c r="W33" s="447">
        <f t="shared" ca="1" si="10"/>
        <v>339726.0273972603</v>
      </c>
      <c r="X33" s="447">
        <f t="shared" ca="1" si="10"/>
        <v>684760.27397260279</v>
      </c>
      <c r="Y33" s="447">
        <f t="shared" ca="1" si="10"/>
        <v>700958.90410958906</v>
      </c>
      <c r="Z33" s="447">
        <f t="shared" ca="1" si="10"/>
        <v>821712.32876712328</v>
      </c>
      <c r="AA33" s="447">
        <f t="shared" ca="1" si="10"/>
        <v>971917.80821917811</v>
      </c>
      <c r="AB33" s="447">
        <f t="shared" ca="1" si="10"/>
        <v>1095616.4383561644</v>
      </c>
      <c r="AC33" s="447">
        <f t="shared" ca="1" si="10"/>
        <v>1104452.0547945206</v>
      </c>
      <c r="AD33" s="447">
        <f t="shared" ca="1" si="10"/>
        <v>1095616.4383561644</v>
      </c>
      <c r="AE33" s="447">
        <f t="shared" ca="1" si="10"/>
        <v>1004315.0684931508</v>
      </c>
      <c r="AF33" s="447">
        <f t="shared" ca="1" si="10"/>
        <v>927739.72602739732</v>
      </c>
      <c r="AG33" s="447">
        <f t="shared" ca="1" si="10"/>
        <v>867363.01369863015</v>
      </c>
      <c r="AH33" s="447">
        <f t="shared" ca="1" si="10"/>
        <v>751027.39726027392</v>
      </c>
      <c r="AI33" s="447">
        <f t="shared" ca="1" si="10"/>
        <v>730410.95890410966</v>
      </c>
      <c r="AJ33" s="447">
        <f t="shared" ca="1" si="10"/>
        <v>821712.32876712328</v>
      </c>
      <c r="AK33" s="447">
        <f t="shared" ca="1" si="10"/>
        <v>841150.68493150687</v>
      </c>
      <c r="AL33" s="447">
        <f t="shared" ca="1" si="10"/>
        <v>986054.79452054796</v>
      </c>
      <c r="AM33" s="447">
        <f t="shared" ca="1" si="10"/>
        <v>1166301.3698630137</v>
      </c>
      <c r="AN33" s="447">
        <f t="shared" ca="1" si="10"/>
        <v>1314739.7260273972</v>
      </c>
      <c r="AO33" s="447">
        <f t="shared" ca="1" si="10"/>
        <v>1325342.4657534247</v>
      </c>
      <c r="AP33" s="447">
        <f t="shared" ca="1" si="10"/>
        <v>1314739.7260273972</v>
      </c>
      <c r="AQ33" s="447">
        <f t="shared" ca="1" si="10"/>
        <v>1205178.0821917809</v>
      </c>
      <c r="AR33" s="447">
        <f t="shared" ca="1" si="10"/>
        <v>1113287.6712328768</v>
      </c>
      <c r="AS33" s="447">
        <f t="shared" ca="1" si="10"/>
        <v>1040835.6164383561</v>
      </c>
      <c r="AT33" s="447">
        <f t="shared" ca="1" si="10"/>
        <v>901232.87671232875</v>
      </c>
      <c r="AU33" s="447"/>
      <c r="AV33" s="444"/>
      <c r="AW33" s="444"/>
      <c r="AX33" s="444"/>
      <c r="AY33" s="443"/>
      <c r="AZ33" s="443"/>
      <c r="BA33" s="443"/>
      <c r="BB33" s="443"/>
      <c r="BC33" s="443"/>
      <c r="BD33" s="443"/>
      <c r="BE33" s="443"/>
      <c r="BF33" s="443"/>
      <c r="BG33" s="443"/>
      <c r="BH33" s="443"/>
      <c r="BI33" s="443"/>
      <c r="BJ33" s="443"/>
      <c r="BK33" s="443"/>
      <c r="BL33" s="443"/>
      <c r="BM33" s="443"/>
      <c r="BN33" s="443"/>
    </row>
    <row r="34" spans="1:66" s="394" customFormat="1" ht="15.75" customHeight="1" outlineLevel="1" x14ac:dyDescent="0.3">
      <c r="A34" s="223"/>
      <c r="B34" s="223"/>
      <c r="C34" s="223"/>
      <c r="D34" s="404" t="s">
        <v>138</v>
      </c>
      <c r="E34" s="8"/>
      <c r="F34" s="50"/>
      <c r="G34" s="8"/>
      <c r="H34" s="8"/>
      <c r="I34" s="8"/>
      <c r="J34" s="405"/>
      <c r="K34" s="36">
        <f ca="1" xml:space="preserve"> SUMIF($K$4:$AU$4, K$13, $K$33:$AU$33)</f>
        <v>4344520.5479452051</v>
      </c>
      <c r="L34" s="267">
        <f ca="1" xml:space="preserve"> SUMIF($K$4:$AU$4, L$13, $K$33:$AU$33)</f>
        <v>10365205.479452055</v>
      </c>
      <c r="M34" s="267">
        <f ca="1" xml:space="preserve"> SUMIF($K$4:$AU$4, M$13, $K$33:$AU$33)</f>
        <v>12760986.301369864</v>
      </c>
      <c r="N34" s="267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9"/>
      <c r="AW34" s="9"/>
      <c r="AX34" s="9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</row>
    <row r="35" spans="1:66" ht="12.75" customHeight="1" x14ac:dyDescent="0.3">
      <c r="A35" s="223"/>
      <c r="B35" s="223"/>
      <c r="C35" s="223"/>
      <c r="D35" s="56"/>
      <c r="E35" s="8"/>
      <c r="F35" s="50"/>
      <c r="G35" s="30"/>
      <c r="H35" s="8"/>
      <c r="I35" s="7"/>
      <c r="J35" s="7"/>
      <c r="K35" s="343"/>
      <c r="L35" s="343"/>
      <c r="M35" s="343"/>
      <c r="N35" s="34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</row>
    <row r="36" spans="1:66" ht="12.75" customHeight="1" x14ac:dyDescent="0.3">
      <c r="A36" s="223"/>
      <c r="B36" s="223"/>
      <c r="C36" s="223"/>
      <c r="D36" s="6"/>
      <c r="E36" s="8"/>
      <c r="F36" s="50"/>
      <c r="G36" s="8"/>
      <c r="H36" s="8"/>
      <c r="I36" s="7"/>
      <c r="J36" s="8"/>
      <c r="K36" s="332"/>
      <c r="L36" s="332"/>
      <c r="M36" s="332"/>
      <c r="N36" s="332"/>
      <c r="O36" s="6"/>
      <c r="P36" s="6"/>
      <c r="Q36" s="6"/>
      <c r="R36" s="6"/>
      <c r="S36" s="6"/>
      <c r="T36" s="6"/>
      <c r="U36" s="6"/>
      <c r="V36" s="6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</row>
    <row r="37" spans="1:66" ht="12.75" customHeight="1" x14ac:dyDescent="0.3">
      <c r="A37" s="13"/>
      <c r="B37" s="13"/>
      <c r="C37" s="13"/>
      <c r="D37" s="6"/>
      <c r="E37" s="8"/>
      <c r="F37" s="50"/>
      <c r="G37" s="8"/>
      <c r="H37" s="8"/>
      <c r="I37" s="7"/>
      <c r="J37" s="64"/>
      <c r="K37" s="332"/>
      <c r="L37" s="332"/>
      <c r="M37" s="332"/>
      <c r="N37" s="332"/>
      <c r="O37" s="6"/>
      <c r="P37" s="6"/>
      <c r="Q37" s="6"/>
      <c r="R37" s="6"/>
      <c r="S37" s="6"/>
      <c r="T37" s="6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</row>
    <row r="38" spans="1:66" ht="12.75" customHeight="1" x14ac:dyDescent="0.3">
      <c r="A38" s="13"/>
      <c r="B38" s="13"/>
      <c r="C38" s="13"/>
      <c r="D38" s="6"/>
      <c r="E38" s="8"/>
      <c r="F38" s="50"/>
      <c r="G38" s="8"/>
      <c r="H38" s="8"/>
      <c r="I38" s="7"/>
      <c r="J38" s="69"/>
      <c r="K38" s="332"/>
      <c r="L38" s="332"/>
      <c r="M38" s="332"/>
      <c r="N38" s="33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</row>
    <row r="39" spans="1:66" ht="12.75" customHeight="1" x14ac:dyDescent="0.3">
      <c r="A39" s="13"/>
      <c r="B39" s="13"/>
      <c r="C39" s="13"/>
      <c r="D39" s="6"/>
      <c r="E39" s="8"/>
      <c r="F39" s="50"/>
      <c r="G39" s="8"/>
      <c r="H39" s="8"/>
      <c r="I39" s="7"/>
      <c r="J39" s="69"/>
      <c r="K39" s="332"/>
      <c r="L39" s="332"/>
      <c r="M39" s="332"/>
      <c r="N39" s="332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</row>
    <row r="40" spans="1:66" ht="12.75" customHeight="1" x14ac:dyDescent="0.3">
      <c r="A40" s="13"/>
      <c r="B40" s="13"/>
      <c r="C40" s="13"/>
      <c r="D40" s="6"/>
      <c r="E40" s="8"/>
      <c r="F40" s="50"/>
      <c r="G40" s="8"/>
      <c r="H40" s="8"/>
      <c r="I40" s="7"/>
      <c r="J40" s="69"/>
      <c r="K40" s="344"/>
      <c r="L40" s="332"/>
      <c r="M40" s="332"/>
      <c r="N40" s="332"/>
      <c r="O40" s="6"/>
      <c r="P40" s="6"/>
      <c r="Q40" s="6"/>
      <c r="R40" s="6"/>
      <c r="S40" s="6"/>
      <c r="T40" s="6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</row>
    <row r="41" spans="1:66" ht="12.75" customHeight="1" x14ac:dyDescent="0.3">
      <c r="A41" s="13"/>
      <c r="B41" s="13"/>
      <c r="C41" s="13"/>
      <c r="D41" s="6"/>
      <c r="E41" s="8"/>
      <c r="F41" s="50"/>
      <c r="G41" s="8"/>
      <c r="H41" s="8"/>
      <c r="I41" s="7"/>
      <c r="J41" s="69"/>
      <c r="K41" s="332"/>
      <c r="L41" s="332"/>
      <c r="M41" s="332"/>
      <c r="N41" s="332"/>
      <c r="O41" s="6"/>
      <c r="P41" s="6"/>
      <c r="Q41" s="6"/>
      <c r="R41" s="6"/>
      <c r="S41" s="6"/>
      <c r="T41" s="6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</row>
    <row r="42" spans="1:66" ht="12.75" customHeight="1" x14ac:dyDescent="0.3">
      <c r="A42" s="13"/>
      <c r="B42" s="13"/>
      <c r="C42" s="13"/>
      <c r="D42" s="6"/>
      <c r="E42" s="8"/>
      <c r="F42" s="50"/>
      <c r="G42" s="8"/>
      <c r="H42" s="8"/>
      <c r="I42" s="7"/>
      <c r="J42" s="69"/>
      <c r="K42" s="332"/>
      <c r="L42" s="332"/>
      <c r="M42" s="332"/>
      <c r="N42" s="332"/>
      <c r="O42" s="6"/>
      <c r="P42" s="6"/>
      <c r="Q42" s="6"/>
      <c r="R42" s="6"/>
      <c r="S42" s="6"/>
      <c r="T42" s="6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</row>
    <row r="43" spans="1:66" ht="12.75" customHeight="1" x14ac:dyDescent="0.3">
      <c r="A43" s="13"/>
      <c r="B43" s="13"/>
      <c r="C43" s="13"/>
      <c r="D43" s="6"/>
      <c r="E43" s="8"/>
      <c r="F43" s="50"/>
      <c r="G43" s="8"/>
      <c r="H43" s="8"/>
      <c r="I43" s="7"/>
      <c r="J43" s="69"/>
      <c r="K43" s="6"/>
      <c r="L43" s="6"/>
      <c r="M43" s="6"/>
      <c r="N43" s="6"/>
      <c r="O43" s="6"/>
      <c r="P43" s="6"/>
      <c r="Q43" s="6"/>
      <c r="R43" s="6"/>
      <c r="S43" s="6"/>
      <c r="T43" s="6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</row>
    <row r="44" spans="1:66" ht="12.75" customHeight="1" x14ac:dyDescent="0.3">
      <c r="A44" s="13"/>
      <c r="B44" s="13"/>
      <c r="C44" s="13"/>
      <c r="D44" s="6"/>
      <c r="E44" s="8"/>
      <c r="F44" s="50"/>
      <c r="G44" s="8"/>
      <c r="H44" s="8"/>
      <c r="I44" s="7"/>
      <c r="J44" s="69"/>
      <c r="K44" s="6"/>
      <c r="L44" s="6"/>
      <c r="M44" s="6"/>
      <c r="N44" s="6"/>
      <c r="O44" s="6"/>
      <c r="P44" s="6"/>
      <c r="Q44" s="6"/>
      <c r="R44" s="6"/>
      <c r="S44" s="6"/>
      <c r="T44" s="6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</row>
    <row r="45" spans="1:66" ht="12.75" customHeight="1" x14ac:dyDescent="0.3">
      <c r="A45" s="13"/>
      <c r="B45" s="13"/>
      <c r="C45" s="13"/>
      <c r="D45" s="6"/>
      <c r="E45" s="8"/>
      <c r="F45" s="50"/>
      <c r="G45" s="8"/>
      <c r="H45" s="8"/>
      <c r="I45" s="7"/>
      <c r="J45" s="76"/>
      <c r="K45" s="6"/>
      <c r="L45" s="6"/>
      <c r="M45" s="6"/>
      <c r="N45" s="6"/>
      <c r="O45" s="6"/>
      <c r="P45" s="6"/>
      <c r="Q45" s="6"/>
      <c r="R45" s="6"/>
      <c r="S45" s="6"/>
      <c r="T45" s="6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</row>
    <row r="46" spans="1:66" ht="12.75" customHeight="1" x14ac:dyDescent="0.3">
      <c r="A46" s="13"/>
      <c r="B46" s="13"/>
      <c r="C46" s="13"/>
      <c r="D46" s="6"/>
      <c r="E46" s="8"/>
      <c r="F46" s="50"/>
      <c r="G46" s="8"/>
      <c r="H46" s="8"/>
      <c r="I46" s="7"/>
      <c r="J46" s="78"/>
      <c r="K46" s="6"/>
      <c r="L46" s="6"/>
      <c r="M46" s="6"/>
      <c r="N46" s="6"/>
      <c r="O46" s="6"/>
      <c r="P46" s="6"/>
      <c r="Q46" s="6"/>
      <c r="R46" s="6"/>
      <c r="S46" s="6"/>
      <c r="T46" s="6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</row>
    <row r="47" spans="1:66" ht="12.75" customHeight="1" x14ac:dyDescent="0.3">
      <c r="A47" s="13"/>
      <c r="B47" s="13"/>
      <c r="C47" s="13"/>
      <c r="D47" s="6"/>
      <c r="E47" s="8"/>
      <c r="F47" s="50"/>
      <c r="G47" s="8"/>
      <c r="H47" s="8"/>
      <c r="I47" s="7"/>
      <c r="J47" s="78"/>
      <c r="K47" s="6"/>
      <c r="L47" s="6"/>
      <c r="M47" s="6"/>
      <c r="N47" s="6"/>
      <c r="O47" s="6"/>
      <c r="P47" s="6"/>
      <c r="Q47" s="6"/>
      <c r="R47" s="6"/>
      <c r="S47" s="6"/>
      <c r="T47" s="6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</row>
    <row r="48" spans="1:66" ht="12.75" customHeight="1" x14ac:dyDescent="0.3">
      <c r="A48" s="13"/>
      <c r="B48" s="13"/>
      <c r="C48" s="13"/>
      <c r="D48" s="6"/>
      <c r="E48" s="8"/>
      <c r="F48" s="50"/>
      <c r="G48" s="8"/>
      <c r="H48" s="8"/>
      <c r="I48" s="7"/>
      <c r="J48" s="46"/>
      <c r="K48" s="6"/>
      <c r="L48" s="6"/>
      <c r="M48" s="6"/>
      <c r="N48" s="6"/>
      <c r="O48" s="6"/>
      <c r="P48" s="6"/>
      <c r="Q48" s="6"/>
      <c r="R48" s="6"/>
      <c r="S48" s="6"/>
      <c r="T48" s="6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</row>
    <row r="49" spans="1:66" ht="12.75" customHeight="1" x14ac:dyDescent="0.3">
      <c r="A49" s="13"/>
      <c r="B49" s="13"/>
      <c r="C49" s="13"/>
      <c r="D49" s="6"/>
      <c r="E49" s="8"/>
      <c r="F49" s="50"/>
      <c r="G49" s="8"/>
      <c r="H49" s="8"/>
      <c r="I49" s="7"/>
      <c r="J49" s="82"/>
      <c r="K49" s="6"/>
      <c r="L49" s="6"/>
      <c r="M49" s="6"/>
      <c r="N49" s="6"/>
      <c r="O49" s="6"/>
      <c r="P49" s="6"/>
      <c r="Q49" s="6"/>
      <c r="R49" s="6"/>
      <c r="S49" s="6"/>
      <c r="T49" s="6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</row>
    <row r="50" spans="1:66" ht="12.75" customHeight="1" x14ac:dyDescent="0.3">
      <c r="A50" s="13"/>
      <c r="B50" s="13"/>
      <c r="C50" s="13"/>
      <c r="D50" s="6"/>
      <c r="E50" s="8"/>
      <c r="F50" s="50"/>
      <c r="G50" s="8"/>
      <c r="H50" s="8"/>
      <c r="I50" s="7"/>
      <c r="J50" s="61"/>
      <c r="K50" s="6"/>
      <c r="L50" s="6"/>
      <c r="M50" s="6"/>
      <c r="N50" s="6"/>
      <c r="O50" s="6"/>
      <c r="P50" s="6"/>
      <c r="Q50" s="6"/>
      <c r="R50" s="6"/>
      <c r="S50" s="6"/>
      <c r="T50" s="6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</row>
    <row r="51" spans="1:66" ht="12.75" customHeight="1" x14ac:dyDescent="0.3">
      <c r="A51" s="13"/>
      <c r="B51" s="13"/>
      <c r="C51" s="13"/>
      <c r="D51" s="6"/>
      <c r="E51" s="8"/>
      <c r="F51" s="50"/>
      <c r="G51" s="8"/>
      <c r="H51" s="8"/>
      <c r="I51" s="7"/>
      <c r="J51" s="61"/>
      <c r="K51" s="6"/>
      <c r="L51" s="6"/>
      <c r="M51" s="6"/>
      <c r="N51" s="6"/>
      <c r="O51" s="6"/>
      <c r="P51" s="6"/>
      <c r="Q51" s="6"/>
      <c r="R51" s="6"/>
      <c r="S51" s="6"/>
      <c r="T51" s="6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</row>
    <row r="52" spans="1:66" ht="12.75" customHeight="1" x14ac:dyDescent="0.3">
      <c r="A52" s="13"/>
      <c r="B52" s="13"/>
      <c r="C52" s="13"/>
      <c r="D52" s="6"/>
      <c r="E52" s="8"/>
      <c r="F52" s="50"/>
      <c r="G52" s="8"/>
      <c r="H52" s="8"/>
      <c r="I52" s="7"/>
      <c r="J52" s="61"/>
      <c r="K52" s="6"/>
      <c r="L52" s="6"/>
      <c r="M52" s="6"/>
      <c r="N52" s="6"/>
      <c r="O52" s="6"/>
      <c r="P52" s="6"/>
      <c r="Q52" s="6"/>
      <c r="R52" s="6"/>
      <c r="S52" s="6"/>
      <c r="T52" s="6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</row>
    <row r="53" spans="1:66" ht="12.75" customHeight="1" x14ac:dyDescent="0.3">
      <c r="A53" s="13"/>
      <c r="B53" s="13"/>
      <c r="C53" s="13"/>
      <c r="D53" s="6"/>
      <c r="E53" s="8"/>
      <c r="F53" s="50"/>
      <c r="G53" s="8"/>
      <c r="H53" s="8"/>
      <c r="I53" s="7"/>
      <c r="J53" s="7"/>
      <c r="K53" s="6"/>
      <c r="L53" s="6"/>
      <c r="M53" s="6"/>
      <c r="N53" s="6"/>
      <c r="O53" s="6"/>
      <c r="P53" s="6"/>
      <c r="Q53" s="6"/>
      <c r="R53" s="6"/>
      <c r="S53" s="6"/>
      <c r="T53" s="6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</row>
    <row r="54" spans="1:66" ht="12.75" customHeight="1" x14ac:dyDescent="0.3">
      <c r="A54" s="13"/>
      <c r="B54" s="13"/>
      <c r="C54" s="13"/>
      <c r="D54" s="6"/>
      <c r="E54" s="8"/>
      <c r="F54" s="50"/>
      <c r="G54" s="8"/>
      <c r="H54" s="8"/>
      <c r="I54" s="7"/>
      <c r="J54" s="8"/>
      <c r="K54" s="6"/>
      <c r="L54" s="6"/>
      <c r="M54" s="6"/>
      <c r="N54" s="6"/>
      <c r="O54" s="6"/>
      <c r="P54" s="6"/>
      <c r="Q54" s="6"/>
      <c r="R54" s="6"/>
      <c r="S54" s="6"/>
      <c r="T54" s="6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</row>
    <row r="55" spans="1:66" ht="12.75" customHeight="1" x14ac:dyDescent="0.3">
      <c r="A55" s="13"/>
      <c r="B55" s="13"/>
      <c r="C55" s="13"/>
      <c r="D55" s="6"/>
      <c r="E55" s="8"/>
      <c r="F55" s="50"/>
      <c r="G55" s="8"/>
      <c r="H55" s="8"/>
      <c r="I55" s="7"/>
      <c r="J55" s="42"/>
      <c r="K55" s="6"/>
      <c r="L55" s="6"/>
      <c r="M55" s="6"/>
      <c r="N55" s="6"/>
      <c r="O55" s="6"/>
      <c r="P55" s="6"/>
      <c r="Q55" s="6"/>
      <c r="R55" s="6"/>
      <c r="S55" s="6"/>
      <c r="T55" s="6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</row>
    <row r="56" spans="1:66" ht="12.75" customHeight="1" x14ac:dyDescent="0.3">
      <c r="A56" s="19"/>
      <c r="B56" s="19"/>
      <c r="C56" s="19"/>
      <c r="D56" s="6"/>
      <c r="E56" s="8"/>
      <c r="F56" s="50"/>
      <c r="G56" s="8"/>
      <c r="H56" s="8"/>
      <c r="I56" s="7"/>
      <c r="J56" s="7"/>
      <c r="K56" s="6"/>
      <c r="L56" s="6"/>
      <c r="M56" s="6"/>
      <c r="N56" s="6"/>
      <c r="O56" s="6"/>
      <c r="P56" s="6"/>
      <c r="Q56" s="6"/>
      <c r="R56" s="6"/>
      <c r="S56" s="6"/>
      <c r="T56" s="6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</row>
    <row r="57" spans="1:66" ht="12.75" customHeight="1" x14ac:dyDescent="0.3">
      <c r="A57" s="19"/>
      <c r="B57" s="19"/>
      <c r="C57" s="19"/>
      <c r="D57" s="6"/>
      <c r="E57" s="8"/>
      <c r="F57" s="50"/>
      <c r="G57" s="8"/>
      <c r="H57" s="8"/>
      <c r="I57" s="7"/>
      <c r="J57" s="7"/>
      <c r="K57" s="6"/>
      <c r="L57" s="6"/>
      <c r="M57" s="6"/>
      <c r="N57" s="6"/>
      <c r="O57" s="6"/>
      <c r="P57" s="6"/>
      <c r="Q57" s="6"/>
      <c r="R57" s="6"/>
      <c r="S57" s="6"/>
      <c r="T57" s="6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</row>
    <row r="58" spans="1:66" ht="12.75" customHeight="1" x14ac:dyDescent="0.3">
      <c r="A58" s="19"/>
      <c r="B58" s="19"/>
      <c r="C58" s="19"/>
      <c r="D58" s="6"/>
      <c r="E58" s="8"/>
      <c r="F58" s="50"/>
      <c r="G58" s="8"/>
      <c r="H58" s="8"/>
      <c r="I58" s="7"/>
      <c r="J58" s="7"/>
      <c r="K58" s="6"/>
      <c r="L58" s="6"/>
      <c r="M58" s="6"/>
      <c r="N58" s="6"/>
      <c r="O58" s="6"/>
      <c r="P58" s="6"/>
      <c r="Q58" s="6"/>
      <c r="R58" s="6"/>
      <c r="S58" s="6"/>
      <c r="T58" s="6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</row>
    <row r="59" spans="1:66" ht="12.75" customHeight="1" x14ac:dyDescent="0.3">
      <c r="A59" s="13"/>
      <c r="B59" s="13"/>
      <c r="C59" s="13"/>
      <c r="D59" s="6"/>
      <c r="E59" s="8"/>
      <c r="F59" s="50"/>
      <c r="G59" s="8"/>
      <c r="H59" s="8"/>
      <c r="I59" s="7"/>
      <c r="J59" s="7"/>
      <c r="K59" s="6"/>
      <c r="L59" s="6"/>
      <c r="M59" s="6"/>
      <c r="N59" s="6"/>
      <c r="O59" s="6"/>
      <c r="P59" s="6"/>
      <c r="Q59" s="6"/>
      <c r="R59" s="6"/>
      <c r="S59" s="6"/>
      <c r="T59" s="6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</row>
    <row r="60" spans="1:66" ht="12.75" customHeight="1" x14ac:dyDescent="0.3">
      <c r="A60" s="19"/>
      <c r="B60" s="19"/>
      <c r="C60" s="19"/>
      <c r="D60" s="6"/>
      <c r="E60" s="8"/>
      <c r="F60" s="50"/>
      <c r="G60" s="8"/>
      <c r="H60" s="8"/>
      <c r="I60" s="7"/>
      <c r="J60" s="7"/>
      <c r="K60" s="6"/>
      <c r="L60" s="6"/>
      <c r="M60" s="6"/>
      <c r="N60" s="6"/>
      <c r="O60" s="6"/>
      <c r="P60" s="6"/>
      <c r="Q60" s="6"/>
      <c r="R60" s="6"/>
      <c r="S60" s="6"/>
      <c r="T60" s="6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</row>
    <row r="61" spans="1:66" ht="12.75" customHeight="1" x14ac:dyDescent="0.3">
      <c r="A61" s="19"/>
      <c r="B61" s="19"/>
      <c r="C61" s="19"/>
      <c r="D61" s="6"/>
      <c r="E61" s="8"/>
      <c r="F61" s="50"/>
      <c r="G61" s="8"/>
      <c r="H61" s="8"/>
      <c r="I61" s="7"/>
      <c r="J61" s="7"/>
      <c r="K61" s="6"/>
      <c r="L61" s="6"/>
      <c r="M61" s="6"/>
      <c r="N61" s="6"/>
      <c r="O61" s="6"/>
      <c r="P61" s="6"/>
      <c r="Q61" s="6"/>
      <c r="R61" s="6"/>
      <c r="S61" s="6"/>
      <c r="T61" s="6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</row>
    <row r="62" spans="1:66" ht="12.75" customHeight="1" x14ac:dyDescent="0.3">
      <c r="A62" s="19"/>
      <c r="B62" s="19"/>
      <c r="C62" s="19"/>
      <c r="D62" s="6"/>
      <c r="E62" s="8"/>
      <c r="F62" s="50"/>
      <c r="G62" s="8"/>
      <c r="H62" s="8"/>
      <c r="I62" s="7"/>
      <c r="J62" s="7"/>
      <c r="K62" s="6"/>
      <c r="L62" s="6"/>
      <c r="M62" s="6"/>
      <c r="N62" s="6"/>
      <c r="O62" s="6"/>
      <c r="P62" s="6"/>
      <c r="Q62" s="6"/>
      <c r="R62" s="6"/>
      <c r="S62" s="6"/>
      <c r="T62" s="6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</row>
    <row r="63" spans="1:66" ht="12.75" customHeight="1" x14ac:dyDescent="0.3">
      <c r="A63" s="19"/>
      <c r="B63" s="19"/>
      <c r="C63" s="19"/>
      <c r="D63" s="6"/>
      <c r="E63" s="8"/>
      <c r="F63" s="50"/>
      <c r="G63" s="8"/>
      <c r="H63" s="8"/>
      <c r="I63" s="7"/>
      <c r="J63" s="41"/>
      <c r="K63" s="6"/>
      <c r="L63" s="6"/>
      <c r="M63" s="6"/>
      <c r="N63" s="6"/>
      <c r="O63" s="6"/>
      <c r="P63" s="6"/>
      <c r="Q63" s="6"/>
      <c r="R63" s="6"/>
      <c r="S63" s="6"/>
      <c r="T63" s="6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</row>
    <row r="64" spans="1:66" ht="12.75" customHeight="1" x14ac:dyDescent="0.3">
      <c r="A64" s="13"/>
      <c r="B64" s="13"/>
      <c r="C64" s="13"/>
      <c r="D64" s="6"/>
      <c r="E64" s="8"/>
      <c r="F64" s="50"/>
      <c r="G64" s="8"/>
      <c r="H64" s="8"/>
      <c r="I64" s="7"/>
      <c r="J64" s="7"/>
      <c r="K64" s="6"/>
      <c r="L64" s="6"/>
      <c r="M64" s="6"/>
      <c r="N64" s="6"/>
      <c r="O64" s="6"/>
      <c r="P64" s="6"/>
      <c r="Q64" s="6"/>
      <c r="R64" s="6"/>
      <c r="S64" s="6"/>
      <c r="T64" s="6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</row>
    <row r="65" spans="1:66" ht="12.75" customHeight="1" x14ac:dyDescent="0.3">
      <c r="A65" s="19"/>
      <c r="B65" s="19"/>
      <c r="C65" s="19"/>
      <c r="D65" s="6"/>
      <c r="E65" s="8"/>
      <c r="F65" s="50"/>
      <c r="G65" s="8"/>
      <c r="H65" s="8"/>
      <c r="I65" s="7"/>
      <c r="J65" s="7"/>
      <c r="K65" s="6"/>
      <c r="L65" s="6"/>
      <c r="M65" s="6"/>
      <c r="N65" s="6"/>
      <c r="O65" s="6"/>
      <c r="P65" s="6"/>
      <c r="Q65" s="6"/>
      <c r="R65" s="6"/>
      <c r="S65" s="6"/>
      <c r="T65" s="6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</row>
    <row r="66" spans="1:66" ht="12.75" customHeight="1" x14ac:dyDescent="0.3">
      <c r="A66" s="13"/>
      <c r="B66" s="13"/>
      <c r="C66" s="13"/>
      <c r="D66" s="6"/>
      <c r="E66" s="8"/>
      <c r="F66" s="50"/>
      <c r="G66" s="8"/>
      <c r="H66" s="8"/>
      <c r="I66" s="7"/>
      <c r="J66" s="7"/>
      <c r="K66" s="6"/>
      <c r="L66" s="6"/>
      <c r="M66" s="6"/>
      <c r="N66" s="6"/>
      <c r="O66" s="6"/>
      <c r="P66" s="6"/>
      <c r="Q66" s="6"/>
      <c r="R66" s="6"/>
      <c r="S66" s="6"/>
      <c r="T66" s="6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</row>
    <row r="67" spans="1:66" ht="12.75" customHeight="1" x14ac:dyDescent="0.3">
      <c r="A67" s="13"/>
      <c r="B67" s="13"/>
      <c r="C67" s="13"/>
      <c r="D67" s="6"/>
      <c r="E67" s="8"/>
      <c r="F67" s="50"/>
      <c r="G67" s="8"/>
      <c r="H67" s="8"/>
      <c r="I67" s="7"/>
      <c r="J67" s="7"/>
      <c r="K67" s="6"/>
      <c r="L67" s="6"/>
      <c r="M67" s="6"/>
      <c r="N67" s="6"/>
      <c r="O67" s="6"/>
      <c r="P67" s="6"/>
      <c r="Q67" s="6"/>
      <c r="R67" s="6"/>
      <c r="S67" s="6"/>
      <c r="T67" s="6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</row>
    <row r="68" spans="1:66" ht="12.75" customHeight="1" x14ac:dyDescent="0.3">
      <c r="A68" s="13"/>
      <c r="B68" s="13"/>
      <c r="C68" s="13"/>
      <c r="D68" s="6"/>
      <c r="E68" s="8"/>
      <c r="F68" s="50"/>
      <c r="G68" s="8"/>
      <c r="H68" s="8"/>
      <c r="I68" s="7"/>
      <c r="J68" s="7"/>
      <c r="K68" s="6"/>
      <c r="L68" s="6"/>
      <c r="M68" s="6"/>
      <c r="N68" s="6"/>
      <c r="O68" s="6"/>
      <c r="P68" s="6"/>
      <c r="Q68" s="6"/>
      <c r="R68" s="6"/>
      <c r="S68" s="6"/>
      <c r="T68" s="6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</row>
    <row r="69" spans="1:66" ht="12.75" customHeight="1" x14ac:dyDescent="0.3">
      <c r="A69" s="13"/>
      <c r="B69" s="13"/>
      <c r="C69" s="13"/>
      <c r="D69" s="6"/>
      <c r="E69" s="8"/>
      <c r="F69" s="50"/>
      <c r="G69" s="8"/>
      <c r="H69" s="8"/>
      <c r="I69" s="7"/>
      <c r="J69" s="7"/>
      <c r="K69" s="6"/>
      <c r="L69" s="6"/>
      <c r="M69" s="6"/>
      <c r="N69" s="6"/>
      <c r="O69" s="6"/>
      <c r="P69" s="6"/>
      <c r="Q69" s="6"/>
      <c r="R69" s="6"/>
      <c r="S69" s="6"/>
      <c r="T69" s="6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</row>
    <row r="70" spans="1:66" ht="12.75" customHeight="1" x14ac:dyDescent="0.3">
      <c r="A70" s="13"/>
      <c r="B70" s="13"/>
      <c r="C70" s="13"/>
      <c r="D70" s="6"/>
      <c r="E70" s="8"/>
      <c r="F70" s="50"/>
      <c r="G70" s="8"/>
      <c r="H70" s="8"/>
      <c r="I70" s="7"/>
      <c r="J70" s="7"/>
      <c r="K70" s="6"/>
      <c r="L70" s="6"/>
      <c r="M70" s="6"/>
      <c r="N70" s="6"/>
      <c r="O70" s="6"/>
      <c r="P70" s="6"/>
      <c r="Q70" s="6"/>
      <c r="R70" s="6"/>
      <c r="S70" s="6"/>
      <c r="T70" s="6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</row>
    <row r="71" spans="1:66" ht="12.75" customHeight="1" x14ac:dyDescent="0.3">
      <c r="A71" s="19"/>
      <c r="B71" s="19"/>
      <c r="C71" s="19"/>
      <c r="D71" s="6"/>
      <c r="E71" s="8"/>
      <c r="F71" s="50"/>
      <c r="G71" s="8"/>
      <c r="H71" s="8"/>
      <c r="I71" s="7"/>
      <c r="J71" s="7"/>
      <c r="K71" s="6"/>
      <c r="L71" s="6"/>
      <c r="M71" s="6"/>
      <c r="N71" s="6"/>
      <c r="O71" s="6"/>
      <c r="P71" s="6"/>
      <c r="Q71" s="6"/>
      <c r="R71" s="6"/>
      <c r="S71" s="6"/>
      <c r="T71" s="6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</row>
    <row r="72" spans="1:66" ht="12.75" customHeight="1" x14ac:dyDescent="0.3">
      <c r="A72" s="13"/>
      <c r="B72" s="13"/>
      <c r="C72" s="13"/>
      <c r="D72" s="6"/>
      <c r="E72" s="8"/>
      <c r="F72" s="50"/>
      <c r="G72" s="8"/>
      <c r="H72" s="8"/>
      <c r="I72" s="7"/>
      <c r="J72" s="7"/>
      <c r="K72" s="6"/>
      <c r="L72" s="6"/>
      <c r="M72" s="6"/>
      <c r="N72" s="6"/>
      <c r="O72" s="6"/>
      <c r="P72" s="6"/>
      <c r="Q72" s="6"/>
      <c r="R72" s="6"/>
      <c r="S72" s="6"/>
      <c r="T72" s="6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</row>
    <row r="73" spans="1:66" ht="12.75" customHeight="1" x14ac:dyDescent="0.3">
      <c r="A73" s="13"/>
      <c r="B73" s="13"/>
      <c r="C73" s="13"/>
      <c r="D73" s="6"/>
      <c r="E73" s="8"/>
      <c r="F73" s="50"/>
      <c r="G73" s="8"/>
      <c r="H73" s="8"/>
      <c r="I73" s="7"/>
      <c r="J73" s="7"/>
      <c r="K73" s="6"/>
      <c r="L73" s="6"/>
      <c r="M73" s="6"/>
      <c r="N73" s="6"/>
      <c r="O73" s="6"/>
      <c r="P73" s="6"/>
      <c r="Q73" s="6"/>
      <c r="R73" s="6"/>
      <c r="S73" s="6"/>
      <c r="T73" s="6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</row>
    <row r="74" spans="1:66" ht="12.75" customHeight="1" x14ac:dyDescent="0.3">
      <c r="A74" s="19"/>
      <c r="B74" s="19"/>
      <c r="C74" s="19"/>
      <c r="D74" s="6"/>
      <c r="E74" s="8"/>
      <c r="F74" s="50"/>
      <c r="G74" s="8"/>
      <c r="H74" s="8"/>
      <c r="I74" s="7"/>
      <c r="J74" s="8"/>
      <c r="K74" s="6"/>
      <c r="L74" s="6"/>
      <c r="M74" s="6"/>
      <c r="N74" s="6"/>
      <c r="O74" s="6"/>
      <c r="P74" s="6"/>
      <c r="Q74" s="6"/>
      <c r="R74" s="6"/>
      <c r="S74" s="6"/>
      <c r="T74" s="6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</row>
    <row r="75" spans="1:66" ht="12.75" customHeight="1" x14ac:dyDescent="0.3">
      <c r="A75" s="19"/>
      <c r="B75" s="19"/>
      <c r="C75" s="19"/>
      <c r="D75" s="6"/>
      <c r="E75" s="8"/>
      <c r="F75" s="50"/>
      <c r="G75" s="8"/>
      <c r="H75" s="8"/>
      <c r="I75" s="7"/>
      <c r="J75" s="7"/>
      <c r="K75" s="6"/>
      <c r="L75" s="6"/>
      <c r="M75" s="6"/>
      <c r="N75" s="6"/>
      <c r="O75" s="6"/>
      <c r="P75" s="6"/>
      <c r="Q75" s="6"/>
      <c r="R75" s="6"/>
      <c r="S75" s="6"/>
      <c r="T75" s="6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</row>
    <row r="76" spans="1:66" ht="12.75" customHeight="1" x14ac:dyDescent="0.3">
      <c r="A76" s="19"/>
      <c r="B76" s="19"/>
      <c r="C76" s="19"/>
      <c r="D76" s="6"/>
      <c r="E76" s="8"/>
      <c r="F76" s="50"/>
      <c r="G76" s="8"/>
      <c r="H76" s="8"/>
      <c r="I76" s="7"/>
      <c r="J76" s="7"/>
      <c r="K76" s="6"/>
      <c r="L76" s="6"/>
      <c r="M76" s="6"/>
      <c r="N76" s="6"/>
      <c r="O76" s="6"/>
      <c r="P76" s="6"/>
      <c r="Q76" s="6"/>
      <c r="R76" s="6"/>
      <c r="S76" s="6"/>
      <c r="T76" s="6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</row>
    <row r="77" spans="1:66" ht="12.75" customHeight="1" x14ac:dyDescent="0.3">
      <c r="A77" s="19"/>
      <c r="B77" s="19"/>
      <c r="C77" s="19"/>
      <c r="D77" s="6"/>
      <c r="E77" s="8"/>
      <c r="F77" s="50"/>
      <c r="G77" s="8"/>
      <c r="H77" s="8"/>
      <c r="I77" s="7"/>
      <c r="J77" s="7"/>
      <c r="K77" s="6"/>
      <c r="L77" s="6"/>
      <c r="M77" s="6"/>
      <c r="N77" s="6"/>
      <c r="O77" s="6"/>
      <c r="P77" s="6"/>
      <c r="Q77" s="6"/>
      <c r="R77" s="6"/>
      <c r="S77" s="6"/>
      <c r="T77" s="6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</row>
    <row r="78" spans="1:66" ht="12.75" customHeight="1" x14ac:dyDescent="0.3">
      <c r="A78" s="19"/>
      <c r="B78" s="19"/>
      <c r="C78" s="19"/>
      <c r="D78" s="6"/>
      <c r="E78" s="8"/>
      <c r="F78" s="50"/>
      <c r="G78" s="8"/>
      <c r="H78" s="8"/>
      <c r="I78" s="7"/>
      <c r="J78" s="8"/>
      <c r="K78" s="6"/>
      <c r="L78" s="6"/>
      <c r="M78" s="6"/>
      <c r="N78" s="6"/>
      <c r="O78" s="6"/>
      <c r="P78" s="6"/>
      <c r="Q78" s="6"/>
      <c r="R78" s="6"/>
      <c r="S78" s="6"/>
      <c r="T78" s="6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</row>
    <row r="79" spans="1:66" ht="12.75" customHeight="1" x14ac:dyDescent="0.3">
      <c r="A79" s="13"/>
      <c r="B79" s="13"/>
      <c r="C79" s="13"/>
      <c r="D79" s="6"/>
      <c r="E79" s="8"/>
      <c r="F79" s="50"/>
      <c r="G79" s="8"/>
      <c r="H79" s="8"/>
      <c r="I79" s="7"/>
      <c r="J79" s="7"/>
      <c r="K79" s="6"/>
      <c r="L79" s="6"/>
      <c r="M79" s="6"/>
      <c r="N79" s="6"/>
      <c r="O79" s="6"/>
      <c r="P79" s="6"/>
      <c r="Q79" s="6"/>
      <c r="R79" s="6"/>
      <c r="S79" s="6"/>
      <c r="T79" s="6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</row>
    <row r="80" spans="1:66" ht="12.75" customHeight="1" x14ac:dyDescent="0.3">
      <c r="A80" s="13"/>
      <c r="B80" s="13"/>
      <c r="C80" s="13"/>
      <c r="D80" s="6"/>
      <c r="E80" s="8"/>
      <c r="F80" s="50"/>
      <c r="G80" s="8"/>
      <c r="H80" s="8"/>
      <c r="I80" s="7"/>
      <c r="J80" s="7"/>
      <c r="K80" s="6"/>
      <c r="L80" s="6"/>
      <c r="M80" s="6"/>
      <c r="N80" s="6"/>
      <c r="O80" s="6"/>
      <c r="P80" s="6"/>
      <c r="Q80" s="6"/>
      <c r="R80" s="6"/>
      <c r="S80" s="6"/>
      <c r="T80" s="6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</row>
    <row r="81" spans="1:66" ht="12.75" customHeight="1" x14ac:dyDescent="0.3">
      <c r="A81" s="13"/>
      <c r="B81" s="13"/>
      <c r="C81" s="13"/>
      <c r="D81" s="6"/>
      <c r="E81" s="8"/>
      <c r="F81" s="50"/>
      <c r="G81" s="8"/>
      <c r="H81" s="8"/>
      <c r="I81" s="7"/>
      <c r="J81" s="7"/>
      <c r="K81" s="6"/>
      <c r="L81" s="6"/>
      <c r="M81" s="6"/>
      <c r="N81" s="6"/>
      <c r="O81" s="6"/>
      <c r="P81" s="6"/>
      <c r="Q81" s="6"/>
      <c r="R81" s="6"/>
      <c r="S81" s="6"/>
      <c r="T81" s="6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</row>
    <row r="82" spans="1:66" ht="12.75" customHeight="1" x14ac:dyDescent="0.3">
      <c r="A82" s="13"/>
      <c r="B82" s="13"/>
      <c r="C82" s="13"/>
      <c r="D82" s="6"/>
      <c r="E82" s="8"/>
      <c r="F82" s="50"/>
      <c r="G82" s="8"/>
      <c r="H82" s="8"/>
      <c r="I82" s="7"/>
      <c r="J82" s="7"/>
      <c r="K82" s="6"/>
      <c r="L82" s="6"/>
      <c r="M82" s="6"/>
      <c r="N82" s="6"/>
      <c r="O82" s="6"/>
      <c r="P82" s="6"/>
      <c r="Q82" s="6"/>
      <c r="R82" s="6"/>
      <c r="S82" s="6"/>
      <c r="T82" s="6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</row>
    <row r="83" spans="1:66" ht="12.75" customHeight="1" x14ac:dyDescent="0.3">
      <c r="A83" s="13"/>
      <c r="B83" s="13"/>
      <c r="C83" s="13"/>
      <c r="D83" s="6"/>
      <c r="E83" s="8"/>
      <c r="F83" s="50"/>
      <c r="G83" s="8"/>
      <c r="H83" s="8"/>
      <c r="I83" s="7"/>
      <c r="J83" s="8"/>
      <c r="K83" s="6"/>
      <c r="L83" s="6"/>
      <c r="M83" s="6"/>
      <c r="N83" s="6"/>
      <c r="O83" s="6"/>
      <c r="P83" s="6"/>
      <c r="Q83" s="6"/>
      <c r="R83" s="6"/>
      <c r="S83" s="6"/>
      <c r="T83" s="6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</row>
    <row r="84" spans="1:66" ht="12.75" customHeight="1" x14ac:dyDescent="0.3">
      <c r="A84" s="13"/>
      <c r="B84" s="13"/>
      <c r="C84" s="13"/>
      <c r="D84" s="6"/>
      <c r="E84" s="8"/>
      <c r="F84" s="50"/>
      <c r="G84" s="8"/>
      <c r="H84" s="8"/>
      <c r="I84" s="7"/>
      <c r="J84" s="7"/>
      <c r="K84" s="6"/>
      <c r="L84" s="6"/>
      <c r="M84" s="6"/>
      <c r="N84" s="6"/>
      <c r="O84" s="6"/>
      <c r="P84" s="6"/>
      <c r="Q84" s="6"/>
      <c r="R84" s="6"/>
      <c r="S84" s="6"/>
      <c r="T84" s="6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</row>
    <row r="85" spans="1:66" ht="12.75" customHeight="1" x14ac:dyDescent="0.3">
      <c r="A85" s="13"/>
      <c r="B85" s="13"/>
      <c r="C85" s="13"/>
      <c r="D85" s="6"/>
      <c r="E85" s="8"/>
      <c r="F85" s="50"/>
      <c r="G85" s="8"/>
      <c r="H85" s="8"/>
      <c r="I85" s="7"/>
      <c r="J85" s="7"/>
      <c r="K85" s="6"/>
      <c r="L85" s="6"/>
      <c r="M85" s="6"/>
      <c r="N85" s="6"/>
      <c r="O85" s="6"/>
      <c r="P85" s="6"/>
      <c r="Q85" s="6"/>
      <c r="R85" s="6"/>
      <c r="S85" s="6"/>
      <c r="T85" s="6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</row>
    <row r="86" spans="1:66" ht="12.75" customHeight="1" x14ac:dyDescent="0.3">
      <c r="A86" s="13"/>
      <c r="B86" s="13"/>
      <c r="C86" s="13"/>
      <c r="D86" s="6"/>
      <c r="E86" s="8"/>
      <c r="F86" s="50"/>
      <c r="G86" s="8"/>
      <c r="H86" s="8"/>
      <c r="I86" s="7"/>
      <c r="J86" s="7"/>
      <c r="K86" s="6"/>
      <c r="L86" s="6"/>
      <c r="M86" s="6"/>
      <c r="N86" s="6"/>
      <c r="O86" s="6"/>
      <c r="P86" s="6"/>
      <c r="Q86" s="6"/>
      <c r="R86" s="6"/>
      <c r="S86" s="6"/>
      <c r="T86" s="6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</row>
    <row r="87" spans="1:66" ht="12.75" customHeight="1" x14ac:dyDescent="0.3">
      <c r="A87" s="13"/>
      <c r="B87" s="13"/>
      <c r="C87" s="13"/>
      <c r="D87" s="6"/>
      <c r="E87" s="8"/>
      <c r="F87" s="50"/>
      <c r="G87" s="8"/>
      <c r="H87" s="8"/>
      <c r="I87" s="7"/>
      <c r="J87" s="7"/>
      <c r="K87" s="6"/>
      <c r="L87" s="6"/>
      <c r="M87" s="6"/>
      <c r="N87" s="6"/>
      <c r="O87" s="6"/>
      <c r="P87" s="6"/>
      <c r="Q87" s="6"/>
      <c r="R87" s="6"/>
      <c r="S87" s="6"/>
      <c r="T87" s="6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</row>
    <row r="88" spans="1:66" ht="12.75" customHeight="1" x14ac:dyDescent="0.3">
      <c r="A88" s="13"/>
      <c r="B88" s="13"/>
      <c r="C88" s="13"/>
      <c r="D88" s="6"/>
      <c r="E88" s="8"/>
      <c r="F88" s="50"/>
      <c r="G88" s="8"/>
      <c r="H88" s="8"/>
      <c r="I88" s="7"/>
      <c r="J88" s="7"/>
      <c r="K88" s="6"/>
      <c r="L88" s="6"/>
      <c r="M88" s="6"/>
      <c r="N88" s="6"/>
      <c r="O88" s="6"/>
      <c r="P88" s="6"/>
      <c r="Q88" s="6"/>
      <c r="R88" s="6"/>
      <c r="S88" s="6"/>
      <c r="T88" s="6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</row>
    <row r="89" spans="1:66" ht="12.75" customHeight="1" x14ac:dyDescent="0.3">
      <c r="A89" s="13"/>
      <c r="B89" s="13"/>
      <c r="C89" s="13"/>
      <c r="D89" s="6"/>
      <c r="E89" s="8"/>
      <c r="F89" s="50"/>
      <c r="G89" s="8"/>
      <c r="H89" s="8"/>
      <c r="I89" s="7"/>
      <c r="J89" s="7"/>
      <c r="K89" s="6"/>
      <c r="L89" s="6"/>
      <c r="M89" s="6"/>
      <c r="N89" s="6"/>
      <c r="O89" s="6"/>
      <c r="P89" s="6"/>
      <c r="Q89" s="6"/>
      <c r="R89" s="6"/>
      <c r="S89" s="6"/>
      <c r="T89" s="6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</row>
    <row r="90" spans="1:66" ht="12.75" customHeight="1" x14ac:dyDescent="0.3">
      <c r="A90" s="13"/>
      <c r="B90" s="13"/>
      <c r="C90" s="13"/>
      <c r="D90" s="6"/>
      <c r="E90" s="8"/>
      <c r="F90" s="50"/>
      <c r="G90" s="8"/>
      <c r="H90" s="8"/>
      <c r="I90" s="7"/>
      <c r="J90" s="7"/>
      <c r="K90" s="6"/>
      <c r="L90" s="6"/>
      <c r="M90" s="6"/>
      <c r="N90" s="6"/>
      <c r="O90" s="6"/>
      <c r="P90" s="6"/>
      <c r="Q90" s="6"/>
      <c r="R90" s="6"/>
      <c r="S90" s="6"/>
      <c r="T90" s="6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</row>
    <row r="91" spans="1:66" ht="12.75" customHeight="1" x14ac:dyDescent="0.3">
      <c r="A91" s="13"/>
      <c r="B91" s="13"/>
      <c r="C91" s="13"/>
      <c r="D91" s="6"/>
      <c r="E91" s="8"/>
      <c r="F91" s="50"/>
      <c r="G91" s="8"/>
      <c r="H91" s="8"/>
      <c r="I91" s="7"/>
      <c r="J91" s="7"/>
      <c r="K91" s="6"/>
      <c r="L91" s="6"/>
      <c r="M91" s="6"/>
      <c r="N91" s="6"/>
      <c r="O91" s="6"/>
      <c r="P91" s="6"/>
      <c r="Q91" s="6"/>
      <c r="R91" s="6"/>
      <c r="S91" s="6"/>
      <c r="T91" s="6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</row>
    <row r="92" spans="1:66" ht="12.75" customHeight="1" x14ac:dyDescent="0.3">
      <c r="A92" s="13"/>
      <c r="B92" s="13"/>
      <c r="C92" s="13"/>
      <c r="D92" s="6"/>
      <c r="E92" s="8"/>
      <c r="F92" s="50"/>
      <c r="G92" s="8"/>
      <c r="H92" s="8"/>
      <c r="I92" s="7"/>
      <c r="J92" s="8"/>
      <c r="K92" s="6"/>
      <c r="L92" s="6"/>
      <c r="M92" s="6"/>
      <c r="N92" s="6"/>
      <c r="O92" s="6"/>
      <c r="P92" s="6"/>
      <c r="Q92" s="6"/>
      <c r="R92" s="6"/>
      <c r="S92" s="6"/>
      <c r="T92" s="6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</row>
    <row r="93" spans="1:66" ht="12.75" customHeight="1" x14ac:dyDescent="0.3">
      <c r="A93" s="13"/>
      <c r="B93" s="13"/>
      <c r="C93" s="13"/>
      <c r="D93" s="6"/>
      <c r="E93" s="8"/>
      <c r="F93" s="50"/>
      <c r="G93" s="8"/>
      <c r="H93" s="8"/>
      <c r="I93" s="7"/>
      <c r="J93" s="7"/>
      <c r="K93" s="6"/>
      <c r="L93" s="6"/>
      <c r="M93" s="6"/>
      <c r="N93" s="6"/>
      <c r="O93" s="6"/>
      <c r="P93" s="6"/>
      <c r="Q93" s="6"/>
      <c r="R93" s="6"/>
      <c r="S93" s="6"/>
      <c r="T93" s="6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</row>
    <row r="94" spans="1:66" ht="12.75" customHeight="1" x14ac:dyDescent="0.3">
      <c r="A94" s="13"/>
      <c r="B94" s="13"/>
      <c r="C94" s="13"/>
      <c r="D94" s="6"/>
      <c r="E94" s="8"/>
      <c r="F94" s="50"/>
      <c r="G94" s="8"/>
      <c r="H94" s="8"/>
      <c r="I94" s="7"/>
      <c r="J94" s="7"/>
      <c r="K94" s="6"/>
      <c r="L94" s="6"/>
      <c r="M94" s="6"/>
      <c r="N94" s="6"/>
      <c r="O94" s="6"/>
      <c r="P94" s="6"/>
      <c r="Q94" s="6"/>
      <c r="R94" s="6"/>
      <c r="S94" s="6"/>
      <c r="T94" s="6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</row>
    <row r="95" spans="1:66" ht="12.75" customHeight="1" x14ac:dyDescent="0.3">
      <c r="A95" s="13"/>
      <c r="B95" s="13"/>
      <c r="C95" s="13"/>
      <c r="D95" s="6"/>
      <c r="E95" s="8"/>
      <c r="F95" s="50"/>
      <c r="G95" s="8"/>
      <c r="H95" s="8"/>
      <c r="I95" s="7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</row>
    <row r="96" spans="1:66" ht="12.75" customHeight="1" x14ac:dyDescent="0.3">
      <c r="A96" s="13"/>
      <c r="B96" s="13"/>
      <c r="C96" s="13"/>
      <c r="D96" s="6"/>
      <c r="E96" s="8"/>
      <c r="F96" s="50"/>
      <c r="G96" s="8"/>
      <c r="H96" s="8"/>
      <c r="I96" s="7"/>
      <c r="J96" s="7"/>
      <c r="K96" s="6"/>
      <c r="L96" s="6"/>
      <c r="M96" s="6"/>
      <c r="N96" s="6"/>
      <c r="O96" s="6"/>
      <c r="P96" s="6"/>
      <c r="Q96" s="6"/>
      <c r="R96" s="6"/>
      <c r="S96" s="6"/>
      <c r="T96" s="6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</row>
    <row r="97" spans="1:66" ht="12.75" customHeight="1" x14ac:dyDescent="0.3">
      <c r="A97" s="13"/>
      <c r="B97" s="13"/>
      <c r="C97" s="13"/>
      <c r="D97" s="6"/>
      <c r="E97" s="8"/>
      <c r="F97" s="50"/>
      <c r="G97" s="8"/>
      <c r="H97" s="8"/>
      <c r="I97" s="7"/>
      <c r="J97" s="7"/>
      <c r="K97" s="6"/>
      <c r="L97" s="6"/>
      <c r="M97" s="6"/>
      <c r="N97" s="6"/>
      <c r="O97" s="6"/>
      <c r="P97" s="6"/>
      <c r="Q97" s="6"/>
      <c r="R97" s="6"/>
      <c r="S97" s="6"/>
      <c r="T97" s="6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</row>
    <row r="98" spans="1:66" ht="12.75" customHeight="1" x14ac:dyDescent="0.3">
      <c r="A98" s="13"/>
      <c r="B98" s="13"/>
      <c r="C98" s="13"/>
      <c r="D98" s="6"/>
      <c r="E98" s="8"/>
      <c r="F98" s="50"/>
      <c r="G98" s="8"/>
      <c r="H98" s="8"/>
      <c r="I98" s="7"/>
      <c r="J98" s="7"/>
      <c r="K98" s="6"/>
      <c r="L98" s="6"/>
      <c r="M98" s="6"/>
      <c r="N98" s="6"/>
      <c r="O98" s="6"/>
      <c r="P98" s="6"/>
      <c r="Q98" s="6"/>
      <c r="R98" s="6"/>
      <c r="S98" s="6"/>
      <c r="T98" s="6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</row>
    <row r="99" spans="1:66" ht="12.75" customHeight="1" x14ac:dyDescent="0.3">
      <c r="A99" s="13"/>
      <c r="B99" s="13"/>
      <c r="C99" s="13"/>
      <c r="D99" s="6"/>
      <c r="E99" s="8"/>
      <c r="F99" s="50"/>
      <c r="G99" s="8"/>
      <c r="H99" s="8"/>
      <c r="I99" s="7"/>
      <c r="J99" s="7"/>
      <c r="K99" s="6"/>
      <c r="L99" s="6"/>
      <c r="M99" s="6"/>
      <c r="N99" s="6"/>
      <c r="O99" s="6"/>
      <c r="P99" s="6"/>
      <c r="Q99" s="6"/>
      <c r="R99" s="6"/>
      <c r="S99" s="6"/>
      <c r="T99" s="6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</row>
    <row r="100" spans="1:66" ht="12.75" customHeight="1" x14ac:dyDescent="0.3">
      <c r="A100" s="13"/>
      <c r="B100" s="13"/>
      <c r="C100" s="13"/>
      <c r="D100" s="6"/>
      <c r="E100" s="8"/>
      <c r="F100" s="50"/>
      <c r="G100" s="8"/>
      <c r="H100" s="8"/>
      <c r="I100" s="7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</row>
    <row r="101" spans="1:66" ht="12.75" customHeight="1" x14ac:dyDescent="0.3">
      <c r="A101" s="13"/>
      <c r="B101" s="13"/>
      <c r="C101" s="13"/>
      <c r="D101" s="6"/>
      <c r="E101" s="8"/>
      <c r="F101" s="50"/>
      <c r="G101" s="8"/>
      <c r="H101" s="8"/>
      <c r="I101" s="7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</row>
    <row r="102" spans="1:66" ht="12.75" customHeight="1" x14ac:dyDescent="0.3">
      <c r="A102" s="13"/>
      <c r="B102" s="13"/>
      <c r="C102" s="13"/>
      <c r="D102" s="6"/>
      <c r="E102" s="8"/>
      <c r="F102" s="50"/>
      <c r="G102" s="8"/>
      <c r="H102" s="8"/>
      <c r="I102" s="7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</row>
    <row r="103" spans="1:66" ht="12.75" customHeight="1" x14ac:dyDescent="0.3">
      <c r="A103" s="13"/>
      <c r="B103" s="13"/>
      <c r="C103" s="13"/>
      <c r="D103" s="6"/>
      <c r="E103" s="8"/>
      <c r="F103" s="50"/>
      <c r="G103" s="8"/>
      <c r="H103" s="8"/>
      <c r="I103" s="7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</row>
    <row r="104" spans="1:66" ht="12.75" customHeight="1" x14ac:dyDescent="0.3">
      <c r="A104" s="13"/>
      <c r="B104" s="13"/>
      <c r="C104" s="13"/>
      <c r="D104" s="6"/>
      <c r="E104" s="8"/>
      <c r="F104" s="50"/>
      <c r="G104" s="8"/>
      <c r="H104" s="8"/>
      <c r="I104" s="7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</row>
    <row r="105" spans="1:66" ht="12.75" customHeight="1" x14ac:dyDescent="0.3">
      <c r="A105" s="13"/>
      <c r="B105" s="13"/>
      <c r="C105" s="13"/>
      <c r="D105" s="6"/>
      <c r="E105" s="8"/>
      <c r="F105" s="50"/>
      <c r="G105" s="8"/>
      <c r="H105" s="8"/>
      <c r="I105" s="7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</row>
    <row r="106" spans="1:66" ht="12.75" customHeight="1" x14ac:dyDescent="0.3">
      <c r="A106" s="13"/>
      <c r="B106" s="13"/>
      <c r="C106" s="13"/>
      <c r="D106" s="6"/>
      <c r="E106" s="8"/>
      <c r="F106" s="50"/>
      <c r="G106" s="8"/>
      <c r="H106" s="8"/>
      <c r="I106" s="7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</row>
    <row r="107" spans="1:66" ht="12.75" customHeight="1" x14ac:dyDescent="0.3">
      <c r="A107" s="13"/>
      <c r="B107" s="13"/>
      <c r="C107" s="13"/>
      <c r="D107" s="6"/>
      <c r="E107" s="8"/>
      <c r="F107" s="50"/>
      <c r="G107" s="8"/>
      <c r="H107" s="8"/>
      <c r="I107" s="7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</row>
    <row r="108" spans="1:66" ht="12.75" customHeight="1" x14ac:dyDescent="0.3">
      <c r="A108" s="13"/>
      <c r="B108" s="13"/>
      <c r="C108" s="13"/>
      <c r="D108" s="6"/>
      <c r="E108" s="8"/>
      <c r="F108" s="50"/>
      <c r="G108" s="8"/>
      <c r="H108" s="8"/>
      <c r="I108" s="7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</row>
    <row r="109" spans="1:66" ht="12.75" customHeight="1" x14ac:dyDescent="0.3">
      <c r="A109" s="13"/>
      <c r="B109" s="13"/>
      <c r="C109" s="13"/>
      <c r="D109" s="6"/>
      <c r="E109" s="8"/>
      <c r="F109" s="50"/>
      <c r="G109" s="8"/>
      <c r="H109" s="8"/>
      <c r="I109" s="7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</row>
    <row r="110" spans="1:66" ht="12.75" customHeight="1" x14ac:dyDescent="0.3">
      <c r="A110" s="13"/>
      <c r="B110" s="13"/>
      <c r="C110" s="13"/>
      <c r="D110" s="6"/>
      <c r="E110" s="8"/>
      <c r="F110" s="50"/>
      <c r="G110" s="8"/>
      <c r="H110" s="8"/>
      <c r="I110" s="7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</row>
    <row r="111" spans="1:66" ht="12.75" customHeight="1" x14ac:dyDescent="0.3">
      <c r="A111" s="13"/>
      <c r="B111" s="13"/>
      <c r="C111" s="13"/>
      <c r="D111" s="6"/>
      <c r="E111" s="8"/>
      <c r="F111" s="50"/>
      <c r="G111" s="8"/>
      <c r="H111" s="8"/>
      <c r="I111" s="7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</row>
    <row r="112" spans="1:66" ht="12.75" customHeight="1" x14ac:dyDescent="0.3">
      <c r="A112" s="13"/>
      <c r="B112" s="13"/>
      <c r="C112" s="13"/>
      <c r="D112" s="6"/>
      <c r="E112" s="8"/>
      <c r="F112" s="50"/>
      <c r="G112" s="8"/>
      <c r="H112" s="8"/>
      <c r="I112" s="7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</row>
    <row r="113" spans="1:66" ht="12.75" customHeight="1" x14ac:dyDescent="0.3">
      <c r="A113" s="13"/>
      <c r="B113" s="13"/>
      <c r="C113" s="13"/>
      <c r="D113" s="6"/>
      <c r="E113" s="8"/>
      <c r="F113" s="50"/>
      <c r="G113" s="8"/>
      <c r="H113" s="8"/>
      <c r="I113" s="7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</row>
    <row r="114" spans="1:66" ht="12.75" customHeight="1" x14ac:dyDescent="0.3">
      <c r="A114" s="13"/>
      <c r="B114" s="13"/>
      <c r="C114" s="13"/>
      <c r="D114" s="6"/>
      <c r="E114" s="8"/>
      <c r="F114" s="50"/>
      <c r="G114" s="8"/>
      <c r="H114" s="8"/>
      <c r="I114" s="7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</row>
    <row r="115" spans="1:66" ht="12.75" customHeight="1" x14ac:dyDescent="0.3">
      <c r="A115" s="13"/>
      <c r="B115" s="13"/>
      <c r="C115" s="13"/>
      <c r="D115" s="6"/>
      <c r="E115" s="8"/>
      <c r="F115" s="50"/>
      <c r="G115" s="8"/>
      <c r="H115" s="8"/>
      <c r="I115" s="7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</row>
    <row r="116" spans="1:66" ht="12.75" customHeight="1" x14ac:dyDescent="0.3">
      <c r="A116" s="13"/>
      <c r="B116" s="13"/>
      <c r="C116" s="13"/>
      <c r="D116" s="6"/>
      <c r="E116" s="8"/>
      <c r="F116" s="50"/>
      <c r="G116" s="8"/>
      <c r="H116" s="8"/>
      <c r="I116" s="7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</row>
    <row r="117" spans="1:66" ht="12.75" customHeight="1" x14ac:dyDescent="0.3">
      <c r="A117" s="13"/>
      <c r="B117" s="13"/>
      <c r="C117" s="13"/>
      <c r="D117" s="6"/>
      <c r="E117" s="8"/>
      <c r="F117" s="50"/>
      <c r="G117" s="8"/>
      <c r="H117" s="8"/>
      <c r="I117" s="7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</row>
    <row r="118" spans="1:66" ht="12.75" customHeight="1" x14ac:dyDescent="0.3">
      <c r="A118" s="13"/>
      <c r="B118" s="13"/>
      <c r="C118" s="13"/>
      <c r="D118" s="6"/>
      <c r="E118" s="8"/>
      <c r="F118" s="50"/>
      <c r="G118" s="8"/>
      <c r="H118" s="8"/>
      <c r="I118" s="7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</row>
    <row r="119" spans="1:66" ht="12.75" customHeight="1" x14ac:dyDescent="0.3">
      <c r="A119" s="13"/>
      <c r="B119" s="13"/>
      <c r="C119" s="13"/>
      <c r="D119" s="6"/>
      <c r="E119" s="8"/>
      <c r="F119" s="50"/>
      <c r="G119" s="8"/>
      <c r="H119" s="8"/>
      <c r="I119" s="7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</row>
    <row r="120" spans="1:66" ht="12.75" customHeight="1" x14ac:dyDescent="0.3">
      <c r="A120" s="13"/>
      <c r="B120" s="13"/>
      <c r="C120" s="13"/>
      <c r="D120" s="6"/>
      <c r="E120" s="8"/>
      <c r="F120" s="50"/>
      <c r="G120" s="8"/>
      <c r="H120" s="8"/>
      <c r="I120" s="7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</row>
    <row r="121" spans="1:66" ht="12.75" customHeight="1" x14ac:dyDescent="0.3">
      <c r="A121" s="13"/>
      <c r="B121" s="13"/>
      <c r="C121" s="13"/>
      <c r="D121" s="6"/>
      <c r="E121" s="8"/>
      <c r="F121" s="50"/>
      <c r="G121" s="8"/>
      <c r="H121" s="8"/>
      <c r="I121" s="7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</row>
    <row r="122" spans="1:66" ht="12.75" customHeight="1" x14ac:dyDescent="0.3">
      <c r="A122" s="13"/>
      <c r="B122" s="13"/>
      <c r="C122" s="13"/>
      <c r="D122" s="6"/>
      <c r="E122" s="8"/>
      <c r="F122" s="50"/>
      <c r="G122" s="8"/>
      <c r="H122" s="8"/>
      <c r="I122" s="7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</row>
    <row r="123" spans="1:66" ht="12.75" customHeight="1" x14ac:dyDescent="0.3">
      <c r="A123" s="13"/>
      <c r="B123" s="13"/>
      <c r="C123" s="13"/>
      <c r="D123" s="6"/>
      <c r="E123" s="8"/>
      <c r="F123" s="50"/>
      <c r="G123" s="8"/>
      <c r="H123" s="8"/>
      <c r="I123" s="7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</row>
    <row r="124" spans="1:66" ht="12.75" customHeight="1" x14ac:dyDescent="0.3">
      <c r="A124" s="13"/>
      <c r="B124" s="13"/>
      <c r="C124" s="13"/>
      <c r="D124" s="6"/>
      <c r="E124" s="8"/>
      <c r="F124" s="50"/>
      <c r="G124" s="8"/>
      <c r="H124" s="8"/>
      <c r="I124" s="7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</row>
    <row r="125" spans="1:66" ht="12.75" customHeight="1" x14ac:dyDescent="0.3">
      <c r="A125" s="13"/>
      <c r="B125" s="13"/>
      <c r="C125" s="13"/>
      <c r="D125" s="6"/>
      <c r="E125" s="8"/>
      <c r="F125" s="50"/>
      <c r="G125" s="8"/>
      <c r="H125" s="8"/>
      <c r="I125" s="7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</row>
    <row r="126" spans="1:66" ht="12.75" customHeight="1" x14ac:dyDescent="0.3">
      <c r="A126" s="13"/>
      <c r="B126" s="13"/>
      <c r="C126" s="13"/>
      <c r="D126" s="6"/>
      <c r="E126" s="8"/>
      <c r="F126" s="50"/>
      <c r="G126" s="8"/>
      <c r="H126" s="8"/>
      <c r="I126" s="7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</row>
    <row r="127" spans="1:66" ht="12.75" customHeight="1" x14ac:dyDescent="0.3">
      <c r="A127" s="13"/>
      <c r="B127" s="13"/>
      <c r="C127" s="13"/>
      <c r="D127" s="6"/>
      <c r="E127" s="8"/>
      <c r="F127" s="50"/>
      <c r="G127" s="8"/>
      <c r="H127" s="8"/>
      <c r="I127" s="7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</row>
    <row r="128" spans="1:66" ht="12.75" customHeight="1" x14ac:dyDescent="0.3">
      <c r="A128" s="13"/>
      <c r="B128" s="13"/>
      <c r="C128" s="13"/>
      <c r="D128" s="6"/>
      <c r="E128" s="8"/>
      <c r="F128" s="50"/>
      <c r="G128" s="8"/>
      <c r="H128" s="8"/>
      <c r="I128" s="7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</row>
    <row r="129" spans="1:66" ht="12.75" customHeight="1" x14ac:dyDescent="0.3">
      <c r="A129" s="13"/>
      <c r="B129" s="13"/>
      <c r="C129" s="13"/>
      <c r="D129" s="6"/>
      <c r="E129" s="8"/>
      <c r="F129" s="50"/>
      <c r="G129" s="8"/>
      <c r="H129" s="8"/>
      <c r="I129" s="7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</row>
    <row r="130" spans="1:66" ht="12.75" customHeight="1" x14ac:dyDescent="0.3">
      <c r="A130" s="13"/>
      <c r="B130" s="13"/>
      <c r="C130" s="13"/>
      <c r="D130" s="6"/>
      <c r="E130" s="8"/>
      <c r="F130" s="50"/>
      <c r="G130" s="8"/>
      <c r="H130" s="8"/>
      <c r="I130" s="7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</row>
    <row r="131" spans="1:66" ht="12.75" customHeight="1" x14ac:dyDescent="0.3">
      <c r="A131" s="13"/>
      <c r="B131" s="13"/>
      <c r="C131" s="13"/>
      <c r="D131" s="6"/>
      <c r="E131" s="8"/>
      <c r="F131" s="50"/>
      <c r="G131" s="8"/>
      <c r="H131" s="8"/>
      <c r="I131" s="7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</row>
    <row r="132" spans="1:66" ht="12.75" customHeight="1" x14ac:dyDescent="0.3">
      <c r="A132" s="13"/>
      <c r="B132" s="13"/>
      <c r="C132" s="13"/>
      <c r="D132" s="6"/>
      <c r="E132" s="8"/>
      <c r="F132" s="50"/>
      <c r="G132" s="8"/>
      <c r="H132" s="8"/>
      <c r="I132" s="7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</row>
    <row r="133" spans="1:66" ht="12.75" customHeight="1" x14ac:dyDescent="0.3">
      <c r="A133" s="13"/>
      <c r="B133" s="13"/>
      <c r="C133" s="13"/>
      <c r="D133" s="6"/>
      <c r="E133" s="8"/>
      <c r="F133" s="50"/>
      <c r="G133" s="8"/>
      <c r="H133" s="8"/>
      <c r="I133" s="7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</row>
    <row r="134" spans="1:66" ht="12.75" customHeight="1" x14ac:dyDescent="0.3">
      <c r="A134" s="13"/>
      <c r="B134" s="13"/>
      <c r="C134" s="13"/>
      <c r="D134" s="6"/>
      <c r="E134" s="8"/>
      <c r="F134" s="50"/>
      <c r="G134" s="8"/>
      <c r="H134" s="8"/>
      <c r="I134" s="7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</row>
    <row r="135" spans="1:66" ht="12.75" customHeight="1" x14ac:dyDescent="0.3">
      <c r="A135" s="13"/>
      <c r="B135" s="13"/>
      <c r="C135" s="13"/>
      <c r="D135" s="6"/>
      <c r="E135" s="8"/>
      <c r="F135" s="50"/>
      <c r="G135" s="8"/>
      <c r="H135" s="8"/>
      <c r="I135" s="7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</row>
    <row r="136" spans="1:66" ht="12.75" customHeight="1" x14ac:dyDescent="0.3">
      <c r="A136" s="13"/>
      <c r="B136" s="13"/>
      <c r="C136" s="13"/>
      <c r="D136" s="6"/>
      <c r="E136" s="8"/>
      <c r="F136" s="50"/>
      <c r="G136" s="8"/>
      <c r="H136" s="8"/>
      <c r="I136" s="7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</row>
    <row r="137" spans="1:66" ht="12.75" customHeight="1" x14ac:dyDescent="0.3">
      <c r="A137" s="13"/>
      <c r="B137" s="13"/>
      <c r="C137" s="13"/>
      <c r="D137" s="6"/>
      <c r="E137" s="8"/>
      <c r="F137" s="50"/>
      <c r="G137" s="8"/>
      <c r="H137" s="8"/>
      <c r="I137" s="7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</row>
    <row r="138" spans="1:66" ht="12.75" customHeight="1" x14ac:dyDescent="0.3">
      <c r="A138" s="13"/>
      <c r="B138" s="13"/>
      <c r="C138" s="13"/>
      <c r="D138" s="6"/>
      <c r="E138" s="8"/>
      <c r="F138" s="50"/>
      <c r="G138" s="8"/>
      <c r="H138" s="8"/>
      <c r="I138" s="7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</row>
    <row r="139" spans="1:66" ht="12.75" customHeight="1" x14ac:dyDescent="0.3">
      <c r="A139" s="13"/>
      <c r="B139" s="13"/>
      <c r="C139" s="13"/>
      <c r="D139" s="6"/>
      <c r="E139" s="8"/>
      <c r="F139" s="50"/>
      <c r="G139" s="8"/>
      <c r="H139" s="8"/>
      <c r="I139" s="7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</row>
    <row r="140" spans="1:66" ht="12.75" customHeight="1" x14ac:dyDescent="0.3">
      <c r="A140" s="13"/>
      <c r="B140" s="13"/>
      <c r="C140" s="13"/>
      <c r="D140" s="6"/>
      <c r="E140" s="8"/>
      <c r="F140" s="50"/>
      <c r="G140" s="8"/>
      <c r="H140" s="8"/>
      <c r="I140" s="7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</row>
    <row r="141" spans="1:66" ht="12.75" customHeight="1" x14ac:dyDescent="0.3">
      <c r="A141" s="13"/>
      <c r="B141" s="13"/>
      <c r="C141" s="13"/>
      <c r="D141" s="6"/>
      <c r="E141" s="8"/>
      <c r="F141" s="50"/>
      <c r="G141" s="8"/>
      <c r="H141" s="8"/>
      <c r="I141" s="7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</row>
    <row r="142" spans="1:66" ht="12.75" customHeight="1" x14ac:dyDescent="0.3">
      <c r="A142" s="13"/>
      <c r="B142" s="13"/>
      <c r="C142" s="13"/>
      <c r="D142" s="6"/>
      <c r="E142" s="8"/>
      <c r="F142" s="50"/>
      <c r="G142" s="8"/>
      <c r="H142" s="8"/>
      <c r="I142" s="7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</row>
    <row r="143" spans="1:66" ht="12.75" customHeight="1" x14ac:dyDescent="0.3">
      <c r="A143" s="13"/>
      <c r="B143" s="13"/>
      <c r="C143" s="13"/>
      <c r="D143" s="6"/>
      <c r="E143" s="8"/>
      <c r="F143" s="50"/>
      <c r="G143" s="8"/>
      <c r="H143" s="8"/>
      <c r="I143" s="7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</row>
    <row r="144" spans="1:66" ht="12.75" customHeight="1" x14ac:dyDescent="0.3">
      <c r="A144" s="13"/>
      <c r="B144" s="13"/>
      <c r="C144" s="13"/>
      <c r="D144" s="6"/>
      <c r="E144" s="8"/>
      <c r="F144" s="50"/>
      <c r="G144" s="8"/>
      <c r="H144" s="8"/>
      <c r="I144" s="7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</row>
    <row r="145" spans="1:66" ht="12.75" customHeight="1" x14ac:dyDescent="0.3">
      <c r="A145" s="13"/>
      <c r="B145" s="13"/>
      <c r="C145" s="13"/>
      <c r="D145" s="6"/>
      <c r="E145" s="8"/>
      <c r="F145" s="50"/>
      <c r="G145" s="8"/>
      <c r="H145" s="8"/>
      <c r="I145" s="7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</row>
    <row r="146" spans="1:66" ht="12.75" customHeight="1" x14ac:dyDescent="0.3">
      <c r="A146" s="13"/>
      <c r="B146" s="13"/>
      <c r="C146" s="13"/>
      <c r="D146" s="6"/>
      <c r="E146" s="8"/>
      <c r="F146" s="50"/>
      <c r="G146" s="8"/>
      <c r="H146" s="8"/>
      <c r="I146" s="7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</row>
    <row r="147" spans="1:66" ht="12.75" customHeight="1" x14ac:dyDescent="0.3">
      <c r="A147" s="13"/>
      <c r="B147" s="13"/>
      <c r="C147" s="13"/>
      <c r="D147" s="6"/>
      <c r="E147" s="8"/>
      <c r="F147" s="50"/>
      <c r="G147" s="8"/>
      <c r="H147" s="8"/>
      <c r="I147" s="7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</row>
    <row r="148" spans="1:66" ht="12.75" customHeight="1" x14ac:dyDescent="0.3">
      <c r="A148" s="13"/>
      <c r="B148" s="13"/>
      <c r="C148" s="13"/>
      <c r="D148" s="6"/>
      <c r="E148" s="8"/>
      <c r="F148" s="50"/>
      <c r="G148" s="8"/>
      <c r="H148" s="8"/>
      <c r="I148" s="7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</row>
    <row r="149" spans="1:66" ht="12.75" customHeight="1" x14ac:dyDescent="0.3">
      <c r="A149" s="13"/>
      <c r="B149" s="13"/>
      <c r="C149" s="13"/>
      <c r="D149" s="6"/>
      <c r="E149" s="8"/>
      <c r="F149" s="50"/>
      <c r="G149" s="8"/>
      <c r="H149" s="8"/>
      <c r="I149" s="7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</row>
    <row r="150" spans="1:66" ht="12.75" customHeight="1" x14ac:dyDescent="0.3">
      <c r="A150" s="13"/>
      <c r="B150" s="13"/>
      <c r="C150" s="13"/>
      <c r="D150" s="6"/>
      <c r="E150" s="8"/>
      <c r="F150" s="50"/>
      <c r="G150" s="8"/>
      <c r="H150" s="8"/>
      <c r="I150" s="7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</row>
    <row r="151" spans="1:66" ht="12.75" customHeight="1" x14ac:dyDescent="0.3">
      <c r="A151" s="13"/>
      <c r="B151" s="13"/>
      <c r="C151" s="13"/>
      <c r="D151" s="6"/>
      <c r="E151" s="8"/>
      <c r="F151" s="50"/>
      <c r="G151" s="8"/>
      <c r="H151" s="8"/>
      <c r="I151" s="7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</row>
    <row r="152" spans="1:66" ht="12.75" customHeight="1" x14ac:dyDescent="0.3">
      <c r="A152" s="13"/>
      <c r="B152" s="13"/>
      <c r="C152" s="13"/>
      <c r="D152" s="6"/>
      <c r="E152" s="8"/>
      <c r="F152" s="50"/>
      <c r="G152" s="8"/>
      <c r="H152" s="8"/>
      <c r="I152" s="7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</row>
    <row r="153" spans="1:66" ht="12.75" customHeight="1" x14ac:dyDescent="0.3">
      <c r="A153" s="13"/>
      <c r="B153" s="13"/>
      <c r="C153" s="13"/>
      <c r="D153" s="6"/>
      <c r="E153" s="8"/>
      <c r="F153" s="50"/>
      <c r="G153" s="8"/>
      <c r="H153" s="8"/>
      <c r="I153" s="7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</row>
    <row r="154" spans="1:66" ht="12.75" customHeight="1" x14ac:dyDescent="0.3">
      <c r="A154" s="13"/>
      <c r="B154" s="13"/>
      <c r="C154" s="13"/>
      <c r="D154" s="6"/>
      <c r="E154" s="8"/>
      <c r="F154" s="50"/>
      <c r="G154" s="8"/>
      <c r="H154" s="8"/>
      <c r="I154" s="7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</row>
    <row r="155" spans="1:66" ht="12.75" customHeight="1" x14ac:dyDescent="0.3">
      <c r="A155" s="13"/>
      <c r="B155" s="13"/>
      <c r="C155" s="13"/>
      <c r="D155" s="6"/>
      <c r="E155" s="8"/>
      <c r="F155" s="50"/>
      <c r="G155" s="8"/>
      <c r="H155" s="8"/>
      <c r="I155" s="7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</row>
    <row r="156" spans="1:66" ht="12.75" customHeight="1" x14ac:dyDescent="0.3">
      <c r="A156" s="13"/>
      <c r="B156" s="13"/>
      <c r="C156" s="13"/>
      <c r="D156" s="6"/>
      <c r="E156" s="8"/>
      <c r="F156" s="50"/>
      <c r="G156" s="8"/>
      <c r="H156" s="8"/>
      <c r="I156" s="7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</row>
    <row r="157" spans="1:66" ht="12.75" customHeight="1" x14ac:dyDescent="0.3">
      <c r="A157" s="13"/>
      <c r="B157" s="13"/>
      <c r="C157" s="13"/>
      <c r="D157" s="6"/>
      <c r="E157" s="8"/>
      <c r="F157" s="50"/>
      <c r="G157" s="8"/>
      <c r="H157" s="8"/>
      <c r="I157" s="7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</row>
    <row r="158" spans="1:66" ht="12.75" customHeight="1" x14ac:dyDescent="0.3">
      <c r="A158" s="13"/>
      <c r="B158" s="13"/>
      <c r="C158" s="13"/>
      <c r="D158" s="6"/>
      <c r="E158" s="8"/>
      <c r="F158" s="50"/>
      <c r="G158" s="8"/>
      <c r="H158" s="8"/>
      <c r="I158" s="7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</row>
    <row r="159" spans="1:66" ht="12.75" customHeight="1" x14ac:dyDescent="0.3">
      <c r="A159" s="13"/>
      <c r="B159" s="13"/>
      <c r="C159" s="13"/>
      <c r="D159" s="6"/>
      <c r="E159" s="8"/>
      <c r="F159" s="50"/>
      <c r="G159" s="8"/>
      <c r="H159" s="8"/>
      <c r="I159" s="7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</row>
    <row r="160" spans="1:66" ht="12.75" customHeight="1" x14ac:dyDescent="0.3">
      <c r="A160" s="13"/>
      <c r="B160" s="13"/>
      <c r="C160" s="13"/>
      <c r="D160" s="6"/>
      <c r="E160" s="8"/>
      <c r="F160" s="50"/>
      <c r="G160" s="8"/>
      <c r="H160" s="8"/>
      <c r="I160" s="7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</row>
    <row r="161" spans="1:66" ht="12.75" customHeight="1" x14ac:dyDescent="0.3">
      <c r="A161" s="13"/>
      <c r="B161" s="13"/>
      <c r="C161" s="13"/>
      <c r="D161" s="6"/>
      <c r="E161" s="8"/>
      <c r="F161" s="50"/>
      <c r="G161" s="8"/>
      <c r="H161" s="8"/>
      <c r="I161" s="7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</row>
    <row r="162" spans="1:66" ht="12.75" customHeight="1" x14ac:dyDescent="0.3">
      <c r="A162" s="13"/>
      <c r="B162" s="13"/>
      <c r="C162" s="13"/>
      <c r="D162" s="6"/>
      <c r="E162" s="8"/>
      <c r="F162" s="50"/>
      <c r="G162" s="8"/>
      <c r="H162" s="8"/>
      <c r="I162" s="7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</row>
    <row r="163" spans="1:66" ht="12.75" customHeight="1" x14ac:dyDescent="0.3">
      <c r="A163" s="13"/>
      <c r="B163" s="13"/>
      <c r="C163" s="13"/>
      <c r="D163" s="6"/>
      <c r="E163" s="8"/>
      <c r="F163" s="50"/>
      <c r="G163" s="8"/>
      <c r="H163" s="8"/>
      <c r="I163" s="7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</row>
    <row r="164" spans="1:66" ht="12.75" customHeight="1" x14ac:dyDescent="0.3">
      <c r="A164" s="13"/>
      <c r="B164" s="13"/>
      <c r="C164" s="13"/>
      <c r="D164" s="6"/>
      <c r="E164" s="8"/>
      <c r="F164" s="50"/>
      <c r="G164" s="8"/>
      <c r="H164" s="8"/>
      <c r="I164" s="7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</row>
    <row r="165" spans="1:66" ht="12.75" customHeight="1" x14ac:dyDescent="0.3">
      <c r="A165" s="13"/>
      <c r="B165" s="13"/>
      <c r="C165" s="13"/>
      <c r="D165" s="6"/>
      <c r="E165" s="8"/>
      <c r="F165" s="50"/>
      <c r="G165" s="8"/>
      <c r="H165" s="8"/>
      <c r="I165" s="7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</row>
    <row r="166" spans="1:66" ht="12.75" customHeight="1" x14ac:dyDescent="0.3">
      <c r="A166" s="13"/>
      <c r="B166" s="13"/>
      <c r="C166" s="13"/>
      <c r="D166" s="6"/>
      <c r="E166" s="8"/>
      <c r="F166" s="50"/>
      <c r="G166" s="8"/>
      <c r="H166" s="8"/>
      <c r="I166" s="7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</row>
    <row r="167" spans="1:66" ht="12.75" customHeight="1" x14ac:dyDescent="0.3">
      <c r="A167" s="13"/>
      <c r="B167" s="13"/>
      <c r="C167" s="13"/>
      <c r="D167" s="6"/>
      <c r="E167" s="8"/>
      <c r="F167" s="50"/>
      <c r="G167" s="8"/>
      <c r="H167" s="8"/>
      <c r="I167" s="7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</row>
    <row r="168" spans="1:66" ht="12.75" customHeight="1" x14ac:dyDescent="0.3">
      <c r="A168" s="13"/>
      <c r="B168" s="13"/>
      <c r="C168" s="13"/>
      <c r="D168" s="6"/>
      <c r="E168" s="8"/>
      <c r="F168" s="50"/>
      <c r="G168" s="8"/>
      <c r="H168" s="8"/>
      <c r="I168" s="7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</row>
    <row r="169" spans="1:66" ht="12.75" customHeight="1" x14ac:dyDescent="0.3">
      <c r="A169" s="13"/>
      <c r="B169" s="13"/>
      <c r="C169" s="13"/>
      <c r="D169" s="6"/>
      <c r="E169" s="8"/>
      <c r="F169" s="50"/>
      <c r="G169" s="8"/>
      <c r="H169" s="8"/>
      <c r="I169" s="7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</row>
    <row r="170" spans="1:66" ht="12.75" customHeight="1" x14ac:dyDescent="0.3">
      <c r="A170" s="13"/>
      <c r="B170" s="13"/>
      <c r="C170" s="13"/>
      <c r="D170" s="6"/>
      <c r="E170" s="8"/>
      <c r="F170" s="50"/>
      <c r="G170" s="8"/>
      <c r="H170" s="8"/>
      <c r="I170" s="7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</row>
    <row r="171" spans="1:66" ht="12.75" customHeight="1" x14ac:dyDescent="0.3">
      <c r="A171" s="13"/>
      <c r="B171" s="13"/>
      <c r="C171" s="13"/>
      <c r="D171" s="6"/>
      <c r="E171" s="8"/>
      <c r="F171" s="50"/>
      <c r="G171" s="8"/>
      <c r="H171" s="8"/>
      <c r="I171" s="7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</row>
    <row r="172" spans="1:66" ht="12.75" customHeight="1" x14ac:dyDescent="0.3">
      <c r="A172" s="13"/>
      <c r="B172" s="13"/>
      <c r="C172" s="13"/>
      <c r="D172" s="6"/>
      <c r="E172" s="8"/>
      <c r="F172" s="50"/>
      <c r="G172" s="8"/>
      <c r="H172" s="8"/>
      <c r="I172" s="7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</row>
    <row r="173" spans="1:66" ht="12.75" customHeight="1" x14ac:dyDescent="0.3">
      <c r="A173" s="13"/>
      <c r="B173" s="13"/>
      <c r="C173" s="13"/>
      <c r="D173" s="6"/>
      <c r="E173" s="8"/>
      <c r="F173" s="50"/>
      <c r="G173" s="8"/>
      <c r="H173" s="8"/>
      <c r="I173" s="7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</row>
    <row r="174" spans="1:66" ht="12.75" customHeight="1" x14ac:dyDescent="0.3">
      <c r="A174" s="13"/>
      <c r="B174" s="13"/>
      <c r="C174" s="13"/>
      <c r="D174" s="6"/>
      <c r="E174" s="8"/>
      <c r="F174" s="50"/>
      <c r="G174" s="8"/>
      <c r="H174" s="8"/>
      <c r="I174" s="7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</row>
    <row r="175" spans="1:66" ht="12.75" customHeight="1" x14ac:dyDescent="0.3">
      <c r="A175" s="13"/>
      <c r="B175" s="13"/>
      <c r="C175" s="13"/>
      <c r="D175" s="6"/>
      <c r="E175" s="8"/>
      <c r="F175" s="50"/>
      <c r="G175" s="8"/>
      <c r="H175" s="8"/>
      <c r="I175" s="7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</row>
    <row r="176" spans="1:66" ht="12.75" customHeight="1" x14ac:dyDescent="0.3">
      <c r="A176" s="13"/>
      <c r="B176" s="13"/>
      <c r="C176" s="13"/>
      <c r="D176" s="6"/>
      <c r="E176" s="8"/>
      <c r="F176" s="50"/>
      <c r="G176" s="8"/>
      <c r="H176" s="8"/>
      <c r="I176" s="7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</row>
    <row r="177" spans="1:66" ht="12.75" customHeight="1" x14ac:dyDescent="0.3">
      <c r="A177" s="13"/>
      <c r="B177" s="13"/>
      <c r="C177" s="13"/>
      <c r="D177" s="6"/>
      <c r="E177" s="8"/>
      <c r="F177" s="50"/>
      <c r="G177" s="8"/>
      <c r="H177" s="8"/>
      <c r="I177" s="7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</row>
    <row r="178" spans="1:66" ht="12.75" customHeight="1" x14ac:dyDescent="0.3">
      <c r="A178" s="13"/>
      <c r="B178" s="13"/>
      <c r="C178" s="13"/>
      <c r="D178" s="6"/>
      <c r="E178" s="8"/>
      <c r="F178" s="50"/>
      <c r="G178" s="8"/>
      <c r="H178" s="8"/>
      <c r="I178" s="7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</row>
    <row r="179" spans="1:66" ht="12.75" customHeight="1" x14ac:dyDescent="0.3">
      <c r="A179" s="13"/>
      <c r="B179" s="13"/>
      <c r="C179" s="13"/>
      <c r="D179" s="6"/>
      <c r="E179" s="8"/>
      <c r="F179" s="50"/>
      <c r="G179" s="8"/>
      <c r="H179" s="8"/>
      <c r="I179" s="7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</row>
    <row r="180" spans="1:66" ht="12.75" customHeight="1" x14ac:dyDescent="0.3">
      <c r="A180" s="13"/>
      <c r="B180" s="13"/>
      <c r="C180" s="13"/>
      <c r="D180" s="6"/>
      <c r="E180" s="8"/>
      <c r="F180" s="50"/>
      <c r="G180" s="8"/>
      <c r="H180" s="8"/>
      <c r="I180" s="7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</row>
    <row r="181" spans="1:66" ht="12.75" customHeight="1" x14ac:dyDescent="0.3">
      <c r="A181" s="13"/>
      <c r="B181" s="13"/>
      <c r="C181" s="13"/>
      <c r="D181" s="6"/>
      <c r="E181" s="8"/>
      <c r="F181" s="50"/>
      <c r="G181" s="8"/>
      <c r="H181" s="8"/>
      <c r="I181" s="7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</row>
    <row r="182" spans="1:66" ht="12.75" customHeight="1" x14ac:dyDescent="0.3">
      <c r="A182" s="13"/>
      <c r="B182" s="13"/>
      <c r="C182" s="13"/>
      <c r="D182" s="6"/>
      <c r="E182" s="8"/>
      <c r="F182" s="50"/>
      <c r="G182" s="8"/>
      <c r="H182" s="8"/>
      <c r="I182" s="7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</row>
    <row r="183" spans="1:66" ht="12.75" customHeight="1" x14ac:dyDescent="0.3">
      <c r="A183" s="13"/>
      <c r="B183" s="13"/>
      <c r="C183" s="13"/>
      <c r="D183" s="6"/>
      <c r="E183" s="8"/>
      <c r="F183" s="50"/>
      <c r="G183" s="8"/>
      <c r="H183" s="8"/>
      <c r="I183" s="7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</row>
    <row r="184" spans="1:66" ht="12.75" customHeight="1" x14ac:dyDescent="0.3">
      <c r="A184" s="13"/>
      <c r="B184" s="13"/>
      <c r="C184" s="13"/>
      <c r="D184" s="6"/>
      <c r="E184" s="8"/>
      <c r="F184" s="50"/>
      <c r="G184" s="8"/>
      <c r="H184" s="8"/>
      <c r="I184" s="7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</row>
    <row r="185" spans="1:66" ht="12.75" customHeight="1" x14ac:dyDescent="0.3">
      <c r="A185" s="13"/>
      <c r="B185" s="13"/>
      <c r="C185" s="13"/>
      <c r="D185" s="6"/>
      <c r="E185" s="8"/>
      <c r="F185" s="50"/>
      <c r="G185" s="8"/>
      <c r="H185" s="8"/>
      <c r="I185" s="7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</row>
    <row r="186" spans="1:66" ht="12.75" customHeight="1" x14ac:dyDescent="0.3">
      <c r="A186" s="13"/>
      <c r="B186" s="13"/>
      <c r="C186" s="13"/>
      <c r="D186" s="6"/>
      <c r="E186" s="8"/>
      <c r="F186" s="50"/>
      <c r="G186" s="8"/>
      <c r="H186" s="8"/>
      <c r="I186" s="7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</row>
    <row r="187" spans="1:66" ht="12.75" customHeight="1" x14ac:dyDescent="0.3">
      <c r="A187" s="13"/>
      <c r="B187" s="13"/>
      <c r="C187" s="13"/>
      <c r="D187" s="6"/>
      <c r="E187" s="8"/>
      <c r="F187" s="50"/>
      <c r="G187" s="8"/>
      <c r="H187" s="8"/>
      <c r="I187" s="7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</row>
    <row r="188" spans="1:66" ht="12.75" customHeight="1" x14ac:dyDescent="0.3">
      <c r="A188" s="13"/>
      <c r="B188" s="13"/>
      <c r="C188" s="13"/>
      <c r="D188" s="6"/>
      <c r="E188" s="8"/>
      <c r="F188" s="50"/>
      <c r="G188" s="8"/>
      <c r="H188" s="8"/>
      <c r="I188" s="7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</row>
    <row r="189" spans="1:66" ht="12.75" customHeight="1" x14ac:dyDescent="0.3">
      <c r="A189" s="13"/>
      <c r="B189" s="13"/>
      <c r="C189" s="13"/>
      <c r="D189" s="6"/>
      <c r="E189" s="8"/>
      <c r="F189" s="50"/>
      <c r="G189" s="8"/>
      <c r="H189" s="8"/>
      <c r="I189" s="7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</row>
    <row r="190" spans="1:66" ht="12.75" customHeight="1" x14ac:dyDescent="0.3">
      <c r="A190" s="13"/>
      <c r="B190" s="13"/>
      <c r="C190" s="13"/>
      <c r="D190" s="6"/>
      <c r="E190" s="8"/>
      <c r="F190" s="50"/>
      <c r="G190" s="8"/>
      <c r="H190" s="8"/>
      <c r="I190" s="7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</row>
    <row r="191" spans="1:66" ht="12.75" customHeight="1" x14ac:dyDescent="0.3">
      <c r="A191" s="13"/>
      <c r="B191" s="13"/>
      <c r="C191" s="13"/>
      <c r="D191" s="6"/>
      <c r="E191" s="8"/>
      <c r="F191" s="50"/>
      <c r="G191" s="8"/>
      <c r="H191" s="8"/>
      <c r="I191" s="7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</row>
    <row r="192" spans="1:66" ht="12.75" customHeight="1" x14ac:dyDescent="0.3">
      <c r="A192" s="13"/>
      <c r="B192" s="13"/>
      <c r="C192" s="13"/>
      <c r="D192" s="13"/>
      <c r="E192" s="13"/>
      <c r="F192" s="179"/>
      <c r="G192" s="13"/>
      <c r="H192" s="13"/>
      <c r="I192" s="42"/>
      <c r="J192" s="7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</row>
    <row r="193" spans="1:66" ht="12.75" customHeight="1" x14ac:dyDescent="0.3">
      <c r="A193" s="13"/>
      <c r="B193" s="13"/>
      <c r="C193" s="13"/>
      <c r="D193" s="13"/>
      <c r="E193" s="13"/>
      <c r="F193" s="179"/>
      <c r="G193" s="13"/>
      <c r="H193" s="13"/>
      <c r="I193" s="42"/>
      <c r="J193" s="7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</row>
    <row r="194" spans="1:66" ht="12.75" customHeight="1" x14ac:dyDescent="0.3">
      <c r="A194" s="13"/>
      <c r="B194" s="13"/>
      <c r="C194" s="13"/>
      <c r="D194" s="13"/>
      <c r="E194" s="13"/>
      <c r="F194" s="179"/>
      <c r="G194" s="13"/>
      <c r="H194" s="13"/>
      <c r="I194" s="42"/>
      <c r="J194" s="7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</row>
    <row r="195" spans="1:66" ht="12.75" customHeight="1" x14ac:dyDescent="0.3">
      <c r="A195" s="13"/>
      <c r="B195" s="13"/>
      <c r="C195" s="13"/>
      <c r="D195" s="13"/>
      <c r="E195" s="13"/>
      <c r="F195" s="179"/>
      <c r="G195" s="13"/>
      <c r="H195" s="13"/>
      <c r="I195" s="42"/>
      <c r="J195" s="7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</row>
    <row r="196" spans="1:66" ht="12.75" customHeight="1" x14ac:dyDescent="0.3">
      <c r="A196" s="13"/>
      <c r="B196" s="13"/>
      <c r="C196" s="13"/>
      <c r="D196" s="13"/>
      <c r="E196" s="13"/>
      <c r="F196" s="179"/>
      <c r="G196" s="13"/>
      <c r="H196" s="13"/>
      <c r="I196" s="42"/>
      <c r="J196" s="7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</row>
    <row r="197" spans="1:66" ht="12.75" customHeight="1" x14ac:dyDescent="0.3">
      <c r="A197" s="13"/>
      <c r="B197" s="13"/>
      <c r="C197" s="13"/>
      <c r="D197" s="13"/>
      <c r="E197" s="13"/>
      <c r="F197" s="179"/>
      <c r="G197" s="13"/>
      <c r="H197" s="13"/>
      <c r="I197" s="42"/>
      <c r="J197" s="7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</row>
    <row r="198" spans="1:66" ht="12.75" customHeight="1" x14ac:dyDescent="0.3">
      <c r="A198" s="13"/>
      <c r="B198" s="13"/>
      <c r="C198" s="13"/>
      <c r="D198" s="13"/>
      <c r="E198" s="13"/>
      <c r="F198" s="179"/>
      <c r="G198" s="13"/>
      <c r="H198" s="13"/>
      <c r="I198" s="42"/>
      <c r="J198" s="7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</row>
    <row r="199" spans="1:66" ht="12.75" customHeight="1" x14ac:dyDescent="0.3">
      <c r="A199" s="13"/>
      <c r="B199" s="13"/>
      <c r="C199" s="13"/>
      <c r="D199" s="13"/>
      <c r="E199" s="13"/>
      <c r="F199" s="179"/>
      <c r="G199" s="13"/>
      <c r="H199" s="13"/>
      <c r="I199" s="42"/>
      <c r="J199" s="7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</row>
    <row r="200" spans="1:66" ht="12.75" customHeight="1" x14ac:dyDescent="0.3">
      <c r="A200" s="13"/>
      <c r="B200" s="13"/>
      <c r="C200" s="13"/>
      <c r="D200" s="13"/>
      <c r="E200" s="13"/>
      <c r="F200" s="179"/>
      <c r="G200" s="13"/>
      <c r="H200" s="13"/>
      <c r="I200" s="42"/>
      <c r="J200" s="7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</row>
    <row r="201" spans="1:66" ht="12.75" customHeight="1" x14ac:dyDescent="0.3">
      <c r="A201" s="13"/>
      <c r="B201" s="13"/>
      <c r="C201" s="13"/>
      <c r="D201" s="13"/>
      <c r="E201" s="13"/>
      <c r="F201" s="179"/>
      <c r="G201" s="13"/>
      <c r="H201" s="13"/>
      <c r="I201" s="42"/>
      <c r="J201" s="7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</row>
    <row r="202" spans="1:66" ht="12.75" customHeight="1" x14ac:dyDescent="0.3">
      <c r="A202" s="13"/>
      <c r="B202" s="13"/>
      <c r="C202" s="13"/>
      <c r="D202" s="13"/>
      <c r="E202" s="13"/>
      <c r="F202" s="179"/>
      <c r="G202" s="13"/>
      <c r="H202" s="13"/>
      <c r="I202" s="42"/>
      <c r="J202" s="7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</row>
    <row r="203" spans="1:66" ht="12.75" customHeight="1" x14ac:dyDescent="0.3">
      <c r="A203" s="13"/>
      <c r="B203" s="13"/>
      <c r="C203" s="13"/>
      <c r="D203" s="13"/>
      <c r="E203" s="13"/>
      <c r="F203" s="179"/>
      <c r="G203" s="13"/>
      <c r="H203" s="13"/>
      <c r="I203" s="42"/>
      <c r="J203" s="7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</row>
    <row r="204" spans="1:66" ht="12.75" customHeight="1" x14ac:dyDescent="0.3">
      <c r="A204" s="13"/>
      <c r="B204" s="13"/>
      <c r="C204" s="13"/>
      <c r="D204" s="13"/>
      <c r="E204" s="13"/>
      <c r="F204" s="179"/>
      <c r="G204" s="13"/>
      <c r="H204" s="13"/>
      <c r="I204" s="42"/>
      <c r="J204" s="7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</row>
    <row r="205" spans="1:66" ht="12.75" customHeight="1" x14ac:dyDescent="0.3">
      <c r="A205" s="13"/>
      <c r="B205" s="13"/>
      <c r="C205" s="13"/>
      <c r="D205" s="13"/>
      <c r="E205" s="13"/>
      <c r="F205" s="179"/>
      <c r="G205" s="13"/>
      <c r="H205" s="13"/>
      <c r="I205" s="42"/>
      <c r="J205" s="7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</row>
    <row r="206" spans="1:66" ht="12.75" customHeight="1" x14ac:dyDescent="0.3">
      <c r="A206" s="13"/>
      <c r="B206" s="13"/>
      <c r="C206" s="13"/>
      <c r="D206" s="13"/>
      <c r="E206" s="13"/>
      <c r="F206" s="179"/>
      <c r="G206" s="13"/>
      <c r="H206" s="13"/>
      <c r="I206" s="42"/>
      <c r="J206" s="7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</row>
    <row r="207" spans="1:66" ht="12.75" customHeight="1" x14ac:dyDescent="0.3">
      <c r="A207" s="13"/>
      <c r="B207" s="13"/>
      <c r="C207" s="13"/>
      <c r="D207" s="13"/>
      <c r="E207" s="13"/>
      <c r="F207" s="179"/>
      <c r="G207" s="13"/>
      <c r="H207" s="13"/>
      <c r="I207" s="42"/>
      <c r="J207" s="7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</row>
    <row r="208" spans="1:66" ht="12.75" customHeight="1" x14ac:dyDescent="0.3">
      <c r="A208" s="13"/>
      <c r="B208" s="13"/>
      <c r="C208" s="13"/>
      <c r="D208" s="13"/>
      <c r="E208" s="13"/>
      <c r="F208" s="179"/>
      <c r="G208" s="13"/>
      <c r="H208" s="13"/>
      <c r="I208" s="42"/>
      <c r="J208" s="7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</row>
    <row r="209" spans="1:66" ht="12.75" customHeight="1" x14ac:dyDescent="0.3">
      <c r="A209" s="13"/>
      <c r="B209" s="13"/>
      <c r="C209" s="13"/>
      <c r="D209" s="13"/>
      <c r="E209" s="13"/>
      <c r="F209" s="179"/>
      <c r="G209" s="13"/>
      <c r="H209" s="13"/>
      <c r="I209" s="42"/>
      <c r="J209" s="7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</row>
    <row r="210" spans="1:66" ht="12.75" customHeight="1" x14ac:dyDescent="0.3">
      <c r="A210" s="13"/>
      <c r="B210" s="13"/>
      <c r="C210" s="13"/>
      <c r="D210" s="13"/>
      <c r="E210" s="13"/>
      <c r="F210" s="179"/>
      <c r="G210" s="13"/>
      <c r="H210" s="13"/>
      <c r="I210" s="42"/>
      <c r="J210" s="7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</row>
    <row r="211" spans="1:66" ht="12.75" customHeight="1" x14ac:dyDescent="0.3">
      <c r="A211" s="13"/>
      <c r="B211" s="13"/>
      <c r="C211" s="13"/>
      <c r="D211" s="13"/>
      <c r="E211" s="13"/>
      <c r="F211" s="179"/>
      <c r="G211" s="13"/>
      <c r="H211" s="13"/>
      <c r="I211" s="42"/>
      <c r="J211" s="7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</row>
    <row r="212" spans="1:66" ht="12.75" customHeight="1" x14ac:dyDescent="0.3">
      <c r="A212" s="13"/>
      <c r="B212" s="13"/>
      <c r="C212" s="13"/>
      <c r="D212" s="13"/>
      <c r="E212" s="13"/>
      <c r="F212" s="179"/>
      <c r="G212" s="13"/>
      <c r="H212" s="13"/>
      <c r="I212" s="42"/>
      <c r="J212" s="7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</row>
    <row r="213" spans="1:66" ht="12.75" customHeight="1" x14ac:dyDescent="0.3">
      <c r="A213" s="13"/>
      <c r="B213" s="13"/>
      <c r="C213" s="13"/>
      <c r="D213" s="13"/>
      <c r="E213" s="13"/>
      <c r="F213" s="179"/>
      <c r="G213" s="13"/>
      <c r="H213" s="13"/>
      <c r="I213" s="42"/>
      <c r="J213" s="7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</row>
    <row r="214" spans="1:66" ht="12.75" customHeight="1" x14ac:dyDescent="0.3">
      <c r="A214" s="13"/>
      <c r="B214" s="13"/>
      <c r="C214" s="13"/>
      <c r="D214" s="13"/>
      <c r="E214" s="13"/>
      <c r="F214" s="179"/>
      <c r="G214" s="13"/>
      <c r="H214" s="13"/>
      <c r="I214" s="42"/>
      <c r="J214" s="7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</row>
    <row r="215" spans="1:66" ht="12.75" customHeight="1" x14ac:dyDescent="0.3">
      <c r="A215" s="13"/>
      <c r="B215" s="13"/>
      <c r="C215" s="13"/>
      <c r="D215" s="13"/>
      <c r="E215" s="13"/>
      <c r="F215" s="179"/>
      <c r="G215" s="13"/>
      <c r="H215" s="13"/>
      <c r="I215" s="42"/>
      <c r="J215" s="7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</row>
    <row r="216" spans="1:66" ht="12.75" customHeight="1" x14ac:dyDescent="0.3">
      <c r="A216" s="13"/>
      <c r="B216" s="13"/>
      <c r="C216" s="13"/>
      <c r="D216" s="13"/>
      <c r="E216" s="13"/>
      <c r="F216" s="179"/>
      <c r="G216" s="13"/>
      <c r="H216" s="13"/>
      <c r="I216" s="42"/>
      <c r="J216" s="7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</row>
    <row r="217" spans="1:66" ht="12.75" customHeight="1" x14ac:dyDescent="0.3">
      <c r="A217" s="13"/>
      <c r="B217" s="13"/>
      <c r="C217" s="13"/>
      <c r="D217" s="13"/>
      <c r="E217" s="13"/>
      <c r="F217" s="179"/>
      <c r="G217" s="13"/>
      <c r="H217" s="13"/>
      <c r="I217" s="42"/>
      <c r="J217" s="7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</row>
    <row r="218" spans="1:66" ht="12.75" customHeight="1" x14ac:dyDescent="0.3">
      <c r="A218" s="13"/>
      <c r="B218" s="13"/>
      <c r="C218" s="13"/>
      <c r="D218" s="13"/>
      <c r="E218" s="13"/>
      <c r="F218" s="179"/>
      <c r="G218" s="13"/>
      <c r="H218" s="13"/>
      <c r="I218" s="42"/>
      <c r="J218" s="7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</row>
    <row r="219" spans="1:66" ht="12.75" customHeight="1" x14ac:dyDescent="0.3">
      <c r="A219" s="13"/>
      <c r="B219" s="13"/>
      <c r="C219" s="13"/>
      <c r="D219" s="13"/>
      <c r="E219" s="13"/>
      <c r="F219" s="179"/>
      <c r="G219" s="13"/>
      <c r="H219" s="13"/>
      <c r="I219" s="42"/>
      <c r="J219" s="7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</row>
    <row r="220" spans="1:66" ht="12.75" customHeight="1" x14ac:dyDescent="0.3">
      <c r="A220" s="13"/>
      <c r="B220" s="13"/>
      <c r="C220" s="13"/>
      <c r="D220" s="13"/>
      <c r="E220" s="13"/>
      <c r="F220" s="179"/>
      <c r="G220" s="13"/>
      <c r="H220" s="13"/>
      <c r="I220" s="42"/>
      <c r="J220" s="7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</row>
    <row r="221" spans="1:66" ht="12.75" customHeight="1" x14ac:dyDescent="0.3">
      <c r="A221" s="13"/>
      <c r="B221" s="13"/>
      <c r="C221" s="13"/>
      <c r="D221" s="13"/>
      <c r="E221" s="13"/>
      <c r="F221" s="179"/>
      <c r="G221" s="13"/>
      <c r="H221" s="13"/>
      <c r="I221" s="42"/>
      <c r="J221" s="7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</row>
    <row r="222" spans="1:66" ht="12.75" customHeight="1" x14ac:dyDescent="0.3">
      <c r="A222" s="13"/>
      <c r="B222" s="13"/>
      <c r="C222" s="13"/>
      <c r="D222" s="13"/>
      <c r="E222" s="13"/>
      <c r="F222" s="179"/>
      <c r="G222" s="13"/>
      <c r="H222" s="13"/>
      <c r="I222" s="42"/>
      <c r="J222" s="7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</row>
    <row r="223" spans="1:66" ht="12.75" customHeight="1" x14ac:dyDescent="0.3">
      <c r="A223" s="13"/>
      <c r="B223" s="13"/>
      <c r="C223" s="13"/>
      <c r="D223" s="13"/>
      <c r="E223" s="13"/>
      <c r="F223" s="179"/>
      <c r="G223" s="13"/>
      <c r="H223" s="13"/>
      <c r="I223" s="42"/>
      <c r="J223" s="7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</row>
    <row r="224" spans="1:66" ht="12.75" customHeight="1" x14ac:dyDescent="0.3">
      <c r="A224" s="13"/>
      <c r="B224" s="13"/>
      <c r="C224" s="13"/>
      <c r="D224" s="13"/>
      <c r="E224" s="13"/>
      <c r="F224" s="179"/>
      <c r="G224" s="13"/>
      <c r="H224" s="13"/>
      <c r="I224" s="42"/>
      <c r="J224" s="7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</row>
    <row r="225" spans="1:66" ht="12.75" customHeight="1" x14ac:dyDescent="0.3">
      <c r="A225" s="13"/>
      <c r="B225" s="13"/>
      <c r="C225" s="13"/>
      <c r="D225" s="13"/>
      <c r="E225" s="13"/>
      <c r="F225" s="179"/>
      <c r="G225" s="13"/>
      <c r="H225" s="13"/>
      <c r="I225" s="42"/>
      <c r="J225" s="7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</row>
    <row r="226" spans="1:66" ht="12.75" customHeight="1" x14ac:dyDescent="0.3">
      <c r="A226" s="13"/>
      <c r="B226" s="13"/>
      <c r="C226" s="13"/>
      <c r="D226" s="13"/>
      <c r="E226" s="13"/>
      <c r="F226" s="179"/>
      <c r="G226" s="13"/>
      <c r="H226" s="13"/>
      <c r="I226" s="42"/>
      <c r="J226" s="7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</row>
    <row r="227" spans="1:66" ht="12.75" customHeight="1" x14ac:dyDescent="0.3">
      <c r="A227" s="13"/>
      <c r="B227" s="13"/>
      <c r="C227" s="13"/>
      <c r="D227" s="13"/>
      <c r="E227" s="13"/>
      <c r="F227" s="179"/>
      <c r="G227" s="13"/>
      <c r="H227" s="13"/>
      <c r="I227" s="42"/>
      <c r="J227" s="7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</row>
    <row r="228" spans="1:66" ht="12.75" customHeight="1" x14ac:dyDescent="0.3">
      <c r="A228" s="13"/>
      <c r="B228" s="13"/>
      <c r="C228" s="13"/>
      <c r="D228" s="13"/>
      <c r="E228" s="13"/>
      <c r="F228" s="179"/>
      <c r="G228" s="13"/>
      <c r="H228" s="13"/>
      <c r="I228" s="42"/>
      <c r="J228" s="7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</row>
    <row r="229" spans="1:66" ht="12.75" customHeight="1" x14ac:dyDescent="0.3">
      <c r="A229" s="13"/>
      <c r="B229" s="13"/>
      <c r="C229" s="13"/>
      <c r="D229" s="13"/>
      <c r="E229" s="13"/>
      <c r="F229" s="179"/>
      <c r="G229" s="13"/>
      <c r="H229" s="13"/>
      <c r="I229" s="42"/>
      <c r="J229" s="7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</row>
    <row r="230" spans="1:66" ht="12.75" customHeight="1" x14ac:dyDescent="0.3">
      <c r="A230" s="13"/>
      <c r="B230" s="13"/>
      <c r="C230" s="13"/>
      <c r="D230" s="13"/>
      <c r="E230" s="13"/>
      <c r="F230" s="179"/>
      <c r="G230" s="13"/>
      <c r="H230" s="13"/>
      <c r="I230" s="42"/>
      <c r="J230" s="7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</row>
    <row r="231" spans="1:66" ht="12.75" customHeight="1" x14ac:dyDescent="0.3">
      <c r="A231" s="13"/>
      <c r="B231" s="13"/>
      <c r="C231" s="13"/>
      <c r="D231" s="13"/>
      <c r="E231" s="13"/>
      <c r="F231" s="179"/>
      <c r="G231" s="13"/>
      <c r="H231" s="13"/>
      <c r="I231" s="42"/>
      <c r="J231" s="7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</row>
    <row r="232" spans="1:66" ht="12.75" customHeight="1" x14ac:dyDescent="0.3">
      <c r="A232" s="13"/>
      <c r="B232" s="13"/>
      <c r="C232" s="13"/>
      <c r="D232" s="13"/>
      <c r="E232" s="13"/>
      <c r="F232" s="179"/>
      <c r="G232" s="13"/>
      <c r="H232" s="13"/>
      <c r="I232" s="42"/>
      <c r="J232" s="7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</row>
    <row r="233" spans="1:66" ht="12.75" customHeight="1" x14ac:dyDescent="0.3">
      <c r="A233" s="13"/>
      <c r="B233" s="13"/>
      <c r="C233" s="13"/>
      <c r="D233" s="13"/>
      <c r="E233" s="13"/>
      <c r="F233" s="179"/>
      <c r="G233" s="13"/>
      <c r="H233" s="13"/>
      <c r="I233" s="42"/>
      <c r="J233" s="7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</row>
    <row r="234" spans="1:66" ht="12.75" customHeight="1" x14ac:dyDescent="0.3">
      <c r="A234" s="13"/>
      <c r="B234" s="13"/>
      <c r="C234" s="13"/>
      <c r="D234" s="13"/>
      <c r="E234" s="13"/>
      <c r="F234" s="179"/>
      <c r="G234" s="13"/>
      <c r="H234" s="13"/>
      <c r="I234" s="42"/>
      <c r="J234" s="7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</row>
    <row r="235" spans="1:66" ht="12.75" customHeight="1" x14ac:dyDescent="0.3">
      <c r="A235" s="13"/>
      <c r="B235" s="13"/>
      <c r="C235" s="13"/>
      <c r="F235" s="180"/>
      <c r="I235" s="177"/>
      <c r="J235" s="42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</row>
    <row r="236" spans="1:66" ht="12.75" customHeight="1" x14ac:dyDescent="0.3">
      <c r="A236" s="13"/>
      <c r="B236" s="13"/>
      <c r="C236" s="13"/>
      <c r="F236" s="180"/>
      <c r="I236" s="177"/>
      <c r="J236" s="42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</row>
    <row r="237" spans="1:66" ht="12.75" customHeight="1" x14ac:dyDescent="0.3">
      <c r="A237" s="13"/>
      <c r="B237" s="13"/>
      <c r="C237" s="13"/>
      <c r="F237" s="180"/>
      <c r="I237" s="177"/>
      <c r="J237" s="42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</row>
    <row r="238" spans="1:66" ht="12.75" customHeight="1" x14ac:dyDescent="0.3">
      <c r="A238" s="13"/>
      <c r="B238" s="13"/>
      <c r="C238" s="13"/>
      <c r="F238" s="180"/>
      <c r="I238" s="177"/>
      <c r="J238" s="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</row>
    <row r="239" spans="1:66" ht="12.75" customHeight="1" x14ac:dyDescent="0.3">
      <c r="A239" s="13"/>
      <c r="B239" s="13"/>
      <c r="C239" s="13"/>
      <c r="F239" s="180"/>
      <c r="I239" s="177"/>
      <c r="J239" s="42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</row>
    <row r="240" spans="1:66" ht="12.75" customHeight="1" x14ac:dyDescent="0.3">
      <c r="A240" s="13"/>
      <c r="B240" s="13"/>
      <c r="C240" s="13"/>
      <c r="F240" s="180"/>
      <c r="I240" s="177"/>
      <c r="J240" s="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</row>
    <row r="241" spans="1:66" ht="12.75" customHeight="1" x14ac:dyDescent="0.3">
      <c r="A241" s="13"/>
      <c r="B241" s="13"/>
      <c r="C241" s="13"/>
      <c r="F241" s="180"/>
      <c r="I241" s="177"/>
      <c r="J241" s="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</row>
    <row r="242" spans="1:66" ht="12.75" customHeight="1" x14ac:dyDescent="0.3">
      <c r="A242" s="13"/>
      <c r="B242" s="13"/>
      <c r="C242" s="13"/>
      <c r="F242" s="180"/>
      <c r="I242" s="177"/>
      <c r="J242" s="42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</row>
    <row r="243" spans="1:66" ht="12.75" customHeight="1" x14ac:dyDescent="0.3">
      <c r="A243" s="13"/>
      <c r="B243" s="13"/>
      <c r="C243" s="13"/>
      <c r="F243" s="180"/>
      <c r="I243" s="177"/>
      <c r="J243" s="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</row>
    <row r="244" spans="1:66" ht="12.75" customHeight="1" x14ac:dyDescent="0.3">
      <c r="A244" s="13"/>
      <c r="B244" s="13"/>
      <c r="C244" s="13"/>
      <c r="F244" s="180"/>
      <c r="I244" s="177"/>
      <c r="J244" s="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</row>
    <row r="245" spans="1:66" ht="12.75" customHeight="1" x14ac:dyDescent="0.3">
      <c r="A245" s="13"/>
      <c r="B245" s="13"/>
      <c r="C245" s="13"/>
      <c r="F245" s="180"/>
      <c r="I245" s="177"/>
      <c r="J245" s="42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</row>
    <row r="246" spans="1:66" ht="12.75" customHeight="1" x14ac:dyDescent="0.3">
      <c r="A246" s="13"/>
      <c r="B246" s="13"/>
      <c r="C246" s="13"/>
      <c r="F246" s="180"/>
      <c r="I246" s="177"/>
      <c r="J246" s="42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</row>
    <row r="247" spans="1:66" ht="12.75" customHeight="1" x14ac:dyDescent="0.3">
      <c r="A247" s="13"/>
      <c r="B247" s="13"/>
      <c r="C247" s="13"/>
      <c r="F247" s="180"/>
      <c r="I247" s="177"/>
      <c r="J247" s="42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</row>
    <row r="248" spans="1:66" ht="12.75" customHeight="1" x14ac:dyDescent="0.3">
      <c r="A248" s="13"/>
      <c r="B248" s="13"/>
      <c r="C248" s="13"/>
      <c r="F248" s="180"/>
      <c r="I248" s="177"/>
      <c r="J248" s="42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</row>
    <row r="249" spans="1:66" ht="12.75" customHeight="1" x14ac:dyDescent="0.3">
      <c r="A249" s="13"/>
      <c r="B249" s="13"/>
      <c r="C249" s="13"/>
      <c r="F249" s="180"/>
      <c r="I249" s="177"/>
      <c r="J249" s="42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</row>
    <row r="250" spans="1:66" ht="12.75" customHeight="1" x14ac:dyDescent="0.3">
      <c r="A250" s="13"/>
      <c r="B250" s="13"/>
      <c r="C250" s="13"/>
      <c r="F250" s="180"/>
      <c r="I250" s="177"/>
      <c r="J250" s="42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</row>
    <row r="251" spans="1:66" ht="12.75" customHeight="1" x14ac:dyDescent="0.3">
      <c r="A251" s="13"/>
      <c r="B251" s="13"/>
      <c r="C251" s="13"/>
      <c r="F251" s="180"/>
      <c r="I251" s="177"/>
      <c r="J251" s="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</row>
    <row r="252" spans="1:66" ht="12.75" customHeight="1" x14ac:dyDescent="0.3">
      <c r="A252" s="13"/>
      <c r="B252" s="13"/>
      <c r="C252" s="13"/>
      <c r="F252" s="180"/>
      <c r="I252" s="177"/>
      <c r="J252" s="42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</row>
    <row r="253" spans="1:66" ht="12.75" customHeight="1" x14ac:dyDescent="0.3">
      <c r="A253" s="13"/>
      <c r="B253" s="13"/>
      <c r="C253" s="13"/>
      <c r="F253" s="180"/>
      <c r="I253" s="177"/>
      <c r="J253" s="42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</row>
    <row r="254" spans="1:66" ht="12.75" customHeight="1" x14ac:dyDescent="0.3">
      <c r="A254" s="13"/>
      <c r="B254" s="13"/>
      <c r="C254" s="13"/>
      <c r="F254" s="180"/>
      <c r="I254" s="177"/>
      <c r="J254" s="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</row>
    <row r="255" spans="1:66" ht="12.75" customHeight="1" x14ac:dyDescent="0.3">
      <c r="A255" s="13"/>
      <c r="B255" s="13"/>
      <c r="C255" s="13"/>
      <c r="F255" s="180"/>
      <c r="I255" s="177"/>
      <c r="J255" s="42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</row>
    <row r="256" spans="1:66" ht="12.75" customHeight="1" x14ac:dyDescent="0.3">
      <c r="A256" s="13"/>
      <c r="B256" s="13"/>
      <c r="C256" s="13"/>
      <c r="F256" s="180"/>
      <c r="I256" s="177"/>
      <c r="J256" s="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</row>
    <row r="257" spans="1:66" ht="12.75" customHeight="1" x14ac:dyDescent="0.3">
      <c r="A257" s="13"/>
      <c r="B257" s="13"/>
      <c r="C257" s="13"/>
      <c r="F257" s="180"/>
      <c r="I257" s="177"/>
      <c r="J257" s="42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</row>
    <row r="258" spans="1:66" ht="12.75" customHeight="1" x14ac:dyDescent="0.3">
      <c r="A258" s="13"/>
      <c r="B258" s="13"/>
      <c r="C258" s="13"/>
      <c r="F258" s="180"/>
      <c r="I258" s="177"/>
      <c r="J258" s="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</row>
    <row r="259" spans="1:66" ht="12.75" customHeight="1" x14ac:dyDescent="0.3">
      <c r="A259" s="13"/>
      <c r="B259" s="13"/>
      <c r="C259" s="13"/>
      <c r="F259" s="180"/>
      <c r="I259" s="177"/>
      <c r="J259" s="42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</row>
    <row r="260" spans="1:66" ht="12.75" customHeight="1" x14ac:dyDescent="0.3">
      <c r="A260" s="13"/>
      <c r="B260" s="13"/>
      <c r="C260" s="13"/>
      <c r="F260" s="180"/>
      <c r="I260" s="177"/>
      <c r="J260" s="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</row>
    <row r="261" spans="1:66" ht="12.75" customHeight="1" x14ac:dyDescent="0.3">
      <c r="A261" s="13"/>
      <c r="B261" s="13"/>
      <c r="C261" s="13"/>
      <c r="F261" s="180"/>
      <c r="I261" s="177"/>
      <c r="J261" s="42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</row>
    <row r="262" spans="1:66" ht="12.75" customHeight="1" x14ac:dyDescent="0.3">
      <c r="A262" s="13"/>
      <c r="B262" s="13"/>
      <c r="C262" s="13"/>
      <c r="F262" s="180"/>
      <c r="I262" s="177"/>
      <c r="J262" s="42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</row>
    <row r="263" spans="1:66" ht="12.75" customHeight="1" x14ac:dyDescent="0.3">
      <c r="A263" s="13"/>
      <c r="B263" s="13"/>
      <c r="C263" s="13"/>
      <c r="F263" s="180"/>
      <c r="I263" s="177"/>
      <c r="J263" s="42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</row>
    <row r="264" spans="1:66" ht="12.75" customHeight="1" x14ac:dyDescent="0.3">
      <c r="A264" s="13"/>
      <c r="B264" s="13"/>
      <c r="C264" s="13"/>
      <c r="F264" s="180"/>
      <c r="I264" s="177"/>
      <c r="J264" s="42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</row>
    <row r="265" spans="1:66" ht="12.75" customHeight="1" x14ac:dyDescent="0.3">
      <c r="A265" s="13"/>
      <c r="B265" s="13"/>
      <c r="C265" s="13"/>
      <c r="F265" s="180"/>
      <c r="I265" s="177"/>
      <c r="J265" s="42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</row>
    <row r="266" spans="1:66" ht="12.75" customHeight="1" x14ac:dyDescent="0.3">
      <c r="A266" s="13"/>
      <c r="B266" s="13"/>
      <c r="C266" s="13"/>
      <c r="F266" s="180"/>
      <c r="I266" s="177"/>
      <c r="J266" s="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</row>
    <row r="267" spans="1:66" ht="12.75" customHeight="1" x14ac:dyDescent="0.3">
      <c r="A267" s="13"/>
      <c r="B267" s="13"/>
      <c r="C267" s="13"/>
      <c r="F267" s="180"/>
      <c r="I267" s="177"/>
      <c r="J267" s="42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</row>
    <row r="268" spans="1:66" ht="12.75" customHeight="1" x14ac:dyDescent="0.3">
      <c r="A268" s="13"/>
      <c r="B268" s="13"/>
      <c r="C268" s="13"/>
      <c r="F268" s="180"/>
      <c r="I268" s="177"/>
      <c r="J268" s="42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</row>
    <row r="269" spans="1:66" ht="12.75" customHeight="1" x14ac:dyDescent="0.3">
      <c r="A269" s="13"/>
      <c r="B269" s="13"/>
      <c r="C269" s="13"/>
      <c r="F269" s="180"/>
      <c r="I269" s="177"/>
      <c r="J269" s="42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</row>
    <row r="270" spans="1:66" ht="12.75" customHeight="1" x14ac:dyDescent="0.3">
      <c r="A270" s="13"/>
      <c r="B270" s="13"/>
      <c r="C270" s="13"/>
      <c r="F270" s="180"/>
      <c r="I270" s="177"/>
      <c r="J270" s="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</row>
    <row r="271" spans="1:66" ht="12.75" customHeight="1" x14ac:dyDescent="0.3">
      <c r="A271" s="13"/>
      <c r="B271" s="13"/>
      <c r="C271" s="13"/>
      <c r="F271" s="180"/>
      <c r="I271" s="177"/>
      <c r="J271" s="42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</row>
    <row r="272" spans="1:66" ht="12.75" customHeight="1" x14ac:dyDescent="0.3">
      <c r="A272" s="13"/>
      <c r="B272" s="13"/>
      <c r="C272" s="13"/>
      <c r="F272" s="180"/>
      <c r="I272" s="177"/>
      <c r="J272" s="42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</row>
    <row r="273" spans="1:66" ht="12.75" customHeight="1" x14ac:dyDescent="0.3">
      <c r="A273" s="13"/>
      <c r="B273" s="13"/>
      <c r="C273" s="13"/>
      <c r="F273" s="180"/>
      <c r="I273" s="177"/>
      <c r="J273" s="42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</row>
    <row r="274" spans="1:66" ht="12.75" customHeight="1" x14ac:dyDescent="0.3">
      <c r="A274" s="13"/>
      <c r="B274" s="13"/>
      <c r="C274" s="13"/>
      <c r="F274" s="180"/>
      <c r="I274" s="177"/>
      <c r="J274" s="42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</row>
    <row r="275" spans="1:66" ht="12.75" customHeight="1" x14ac:dyDescent="0.3">
      <c r="A275" s="13"/>
      <c r="B275" s="13"/>
      <c r="C275" s="13"/>
      <c r="F275" s="180"/>
      <c r="I275" s="177"/>
      <c r="J275" s="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</row>
    <row r="276" spans="1:66" ht="12.75" customHeight="1" x14ac:dyDescent="0.3">
      <c r="A276" s="13"/>
      <c r="B276" s="13"/>
      <c r="C276" s="13"/>
      <c r="F276" s="180"/>
      <c r="I276" s="177"/>
      <c r="J276" s="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</row>
    <row r="277" spans="1:66" ht="12.75" customHeight="1" x14ac:dyDescent="0.3">
      <c r="A277" s="13"/>
      <c r="B277" s="13"/>
      <c r="C277" s="13"/>
      <c r="F277" s="180"/>
      <c r="I277" s="177"/>
      <c r="J277" s="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</row>
    <row r="278" spans="1:66" ht="12.75" customHeight="1" x14ac:dyDescent="0.3">
      <c r="A278" s="13"/>
      <c r="B278" s="13"/>
      <c r="C278" s="13"/>
      <c r="F278" s="180"/>
      <c r="I278" s="177"/>
      <c r="J278" s="42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</row>
    <row r="279" spans="1:66" ht="12.75" customHeight="1" x14ac:dyDescent="0.3">
      <c r="A279" s="13"/>
      <c r="B279" s="13"/>
      <c r="C279" s="13"/>
      <c r="F279" s="180"/>
      <c r="I279" s="177"/>
      <c r="J279" s="42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</row>
    <row r="280" spans="1:66" ht="12.75" customHeight="1" x14ac:dyDescent="0.3">
      <c r="A280" s="13"/>
      <c r="B280" s="13"/>
      <c r="C280" s="13"/>
      <c r="F280" s="180"/>
      <c r="I280" s="177"/>
      <c r="J280" s="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</row>
    <row r="281" spans="1:66" ht="12.75" customHeight="1" x14ac:dyDescent="0.3">
      <c r="A281" s="13"/>
      <c r="B281" s="13"/>
      <c r="C281" s="13"/>
      <c r="F281" s="180"/>
      <c r="I281" s="177"/>
      <c r="J281" s="42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</row>
    <row r="282" spans="1:66" ht="12.75" customHeight="1" x14ac:dyDescent="0.3">
      <c r="A282" s="13"/>
      <c r="B282" s="13"/>
      <c r="C282" s="13"/>
      <c r="F282" s="180"/>
      <c r="I282" s="177"/>
      <c r="J282" s="42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</row>
    <row r="283" spans="1:66" ht="12.75" customHeight="1" x14ac:dyDescent="0.3">
      <c r="A283" s="13"/>
      <c r="B283" s="13"/>
      <c r="C283" s="13"/>
      <c r="F283" s="180"/>
      <c r="I283" s="177"/>
      <c r="J283" s="42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</row>
    <row r="284" spans="1:66" ht="12.75" customHeight="1" x14ac:dyDescent="0.3">
      <c r="A284" s="13"/>
      <c r="B284" s="13"/>
      <c r="C284" s="13"/>
      <c r="F284" s="180"/>
      <c r="I284" s="177"/>
      <c r="J284" s="42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</row>
    <row r="285" spans="1:66" ht="12.75" customHeight="1" x14ac:dyDescent="0.3">
      <c r="A285" s="13"/>
      <c r="B285" s="13"/>
      <c r="C285" s="13"/>
      <c r="F285" s="180"/>
      <c r="I285" s="177"/>
      <c r="J285" s="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</row>
    <row r="286" spans="1:66" ht="12.75" customHeight="1" x14ac:dyDescent="0.3">
      <c r="A286" s="13"/>
      <c r="B286" s="13"/>
      <c r="C286" s="13"/>
      <c r="F286" s="180"/>
      <c r="I286" s="177"/>
      <c r="J286" s="42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</row>
    <row r="287" spans="1:66" ht="12.75" customHeight="1" x14ac:dyDescent="0.3">
      <c r="A287" s="13"/>
      <c r="B287" s="13"/>
      <c r="C287" s="13"/>
      <c r="F287" s="180"/>
      <c r="I287" s="177"/>
      <c r="J287" s="42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</row>
    <row r="288" spans="1:66" ht="12.75" customHeight="1" x14ac:dyDescent="0.3">
      <c r="A288" s="13"/>
      <c r="B288" s="13"/>
      <c r="C288" s="13"/>
      <c r="F288" s="180"/>
      <c r="I288" s="177"/>
      <c r="J288" s="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</row>
    <row r="289" spans="1:66" ht="12.75" customHeight="1" x14ac:dyDescent="0.3">
      <c r="A289" s="13"/>
      <c r="B289" s="13"/>
      <c r="C289" s="13"/>
      <c r="F289" s="180"/>
      <c r="I289" s="177"/>
      <c r="J289" s="42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</row>
    <row r="290" spans="1:66" ht="12.75" customHeight="1" x14ac:dyDescent="0.3">
      <c r="A290" s="13"/>
      <c r="B290" s="13"/>
      <c r="C290" s="13"/>
      <c r="F290" s="180"/>
      <c r="I290" s="177"/>
      <c r="J290" s="42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</row>
    <row r="291" spans="1:66" ht="12.75" customHeight="1" x14ac:dyDescent="0.3">
      <c r="A291" s="13"/>
      <c r="B291" s="13"/>
      <c r="C291" s="13"/>
      <c r="F291" s="180"/>
      <c r="I291" s="177"/>
      <c r="J291" s="42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</row>
    <row r="292" spans="1:66" ht="12.75" customHeight="1" x14ac:dyDescent="0.3">
      <c r="A292" s="13"/>
      <c r="B292" s="13"/>
      <c r="C292" s="13"/>
      <c r="F292" s="180"/>
      <c r="I292" s="177"/>
      <c r="J292" s="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</row>
    <row r="293" spans="1:66" ht="12.75" customHeight="1" x14ac:dyDescent="0.3">
      <c r="A293" s="13"/>
      <c r="B293" s="13"/>
      <c r="C293" s="13"/>
      <c r="F293" s="180"/>
      <c r="I293" s="177"/>
      <c r="J293" s="42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</row>
    <row r="294" spans="1:66" ht="12.75" customHeight="1" x14ac:dyDescent="0.3">
      <c r="A294" s="13"/>
      <c r="B294" s="13"/>
      <c r="C294" s="13"/>
      <c r="F294" s="180"/>
      <c r="I294" s="177"/>
      <c r="J294" s="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</row>
    <row r="295" spans="1:66" ht="12.75" customHeight="1" x14ac:dyDescent="0.3">
      <c r="A295" s="13"/>
      <c r="B295" s="13"/>
      <c r="C295" s="13"/>
      <c r="F295" s="180"/>
      <c r="I295" s="177"/>
      <c r="J295" s="42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</row>
    <row r="296" spans="1:66" ht="12.75" customHeight="1" x14ac:dyDescent="0.3">
      <c r="A296" s="13"/>
      <c r="B296" s="13"/>
      <c r="C296" s="13"/>
      <c r="F296" s="180"/>
      <c r="I296" s="177"/>
      <c r="J296" s="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</row>
    <row r="297" spans="1:66" ht="12.75" customHeight="1" x14ac:dyDescent="0.3">
      <c r="A297" s="13"/>
      <c r="B297" s="13"/>
      <c r="C297" s="13"/>
      <c r="F297" s="180"/>
      <c r="I297" s="177"/>
      <c r="J297" s="42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</row>
    <row r="298" spans="1:66" ht="12.75" customHeight="1" x14ac:dyDescent="0.3">
      <c r="A298" s="13"/>
      <c r="B298" s="13"/>
      <c r="C298" s="13"/>
      <c r="F298" s="180"/>
      <c r="I298" s="177"/>
      <c r="J298" s="42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</row>
    <row r="299" spans="1:66" ht="12.75" customHeight="1" x14ac:dyDescent="0.3">
      <c r="A299" s="13"/>
      <c r="B299" s="13"/>
      <c r="C299" s="13"/>
      <c r="F299" s="180"/>
      <c r="I299" s="177"/>
      <c r="J299" s="42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</row>
    <row r="300" spans="1:66" ht="12.75" customHeight="1" x14ac:dyDescent="0.3">
      <c r="A300" s="13"/>
      <c r="B300" s="13"/>
      <c r="C300" s="13"/>
      <c r="F300" s="180"/>
      <c r="I300" s="177"/>
      <c r="J300" s="42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</row>
    <row r="301" spans="1:66" ht="12.75" customHeight="1" x14ac:dyDescent="0.3">
      <c r="A301" s="13"/>
      <c r="B301" s="13"/>
      <c r="C301" s="13"/>
      <c r="F301" s="180"/>
      <c r="I301" s="177"/>
      <c r="J301" s="42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</row>
    <row r="302" spans="1:66" ht="12.75" customHeight="1" x14ac:dyDescent="0.3">
      <c r="A302" s="13"/>
      <c r="B302" s="13"/>
      <c r="C302" s="13"/>
      <c r="F302" s="180"/>
      <c r="I302" s="177"/>
      <c r="J302" s="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</row>
    <row r="303" spans="1:66" ht="12.75" customHeight="1" x14ac:dyDescent="0.3">
      <c r="A303" s="13"/>
      <c r="B303" s="13"/>
      <c r="C303" s="13"/>
      <c r="F303" s="180"/>
      <c r="I303" s="177"/>
      <c r="J303" s="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</row>
    <row r="304" spans="1:66" ht="12.75" customHeight="1" x14ac:dyDescent="0.3">
      <c r="A304" s="13"/>
      <c r="B304" s="13"/>
      <c r="C304" s="13"/>
      <c r="F304" s="180"/>
      <c r="I304" s="177"/>
      <c r="J304" s="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</row>
    <row r="305" spans="1:66" ht="12.75" customHeight="1" x14ac:dyDescent="0.3">
      <c r="A305" s="13"/>
      <c r="B305" s="13"/>
      <c r="C305" s="13"/>
      <c r="F305" s="180"/>
      <c r="I305" s="177"/>
      <c r="J305" s="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</row>
    <row r="306" spans="1:66" ht="12.75" customHeight="1" x14ac:dyDescent="0.3">
      <c r="A306" s="13"/>
      <c r="B306" s="13"/>
      <c r="C306" s="13"/>
      <c r="F306" s="180"/>
      <c r="I306" s="177"/>
      <c r="J306" s="42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</row>
    <row r="307" spans="1:66" ht="12.75" customHeight="1" x14ac:dyDescent="0.3">
      <c r="A307" s="13"/>
      <c r="B307" s="13"/>
      <c r="C307" s="13"/>
      <c r="F307" s="180"/>
      <c r="I307" s="177"/>
      <c r="J307" s="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</row>
    <row r="308" spans="1:66" ht="12.75" customHeight="1" x14ac:dyDescent="0.3">
      <c r="A308" s="13"/>
      <c r="B308" s="13"/>
      <c r="C308" s="13"/>
      <c r="F308" s="180"/>
      <c r="I308" s="177"/>
      <c r="J308" s="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</row>
    <row r="309" spans="1:66" ht="12.75" customHeight="1" x14ac:dyDescent="0.3">
      <c r="A309" s="13"/>
      <c r="B309" s="13"/>
      <c r="C309" s="13"/>
      <c r="F309" s="180"/>
      <c r="I309" s="177"/>
      <c r="J309" s="42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</row>
    <row r="310" spans="1:66" ht="12.75" customHeight="1" x14ac:dyDescent="0.3">
      <c r="A310" s="13"/>
      <c r="B310" s="13"/>
      <c r="C310" s="13"/>
      <c r="F310" s="180"/>
      <c r="I310" s="177"/>
      <c r="J310" s="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</row>
    <row r="311" spans="1:66" ht="12.75" customHeight="1" x14ac:dyDescent="0.3">
      <c r="A311" s="13"/>
      <c r="B311" s="13"/>
      <c r="C311" s="13"/>
      <c r="F311" s="180"/>
      <c r="I311" s="177"/>
      <c r="J311" s="42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</row>
    <row r="312" spans="1:66" ht="12.75" customHeight="1" x14ac:dyDescent="0.3">
      <c r="A312" s="13"/>
      <c r="B312" s="13"/>
      <c r="C312" s="13"/>
      <c r="F312" s="180"/>
      <c r="I312" s="177"/>
      <c r="J312" s="42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</row>
    <row r="313" spans="1:66" ht="12.75" customHeight="1" x14ac:dyDescent="0.3">
      <c r="A313" s="13"/>
      <c r="B313" s="13"/>
      <c r="C313" s="13"/>
      <c r="F313" s="180"/>
      <c r="I313" s="177"/>
      <c r="J313" s="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</row>
    <row r="314" spans="1:66" ht="12.75" customHeight="1" x14ac:dyDescent="0.3">
      <c r="A314" s="13"/>
      <c r="B314" s="13"/>
      <c r="C314" s="13"/>
      <c r="F314" s="180"/>
      <c r="I314" s="177"/>
      <c r="J314" s="42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</row>
    <row r="315" spans="1:66" ht="12.75" customHeight="1" x14ac:dyDescent="0.3">
      <c r="A315" s="13"/>
      <c r="B315" s="13"/>
      <c r="C315" s="13"/>
      <c r="F315" s="180"/>
      <c r="I315" s="177"/>
      <c r="J315" s="42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</row>
    <row r="316" spans="1:66" ht="12.75" customHeight="1" x14ac:dyDescent="0.3">
      <c r="A316" s="13"/>
      <c r="B316" s="13"/>
      <c r="C316" s="13"/>
      <c r="F316" s="180"/>
      <c r="I316" s="177"/>
      <c r="J316" s="42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</row>
    <row r="317" spans="1:66" ht="12.75" customHeight="1" x14ac:dyDescent="0.3">
      <c r="A317" s="13"/>
      <c r="B317" s="13"/>
      <c r="C317" s="13"/>
      <c r="F317" s="180"/>
      <c r="I317" s="177"/>
      <c r="J317" s="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</row>
    <row r="318" spans="1:66" ht="12.75" customHeight="1" x14ac:dyDescent="0.3">
      <c r="A318" s="13"/>
      <c r="B318" s="13"/>
      <c r="C318" s="13"/>
      <c r="F318" s="180"/>
      <c r="I318" s="177"/>
      <c r="J318" s="42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</row>
    <row r="319" spans="1:66" ht="12.75" customHeight="1" x14ac:dyDescent="0.3">
      <c r="A319" s="13"/>
      <c r="B319" s="13"/>
      <c r="C319" s="13"/>
      <c r="F319" s="180"/>
      <c r="I319" s="177"/>
      <c r="J319" s="42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</row>
    <row r="320" spans="1:66" ht="12.75" customHeight="1" x14ac:dyDescent="0.3">
      <c r="A320" s="13"/>
      <c r="B320" s="13"/>
      <c r="C320" s="13"/>
      <c r="F320" s="180"/>
      <c r="I320" s="177"/>
      <c r="J320" s="42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</row>
    <row r="321" spans="1:66" ht="12.75" customHeight="1" x14ac:dyDescent="0.3">
      <c r="A321" s="13"/>
      <c r="B321" s="13"/>
      <c r="C321" s="13"/>
      <c r="F321" s="180"/>
      <c r="I321" s="177"/>
      <c r="J321" s="42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</row>
    <row r="322" spans="1:66" ht="12.75" customHeight="1" x14ac:dyDescent="0.3">
      <c r="A322" s="13"/>
      <c r="B322" s="13"/>
      <c r="C322" s="13"/>
      <c r="F322" s="180"/>
      <c r="I322" s="177"/>
      <c r="J322" s="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</row>
    <row r="323" spans="1:66" ht="12.75" customHeight="1" x14ac:dyDescent="0.3">
      <c r="A323" s="13"/>
      <c r="B323" s="13"/>
      <c r="C323" s="13"/>
      <c r="F323" s="180"/>
      <c r="I323" s="177"/>
      <c r="J323" s="42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</row>
    <row r="324" spans="1:66" ht="12.75" customHeight="1" x14ac:dyDescent="0.3">
      <c r="A324" s="13"/>
      <c r="B324" s="13"/>
      <c r="C324" s="13"/>
      <c r="F324" s="180"/>
      <c r="I324" s="177"/>
      <c r="J324" s="42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</row>
    <row r="325" spans="1:66" ht="12.75" customHeight="1" x14ac:dyDescent="0.3">
      <c r="A325" s="13"/>
      <c r="B325" s="13"/>
      <c r="C325" s="13"/>
      <c r="F325" s="180"/>
      <c r="I325" s="177"/>
      <c r="J325" s="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</row>
    <row r="326" spans="1:66" ht="12.75" customHeight="1" x14ac:dyDescent="0.3">
      <c r="A326" s="13"/>
      <c r="B326" s="13"/>
      <c r="C326" s="13"/>
      <c r="F326" s="180"/>
      <c r="I326" s="177"/>
      <c r="J326" s="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</row>
    <row r="327" spans="1:66" ht="12.75" customHeight="1" x14ac:dyDescent="0.3">
      <c r="A327" s="13"/>
      <c r="B327" s="13"/>
      <c r="C327" s="13"/>
      <c r="F327" s="180"/>
      <c r="I327" s="177"/>
      <c r="J327" s="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</row>
    <row r="328" spans="1:66" ht="12.75" customHeight="1" x14ac:dyDescent="0.3">
      <c r="A328" s="13"/>
      <c r="B328" s="13"/>
      <c r="C328" s="13"/>
      <c r="F328" s="180"/>
      <c r="I328" s="177"/>
      <c r="J328" s="42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</row>
    <row r="329" spans="1:66" ht="12.75" customHeight="1" x14ac:dyDescent="0.3">
      <c r="A329" s="13"/>
      <c r="B329" s="13"/>
      <c r="C329" s="13"/>
      <c r="F329" s="180"/>
      <c r="I329" s="177"/>
      <c r="J329" s="42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</row>
    <row r="330" spans="1:66" ht="12.75" customHeight="1" x14ac:dyDescent="0.3">
      <c r="A330" s="13"/>
      <c r="B330" s="13"/>
      <c r="C330" s="13"/>
      <c r="F330" s="180"/>
      <c r="I330" s="177"/>
      <c r="J330" s="42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</row>
    <row r="331" spans="1:66" ht="12.75" customHeight="1" x14ac:dyDescent="0.3">
      <c r="A331" s="13"/>
      <c r="B331" s="13"/>
      <c r="C331" s="13"/>
      <c r="F331" s="180"/>
      <c r="I331" s="177"/>
      <c r="J331" s="42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</row>
    <row r="332" spans="1:66" ht="12.75" customHeight="1" x14ac:dyDescent="0.3">
      <c r="A332" s="13"/>
      <c r="B332" s="13"/>
      <c r="C332" s="13"/>
      <c r="F332" s="180"/>
      <c r="I332" s="177"/>
      <c r="J332" s="42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</row>
    <row r="333" spans="1:66" ht="12.75" customHeight="1" x14ac:dyDescent="0.3">
      <c r="A333" s="13"/>
      <c r="B333" s="13"/>
      <c r="C333" s="13"/>
      <c r="F333" s="180"/>
      <c r="I333" s="177"/>
      <c r="J333" s="42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</row>
    <row r="334" spans="1:66" ht="12.75" customHeight="1" x14ac:dyDescent="0.3">
      <c r="A334" s="13"/>
      <c r="B334" s="13"/>
      <c r="C334" s="13"/>
      <c r="F334" s="180"/>
      <c r="I334" s="177"/>
      <c r="J334" s="42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</row>
    <row r="335" spans="1:66" ht="12.75" customHeight="1" x14ac:dyDescent="0.3">
      <c r="A335" s="13"/>
      <c r="B335" s="13"/>
      <c r="C335" s="13"/>
      <c r="F335" s="180"/>
      <c r="I335" s="177"/>
      <c r="J335" s="42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</row>
    <row r="336" spans="1:66" ht="12.75" customHeight="1" x14ac:dyDescent="0.3">
      <c r="A336" s="13"/>
      <c r="B336" s="13"/>
      <c r="C336" s="13"/>
      <c r="F336" s="180"/>
      <c r="I336" s="177"/>
      <c r="J336" s="42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</row>
    <row r="337" spans="1:66" ht="12.75" customHeight="1" x14ac:dyDescent="0.3">
      <c r="A337" s="13"/>
      <c r="B337" s="13"/>
      <c r="C337" s="13"/>
      <c r="F337" s="180"/>
      <c r="I337" s="177"/>
      <c r="J337" s="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</row>
    <row r="338" spans="1:66" ht="12.75" customHeight="1" x14ac:dyDescent="0.3">
      <c r="A338" s="13"/>
      <c r="B338" s="13"/>
      <c r="C338" s="13"/>
      <c r="F338" s="180"/>
      <c r="I338" s="177"/>
      <c r="J338" s="42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</row>
    <row r="339" spans="1:66" ht="12.75" customHeight="1" x14ac:dyDescent="0.3">
      <c r="A339" s="13"/>
      <c r="B339" s="13"/>
      <c r="C339" s="13"/>
      <c r="F339" s="180"/>
      <c r="I339" s="177"/>
      <c r="J339" s="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</row>
    <row r="340" spans="1:66" ht="12.75" customHeight="1" x14ac:dyDescent="0.3">
      <c r="A340" s="13"/>
      <c r="B340" s="13"/>
      <c r="C340" s="13"/>
      <c r="F340" s="180"/>
      <c r="I340" s="177"/>
      <c r="J340" s="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</row>
    <row r="341" spans="1:66" ht="12.75" customHeight="1" x14ac:dyDescent="0.3">
      <c r="A341" s="13"/>
      <c r="B341" s="13"/>
      <c r="C341" s="13"/>
      <c r="F341" s="180"/>
      <c r="I341" s="177"/>
      <c r="J341" s="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</row>
    <row r="342" spans="1:66" ht="12.75" customHeight="1" x14ac:dyDescent="0.3">
      <c r="A342" s="13"/>
      <c r="B342" s="13"/>
      <c r="C342" s="13"/>
      <c r="F342" s="180"/>
      <c r="I342" s="177"/>
      <c r="J342" s="42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</row>
    <row r="343" spans="1:66" ht="12.75" customHeight="1" x14ac:dyDescent="0.3">
      <c r="A343" s="13"/>
      <c r="B343" s="13"/>
      <c r="C343" s="13"/>
      <c r="F343" s="180"/>
      <c r="I343" s="177"/>
      <c r="J343" s="42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</row>
    <row r="344" spans="1:66" ht="12.75" customHeight="1" x14ac:dyDescent="0.3">
      <c r="A344" s="13"/>
      <c r="B344" s="13"/>
      <c r="C344" s="13"/>
      <c r="F344" s="180"/>
      <c r="I344" s="177"/>
      <c r="J344" s="42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</row>
    <row r="345" spans="1:66" ht="12.75" customHeight="1" x14ac:dyDescent="0.3">
      <c r="A345" s="13"/>
      <c r="B345" s="13"/>
      <c r="C345" s="13"/>
      <c r="F345" s="180"/>
      <c r="I345" s="177"/>
      <c r="J345" s="42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</row>
    <row r="346" spans="1:66" ht="12.75" customHeight="1" x14ac:dyDescent="0.3">
      <c r="A346" s="13"/>
      <c r="B346" s="13"/>
      <c r="C346" s="13"/>
      <c r="F346" s="180"/>
      <c r="I346" s="177"/>
      <c r="J346" s="42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</row>
    <row r="347" spans="1:66" ht="12.75" customHeight="1" x14ac:dyDescent="0.3">
      <c r="A347" s="13"/>
      <c r="B347" s="13"/>
      <c r="C347" s="13"/>
      <c r="F347" s="180"/>
      <c r="I347" s="177"/>
      <c r="J347" s="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</row>
    <row r="348" spans="1:66" ht="12.75" customHeight="1" x14ac:dyDescent="0.3">
      <c r="A348" s="13"/>
      <c r="B348" s="13"/>
      <c r="C348" s="13"/>
      <c r="F348" s="180"/>
      <c r="I348" s="177"/>
      <c r="J348" s="42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</row>
    <row r="349" spans="1:66" ht="12.75" customHeight="1" x14ac:dyDescent="0.3">
      <c r="A349" s="13"/>
      <c r="B349" s="13"/>
      <c r="C349" s="13"/>
      <c r="F349" s="180"/>
      <c r="I349" s="177"/>
      <c r="J349" s="42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</row>
    <row r="350" spans="1:66" ht="12.75" customHeight="1" x14ac:dyDescent="0.3">
      <c r="A350" s="13"/>
      <c r="B350" s="13"/>
      <c r="C350" s="13"/>
      <c r="F350" s="180"/>
      <c r="I350" s="177"/>
      <c r="J350" s="42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</row>
    <row r="351" spans="1:66" ht="12.75" customHeight="1" x14ac:dyDescent="0.3">
      <c r="A351" s="13"/>
      <c r="B351" s="13"/>
      <c r="C351" s="13"/>
      <c r="F351" s="180"/>
      <c r="I351" s="177"/>
      <c r="J351" s="42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</row>
    <row r="352" spans="1:66" ht="12.75" customHeight="1" x14ac:dyDescent="0.3">
      <c r="A352" s="13"/>
      <c r="B352" s="13"/>
      <c r="C352" s="13"/>
      <c r="F352" s="180"/>
      <c r="I352" s="177"/>
      <c r="J352" s="42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</row>
    <row r="353" spans="1:66" ht="12.75" customHeight="1" x14ac:dyDescent="0.3">
      <c r="A353" s="13"/>
      <c r="B353" s="13"/>
      <c r="C353" s="13"/>
      <c r="F353" s="180"/>
      <c r="I353" s="177"/>
      <c r="J353" s="42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</row>
    <row r="354" spans="1:66" ht="12.75" customHeight="1" x14ac:dyDescent="0.3">
      <c r="A354" s="13"/>
      <c r="B354" s="13"/>
      <c r="C354" s="13"/>
      <c r="F354" s="180"/>
      <c r="I354" s="177"/>
      <c r="J354" s="42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</row>
    <row r="355" spans="1:66" ht="12.75" customHeight="1" x14ac:dyDescent="0.3">
      <c r="A355" s="13"/>
      <c r="B355" s="13"/>
      <c r="C355" s="13"/>
      <c r="F355" s="180"/>
      <c r="I355" s="177"/>
      <c r="J355" s="42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</row>
    <row r="356" spans="1:66" ht="12.75" customHeight="1" x14ac:dyDescent="0.3">
      <c r="A356" s="13"/>
      <c r="B356" s="13"/>
      <c r="C356" s="13"/>
      <c r="F356" s="180"/>
      <c r="I356" s="177"/>
      <c r="J356" s="42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</row>
    <row r="357" spans="1:66" ht="12.75" customHeight="1" x14ac:dyDescent="0.3">
      <c r="A357" s="13"/>
      <c r="B357" s="13"/>
      <c r="C357" s="13"/>
      <c r="F357" s="180"/>
      <c r="I357" s="177"/>
      <c r="J357" s="42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</row>
    <row r="358" spans="1:66" ht="12.75" customHeight="1" x14ac:dyDescent="0.3">
      <c r="A358" s="13"/>
      <c r="B358" s="13"/>
      <c r="C358" s="13"/>
      <c r="F358" s="180"/>
      <c r="I358" s="177"/>
      <c r="J358" s="42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</row>
    <row r="359" spans="1:66" ht="12.75" customHeight="1" x14ac:dyDescent="0.3">
      <c r="A359" s="13"/>
      <c r="B359" s="13"/>
      <c r="C359" s="13"/>
      <c r="F359" s="180"/>
      <c r="I359" s="177"/>
      <c r="J359" s="42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</row>
    <row r="360" spans="1:66" ht="12.75" customHeight="1" x14ac:dyDescent="0.3">
      <c r="A360" s="13"/>
      <c r="B360" s="13"/>
      <c r="C360" s="13"/>
      <c r="F360" s="180"/>
      <c r="I360" s="177"/>
      <c r="J360" s="42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</row>
    <row r="361" spans="1:66" ht="12.75" customHeight="1" x14ac:dyDescent="0.3">
      <c r="A361" s="13"/>
      <c r="B361" s="13"/>
      <c r="C361" s="13"/>
      <c r="F361" s="180"/>
      <c r="I361" s="177"/>
      <c r="J361" s="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</row>
    <row r="362" spans="1:66" ht="12.75" customHeight="1" x14ac:dyDescent="0.3">
      <c r="A362" s="13"/>
      <c r="B362" s="13"/>
      <c r="C362" s="13"/>
      <c r="F362" s="180"/>
      <c r="I362" s="177"/>
      <c r="J362" s="42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</row>
    <row r="363" spans="1:66" ht="12.75" customHeight="1" x14ac:dyDescent="0.3">
      <c r="A363" s="13"/>
      <c r="B363" s="13"/>
      <c r="C363" s="13"/>
      <c r="F363" s="180"/>
      <c r="I363" s="177"/>
      <c r="J363" s="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</row>
    <row r="364" spans="1:66" ht="12.75" customHeight="1" x14ac:dyDescent="0.3">
      <c r="A364" s="13"/>
      <c r="B364" s="13"/>
      <c r="C364" s="13"/>
      <c r="F364" s="180"/>
      <c r="I364" s="177"/>
      <c r="J364" s="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</row>
    <row r="365" spans="1:66" ht="12.75" customHeight="1" x14ac:dyDescent="0.3">
      <c r="A365" s="13"/>
      <c r="B365" s="13"/>
      <c r="C365" s="13"/>
      <c r="F365" s="180"/>
      <c r="I365" s="177"/>
      <c r="J365" s="42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</row>
    <row r="366" spans="1:66" ht="12.75" customHeight="1" x14ac:dyDescent="0.3">
      <c r="A366" s="13"/>
      <c r="B366" s="13"/>
      <c r="C366" s="13"/>
      <c r="F366" s="180"/>
      <c r="I366" s="177"/>
      <c r="J366" s="42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</row>
    <row r="367" spans="1:66" ht="12.75" customHeight="1" x14ac:dyDescent="0.3">
      <c r="A367" s="13"/>
      <c r="B367" s="13"/>
      <c r="C367" s="13"/>
      <c r="F367" s="180"/>
      <c r="I367" s="177"/>
      <c r="J367" s="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</row>
    <row r="368" spans="1:66" ht="12.75" customHeight="1" x14ac:dyDescent="0.3">
      <c r="A368" s="13"/>
      <c r="B368" s="13"/>
      <c r="C368" s="13"/>
      <c r="F368" s="180"/>
      <c r="I368" s="177"/>
      <c r="J368" s="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</row>
    <row r="369" spans="1:66" ht="12.75" customHeight="1" x14ac:dyDescent="0.3">
      <c r="A369" s="13"/>
      <c r="B369" s="13"/>
      <c r="C369" s="13"/>
      <c r="F369" s="180"/>
      <c r="I369" s="177"/>
      <c r="J369" s="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</row>
    <row r="370" spans="1:66" ht="12.75" customHeight="1" x14ac:dyDescent="0.3">
      <c r="A370" s="13"/>
      <c r="B370" s="13"/>
      <c r="C370" s="13"/>
      <c r="F370" s="180"/>
      <c r="I370" s="177"/>
      <c r="J370" s="42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</row>
    <row r="371" spans="1:66" ht="12.75" customHeight="1" x14ac:dyDescent="0.3">
      <c r="A371" s="13"/>
      <c r="B371" s="13"/>
      <c r="C371" s="13"/>
      <c r="F371" s="180"/>
      <c r="I371" s="177"/>
      <c r="J371" s="42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</row>
    <row r="372" spans="1:66" ht="12.75" customHeight="1" x14ac:dyDescent="0.3">
      <c r="A372" s="13"/>
      <c r="B372" s="13"/>
      <c r="C372" s="13"/>
      <c r="F372" s="180"/>
      <c r="I372" s="177"/>
      <c r="J372" s="42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</row>
    <row r="373" spans="1:66" ht="12.75" customHeight="1" x14ac:dyDescent="0.3">
      <c r="A373" s="13"/>
      <c r="B373" s="13"/>
      <c r="C373" s="13"/>
      <c r="F373" s="180"/>
      <c r="I373" s="177"/>
      <c r="J373" s="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</row>
    <row r="374" spans="1:66" ht="12.75" customHeight="1" x14ac:dyDescent="0.3">
      <c r="A374" s="13"/>
      <c r="B374" s="13"/>
      <c r="C374" s="13"/>
      <c r="F374" s="180"/>
      <c r="I374" s="177"/>
      <c r="J374" s="42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</row>
    <row r="375" spans="1:66" ht="12.75" customHeight="1" x14ac:dyDescent="0.3">
      <c r="A375" s="13"/>
      <c r="B375" s="13"/>
      <c r="C375" s="13"/>
      <c r="F375" s="180"/>
      <c r="I375" s="177"/>
      <c r="J375" s="42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</row>
    <row r="376" spans="1:66" ht="12.75" customHeight="1" x14ac:dyDescent="0.3">
      <c r="A376" s="13"/>
      <c r="B376" s="13"/>
      <c r="C376" s="13"/>
      <c r="F376" s="180"/>
      <c r="I376" s="177"/>
      <c r="J376" s="42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</row>
    <row r="377" spans="1:66" ht="12.75" customHeight="1" x14ac:dyDescent="0.3">
      <c r="A377" s="13"/>
      <c r="B377" s="13"/>
      <c r="C377" s="13"/>
      <c r="F377" s="180"/>
      <c r="I377" s="177"/>
      <c r="J377" s="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</row>
    <row r="378" spans="1:66" ht="12.75" customHeight="1" x14ac:dyDescent="0.3">
      <c r="A378" s="13"/>
      <c r="B378" s="13"/>
      <c r="C378" s="13"/>
      <c r="F378" s="180"/>
      <c r="I378" s="177"/>
      <c r="J378" s="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</row>
    <row r="379" spans="1:66" ht="12.75" customHeight="1" x14ac:dyDescent="0.3">
      <c r="A379" s="13"/>
      <c r="B379" s="13"/>
      <c r="C379" s="13"/>
      <c r="F379" s="180"/>
      <c r="I379" s="177"/>
      <c r="J379" s="42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</row>
    <row r="380" spans="1:66" ht="12.75" customHeight="1" x14ac:dyDescent="0.3">
      <c r="A380" s="13"/>
      <c r="B380" s="13"/>
      <c r="C380" s="13"/>
      <c r="F380" s="180"/>
      <c r="I380" s="177"/>
      <c r="J380" s="42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</row>
    <row r="381" spans="1:66" ht="12.75" customHeight="1" x14ac:dyDescent="0.3">
      <c r="A381" s="13"/>
      <c r="B381" s="13"/>
      <c r="C381" s="13"/>
      <c r="F381" s="180"/>
      <c r="I381" s="177"/>
      <c r="J381" s="42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</row>
    <row r="382" spans="1:66" ht="12.75" customHeight="1" x14ac:dyDescent="0.3">
      <c r="A382" s="13"/>
      <c r="B382" s="13"/>
      <c r="C382" s="13"/>
      <c r="F382" s="180"/>
      <c r="I382" s="177"/>
      <c r="J382" s="42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</row>
    <row r="383" spans="1:66" ht="12.75" customHeight="1" x14ac:dyDescent="0.3">
      <c r="A383" s="13"/>
      <c r="B383" s="13"/>
      <c r="C383" s="13"/>
      <c r="F383" s="180"/>
      <c r="I383" s="177"/>
      <c r="J383" s="42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</row>
    <row r="384" spans="1:66" ht="12.75" customHeight="1" x14ac:dyDescent="0.3">
      <c r="A384" s="13"/>
      <c r="B384" s="13"/>
      <c r="C384" s="13"/>
      <c r="F384" s="180"/>
      <c r="I384" s="177"/>
      <c r="J384" s="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</row>
    <row r="385" spans="1:66" ht="12.75" customHeight="1" x14ac:dyDescent="0.3">
      <c r="A385" s="13"/>
      <c r="B385" s="13"/>
      <c r="C385" s="13"/>
      <c r="F385" s="180"/>
      <c r="I385" s="177"/>
      <c r="J385" s="42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</row>
    <row r="386" spans="1:66" ht="12.75" customHeight="1" x14ac:dyDescent="0.3">
      <c r="A386" s="13"/>
      <c r="B386" s="13"/>
      <c r="C386" s="13"/>
      <c r="F386" s="180"/>
      <c r="I386" s="177"/>
      <c r="J386" s="42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</row>
    <row r="387" spans="1:66" ht="12.75" customHeight="1" x14ac:dyDescent="0.3">
      <c r="A387" s="13"/>
      <c r="B387" s="13"/>
      <c r="C387" s="13"/>
      <c r="F387" s="180"/>
      <c r="I387" s="177"/>
      <c r="J387" s="42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</row>
    <row r="388" spans="1:66" ht="12.75" customHeight="1" x14ac:dyDescent="0.3">
      <c r="A388" s="13"/>
      <c r="B388" s="13"/>
      <c r="C388" s="13"/>
      <c r="F388" s="180"/>
      <c r="I388" s="177"/>
      <c r="J388" s="42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</row>
    <row r="389" spans="1:66" ht="12.75" customHeight="1" x14ac:dyDescent="0.3">
      <c r="A389" s="13"/>
      <c r="B389" s="13"/>
      <c r="C389" s="13"/>
      <c r="F389" s="180"/>
      <c r="I389" s="177"/>
      <c r="J389" s="42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</row>
    <row r="390" spans="1:66" ht="12.75" customHeight="1" x14ac:dyDescent="0.3">
      <c r="A390" s="13"/>
      <c r="B390" s="13"/>
      <c r="C390" s="13"/>
      <c r="F390" s="180"/>
      <c r="I390" s="177"/>
      <c r="J390" s="42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</row>
    <row r="391" spans="1:66" ht="12.75" customHeight="1" x14ac:dyDescent="0.3">
      <c r="A391" s="13"/>
      <c r="B391" s="13"/>
      <c r="C391" s="13"/>
      <c r="F391" s="180"/>
      <c r="I391" s="177"/>
      <c r="J391" s="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</row>
    <row r="392" spans="1:66" ht="12.75" customHeight="1" x14ac:dyDescent="0.3">
      <c r="A392" s="13"/>
      <c r="B392" s="13"/>
      <c r="C392" s="13"/>
      <c r="F392" s="180"/>
      <c r="I392" s="177"/>
      <c r="J392" s="42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</row>
    <row r="393" spans="1:66" ht="12.75" customHeight="1" x14ac:dyDescent="0.3">
      <c r="A393" s="13"/>
      <c r="B393" s="13"/>
      <c r="C393" s="13"/>
      <c r="F393" s="180"/>
      <c r="I393" s="177"/>
      <c r="J393" s="42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</row>
    <row r="394" spans="1:66" ht="12.75" customHeight="1" x14ac:dyDescent="0.3">
      <c r="A394" s="13"/>
      <c r="B394" s="13"/>
      <c r="C394" s="13"/>
      <c r="F394" s="180"/>
      <c r="I394" s="177"/>
      <c r="J394" s="42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</row>
    <row r="395" spans="1:66" ht="12.75" customHeight="1" x14ac:dyDescent="0.3">
      <c r="A395" s="13"/>
      <c r="B395" s="13"/>
      <c r="C395" s="13"/>
      <c r="F395" s="180"/>
      <c r="I395" s="177"/>
      <c r="J395" s="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</row>
    <row r="396" spans="1:66" ht="12.75" customHeight="1" x14ac:dyDescent="0.3">
      <c r="A396" s="13"/>
      <c r="B396" s="13"/>
      <c r="C396" s="13"/>
      <c r="F396" s="180"/>
      <c r="I396" s="177"/>
      <c r="J396" s="42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</row>
    <row r="397" spans="1:66" ht="12.75" customHeight="1" x14ac:dyDescent="0.3">
      <c r="A397" s="13"/>
      <c r="B397" s="13"/>
      <c r="C397" s="13"/>
      <c r="F397" s="180"/>
      <c r="I397" s="177"/>
      <c r="J397" s="42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</row>
    <row r="398" spans="1:66" ht="12.75" customHeight="1" x14ac:dyDescent="0.3">
      <c r="A398" s="13"/>
      <c r="B398" s="13"/>
      <c r="C398" s="13"/>
      <c r="F398" s="180"/>
      <c r="I398" s="177"/>
      <c r="J398" s="42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</row>
    <row r="399" spans="1:66" ht="12.75" customHeight="1" x14ac:dyDescent="0.3">
      <c r="A399" s="13"/>
      <c r="B399" s="13"/>
      <c r="C399" s="13"/>
      <c r="F399" s="180"/>
      <c r="I399" s="177"/>
      <c r="J399" s="42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</row>
    <row r="400" spans="1:66" ht="12.75" customHeight="1" x14ac:dyDescent="0.3">
      <c r="A400" s="13"/>
      <c r="B400" s="13"/>
      <c r="C400" s="13"/>
      <c r="F400" s="180"/>
      <c r="I400" s="177"/>
      <c r="J400" s="42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</row>
    <row r="401" spans="1:66" ht="12.75" customHeight="1" x14ac:dyDescent="0.3">
      <c r="A401" s="13"/>
      <c r="B401" s="13"/>
      <c r="C401" s="13"/>
      <c r="F401" s="180"/>
      <c r="I401" s="177"/>
      <c r="J401" s="42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</row>
    <row r="402" spans="1:66" ht="12.75" customHeight="1" x14ac:dyDescent="0.3">
      <c r="A402" s="13"/>
      <c r="B402" s="13"/>
      <c r="C402" s="13"/>
      <c r="F402" s="180"/>
      <c r="I402" s="177"/>
      <c r="J402" s="42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</row>
    <row r="403" spans="1:66" ht="12.75" customHeight="1" x14ac:dyDescent="0.3">
      <c r="A403" s="13"/>
      <c r="B403" s="13"/>
      <c r="C403" s="13"/>
      <c r="F403" s="180"/>
      <c r="I403" s="177"/>
      <c r="J403" s="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</row>
    <row r="404" spans="1:66" ht="12.75" customHeight="1" x14ac:dyDescent="0.3">
      <c r="A404" s="13"/>
      <c r="B404" s="13"/>
      <c r="C404" s="13"/>
      <c r="F404" s="180"/>
      <c r="I404" s="177"/>
      <c r="J404" s="42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</row>
    <row r="405" spans="1:66" ht="12.75" customHeight="1" x14ac:dyDescent="0.3">
      <c r="A405" s="13"/>
      <c r="B405" s="13"/>
      <c r="C405" s="13"/>
      <c r="F405" s="180"/>
      <c r="I405" s="177"/>
      <c r="J405" s="42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</row>
    <row r="406" spans="1:66" ht="12.75" customHeight="1" x14ac:dyDescent="0.3">
      <c r="A406" s="13"/>
      <c r="B406" s="13"/>
      <c r="C406" s="13"/>
      <c r="F406" s="180"/>
      <c r="I406" s="177"/>
      <c r="J406" s="42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</row>
    <row r="407" spans="1:66" ht="12.75" customHeight="1" x14ac:dyDescent="0.3">
      <c r="A407" s="13"/>
      <c r="B407" s="13"/>
      <c r="C407" s="13"/>
      <c r="F407" s="180"/>
      <c r="I407" s="177"/>
      <c r="J407" s="42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</row>
    <row r="408" spans="1:66" ht="12.75" customHeight="1" x14ac:dyDescent="0.3">
      <c r="A408" s="13"/>
      <c r="B408" s="13"/>
      <c r="C408" s="13"/>
      <c r="F408" s="180"/>
      <c r="I408" s="177"/>
      <c r="J408" s="42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</row>
    <row r="409" spans="1:66" ht="12.75" customHeight="1" x14ac:dyDescent="0.3">
      <c r="A409" s="13"/>
      <c r="B409" s="13"/>
      <c r="C409" s="13"/>
      <c r="F409" s="180"/>
      <c r="I409" s="177"/>
      <c r="J409" s="42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</row>
    <row r="410" spans="1:66" ht="12.75" customHeight="1" x14ac:dyDescent="0.3">
      <c r="A410" s="13"/>
      <c r="B410" s="13"/>
      <c r="C410" s="13"/>
      <c r="F410" s="180"/>
      <c r="I410" s="177"/>
      <c r="J410" s="42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</row>
    <row r="411" spans="1:66" ht="12.75" customHeight="1" x14ac:dyDescent="0.3">
      <c r="A411" s="13"/>
      <c r="B411" s="13"/>
      <c r="C411" s="13"/>
      <c r="F411" s="180"/>
      <c r="I411" s="177"/>
      <c r="J411" s="42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</row>
    <row r="412" spans="1:66" ht="12.75" customHeight="1" x14ac:dyDescent="0.3">
      <c r="A412" s="13"/>
      <c r="B412" s="13"/>
      <c r="C412" s="13"/>
      <c r="F412" s="180"/>
      <c r="I412" s="177"/>
      <c r="J412" s="42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</row>
    <row r="413" spans="1:66" ht="12.75" customHeight="1" x14ac:dyDescent="0.3">
      <c r="A413" s="13"/>
      <c r="B413" s="13"/>
      <c r="C413" s="13"/>
      <c r="F413" s="180"/>
      <c r="I413" s="177"/>
      <c r="J413" s="42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</row>
    <row r="414" spans="1:66" ht="12.75" customHeight="1" x14ac:dyDescent="0.3">
      <c r="A414" s="13"/>
      <c r="B414" s="13"/>
      <c r="C414" s="13"/>
      <c r="F414" s="180"/>
      <c r="I414" s="177"/>
      <c r="J414" s="42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</row>
    <row r="415" spans="1:66" ht="12.75" customHeight="1" x14ac:dyDescent="0.3">
      <c r="A415" s="13"/>
      <c r="B415" s="13"/>
      <c r="C415" s="13"/>
      <c r="F415" s="180"/>
      <c r="I415" s="177"/>
      <c r="J415" s="42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</row>
    <row r="416" spans="1:66" ht="12.75" customHeight="1" x14ac:dyDescent="0.3">
      <c r="A416" s="13"/>
      <c r="B416" s="13"/>
      <c r="C416" s="13"/>
      <c r="F416" s="180"/>
      <c r="I416" s="177"/>
      <c r="J416" s="42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</row>
    <row r="417" spans="1:66" ht="12.75" customHeight="1" x14ac:dyDescent="0.3">
      <c r="A417" s="13"/>
      <c r="B417" s="13"/>
      <c r="C417" s="13"/>
      <c r="F417" s="180"/>
      <c r="I417" s="177"/>
      <c r="J417" s="42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</row>
    <row r="418" spans="1:66" ht="12.75" customHeight="1" x14ac:dyDescent="0.3">
      <c r="A418" s="13"/>
      <c r="B418" s="13"/>
      <c r="C418" s="13"/>
      <c r="F418" s="180"/>
      <c r="I418" s="177"/>
      <c r="J418" s="42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</row>
    <row r="419" spans="1:66" ht="12.75" customHeight="1" x14ac:dyDescent="0.3">
      <c r="A419" s="13"/>
      <c r="B419" s="13"/>
      <c r="C419" s="13"/>
      <c r="F419" s="180"/>
      <c r="I419" s="177"/>
      <c r="J419" s="42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</row>
    <row r="420" spans="1:66" ht="12.75" customHeight="1" x14ac:dyDescent="0.3">
      <c r="A420" s="13"/>
      <c r="B420" s="13"/>
      <c r="C420" s="13"/>
      <c r="F420" s="180"/>
      <c r="I420" s="177"/>
      <c r="J420" s="42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</row>
    <row r="421" spans="1:66" ht="12.75" customHeight="1" x14ac:dyDescent="0.3">
      <c r="A421" s="13"/>
      <c r="B421" s="13"/>
      <c r="C421" s="13"/>
      <c r="F421" s="180"/>
      <c r="I421" s="177"/>
      <c r="J421" s="42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</row>
    <row r="422" spans="1:66" ht="12.75" customHeight="1" x14ac:dyDescent="0.3">
      <c r="A422" s="13"/>
      <c r="B422" s="13"/>
      <c r="C422" s="13"/>
      <c r="F422" s="180"/>
      <c r="I422" s="177"/>
      <c r="J422" s="42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</row>
    <row r="423" spans="1:66" ht="12.75" customHeight="1" x14ac:dyDescent="0.3">
      <c r="A423" s="13"/>
      <c r="B423" s="13"/>
      <c r="C423" s="13"/>
      <c r="F423" s="180"/>
      <c r="I423" s="177"/>
      <c r="J423" s="42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</row>
    <row r="424" spans="1:66" ht="12.75" customHeight="1" x14ac:dyDescent="0.3">
      <c r="A424" s="13"/>
      <c r="B424" s="13"/>
      <c r="C424" s="13"/>
      <c r="F424" s="180"/>
      <c r="I424" s="177"/>
      <c r="J424" s="42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</row>
    <row r="425" spans="1:66" ht="12.75" customHeight="1" x14ac:dyDescent="0.3">
      <c r="A425" s="13"/>
      <c r="B425" s="13"/>
      <c r="C425" s="13"/>
      <c r="F425" s="180"/>
      <c r="I425" s="177"/>
      <c r="J425" s="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</row>
    <row r="426" spans="1:66" ht="12.75" customHeight="1" x14ac:dyDescent="0.3">
      <c r="A426" s="13"/>
      <c r="B426" s="13"/>
      <c r="C426" s="13"/>
      <c r="F426" s="180"/>
      <c r="I426" s="177"/>
      <c r="J426" s="42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</row>
    <row r="427" spans="1:66" ht="12.75" customHeight="1" x14ac:dyDescent="0.3">
      <c r="A427" s="13"/>
      <c r="B427" s="13"/>
      <c r="C427" s="13"/>
      <c r="F427" s="180"/>
      <c r="I427" s="177"/>
      <c r="J427" s="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</row>
    <row r="428" spans="1:66" ht="12.75" customHeight="1" x14ac:dyDescent="0.3">
      <c r="A428" s="13"/>
      <c r="B428" s="13"/>
      <c r="C428" s="13"/>
      <c r="F428" s="180"/>
      <c r="I428" s="177"/>
      <c r="J428" s="42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</row>
    <row r="429" spans="1:66" ht="12.75" customHeight="1" x14ac:dyDescent="0.3">
      <c r="A429" s="13"/>
      <c r="B429" s="13"/>
      <c r="C429" s="13"/>
      <c r="F429" s="180"/>
      <c r="I429" s="177"/>
      <c r="J429" s="42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</row>
    <row r="430" spans="1:66" ht="12.75" customHeight="1" x14ac:dyDescent="0.3">
      <c r="A430" s="13"/>
      <c r="B430" s="13"/>
      <c r="C430" s="13"/>
      <c r="F430" s="180"/>
      <c r="I430" s="177"/>
      <c r="J430" s="42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</row>
    <row r="431" spans="1:66" ht="12.75" customHeight="1" x14ac:dyDescent="0.3">
      <c r="A431" s="13"/>
      <c r="B431" s="13"/>
      <c r="C431" s="13"/>
      <c r="F431" s="180"/>
      <c r="I431" s="177"/>
      <c r="J431" s="42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</row>
    <row r="432" spans="1:66" ht="12.75" customHeight="1" x14ac:dyDescent="0.3">
      <c r="A432" s="13"/>
      <c r="B432" s="13"/>
      <c r="C432" s="13"/>
      <c r="F432" s="180"/>
      <c r="I432" s="177"/>
      <c r="J432" s="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</row>
    <row r="433" spans="1:66" ht="12.75" customHeight="1" x14ac:dyDescent="0.3">
      <c r="A433" s="13"/>
      <c r="B433" s="13"/>
      <c r="C433" s="13"/>
      <c r="F433" s="180"/>
      <c r="I433" s="177"/>
      <c r="J433" s="42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</row>
    <row r="434" spans="1:66" ht="12.75" customHeight="1" x14ac:dyDescent="0.3">
      <c r="A434" s="13"/>
      <c r="B434" s="13"/>
      <c r="C434" s="13"/>
      <c r="F434" s="180"/>
      <c r="I434" s="177"/>
      <c r="J434" s="42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</row>
    <row r="435" spans="1:66" ht="12.75" customHeight="1" x14ac:dyDescent="0.3">
      <c r="A435" s="13"/>
      <c r="B435" s="13"/>
      <c r="C435" s="13"/>
      <c r="F435" s="180"/>
      <c r="I435" s="177"/>
      <c r="J435" s="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</row>
    <row r="436" spans="1:66" ht="12.75" customHeight="1" x14ac:dyDescent="0.3">
      <c r="A436" s="13"/>
      <c r="B436" s="13"/>
      <c r="C436" s="13"/>
      <c r="F436" s="180"/>
      <c r="I436" s="177"/>
      <c r="J436" s="42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</row>
    <row r="437" spans="1:66" ht="12.75" customHeight="1" x14ac:dyDescent="0.3">
      <c r="A437" s="13"/>
      <c r="B437" s="13"/>
      <c r="C437" s="13"/>
      <c r="F437" s="180"/>
      <c r="I437" s="177"/>
      <c r="J437" s="42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</row>
    <row r="438" spans="1:66" ht="12.75" customHeight="1" x14ac:dyDescent="0.3">
      <c r="A438" s="13"/>
      <c r="B438" s="13"/>
      <c r="C438" s="13"/>
      <c r="F438" s="180"/>
      <c r="I438" s="177"/>
      <c r="J438" s="42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</row>
    <row r="439" spans="1:66" ht="12.75" customHeight="1" x14ac:dyDescent="0.3">
      <c r="A439" s="13"/>
      <c r="B439" s="13"/>
      <c r="C439" s="13"/>
      <c r="F439" s="180"/>
      <c r="I439" s="177"/>
      <c r="J439" s="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</row>
    <row r="440" spans="1:66" ht="12.75" customHeight="1" x14ac:dyDescent="0.3">
      <c r="A440" s="13"/>
      <c r="B440" s="13"/>
      <c r="C440" s="13"/>
      <c r="F440" s="180"/>
      <c r="I440" s="177"/>
      <c r="J440" s="42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</row>
    <row r="441" spans="1:66" ht="12.75" customHeight="1" x14ac:dyDescent="0.3">
      <c r="A441" s="13"/>
      <c r="B441" s="13"/>
      <c r="C441" s="13"/>
      <c r="F441" s="180"/>
      <c r="I441" s="177"/>
      <c r="J441" s="42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</row>
    <row r="442" spans="1:66" ht="12.75" customHeight="1" x14ac:dyDescent="0.3">
      <c r="A442" s="13"/>
      <c r="B442" s="13"/>
      <c r="C442" s="13"/>
      <c r="F442" s="180"/>
      <c r="I442" s="177"/>
      <c r="J442" s="42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</row>
    <row r="443" spans="1:66" ht="12.75" customHeight="1" x14ac:dyDescent="0.3">
      <c r="A443" s="13"/>
      <c r="B443" s="13"/>
      <c r="C443" s="13"/>
      <c r="F443" s="180"/>
      <c r="I443" s="177"/>
      <c r="J443" s="42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</row>
    <row r="444" spans="1:66" ht="12.75" customHeight="1" x14ac:dyDescent="0.3">
      <c r="A444" s="13"/>
      <c r="B444" s="13"/>
      <c r="C444" s="13"/>
      <c r="F444" s="180"/>
      <c r="I444" s="177"/>
      <c r="J444" s="42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</row>
    <row r="445" spans="1:66" ht="12.75" customHeight="1" x14ac:dyDescent="0.3">
      <c r="A445" s="13"/>
      <c r="B445" s="13"/>
      <c r="C445" s="13"/>
      <c r="F445" s="180"/>
      <c r="I445" s="177"/>
      <c r="J445" s="42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</row>
    <row r="446" spans="1:66" ht="12.75" customHeight="1" x14ac:dyDescent="0.3">
      <c r="A446" s="13"/>
      <c r="B446" s="13"/>
      <c r="C446" s="13"/>
      <c r="F446" s="180"/>
      <c r="I446" s="177"/>
      <c r="J446" s="42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</row>
    <row r="447" spans="1:66" ht="12.75" customHeight="1" x14ac:dyDescent="0.3">
      <c r="A447" s="13"/>
      <c r="B447" s="13"/>
      <c r="C447" s="13"/>
      <c r="F447" s="180"/>
      <c r="I447" s="177"/>
      <c r="J447" s="42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</row>
    <row r="448" spans="1:66" ht="12.75" customHeight="1" x14ac:dyDescent="0.3">
      <c r="A448" s="13"/>
      <c r="B448" s="13"/>
      <c r="C448" s="13"/>
      <c r="F448" s="180"/>
      <c r="I448" s="177"/>
      <c r="J448" s="42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</row>
    <row r="449" spans="1:66" ht="12.75" customHeight="1" x14ac:dyDescent="0.3">
      <c r="A449" s="13"/>
      <c r="B449" s="13"/>
      <c r="C449" s="13"/>
      <c r="F449" s="180"/>
      <c r="I449" s="177"/>
      <c r="J449" s="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</row>
    <row r="450" spans="1:66" ht="12.75" customHeight="1" x14ac:dyDescent="0.3">
      <c r="A450" s="13"/>
      <c r="B450" s="13"/>
      <c r="C450" s="13"/>
      <c r="F450" s="180"/>
      <c r="I450" s="177"/>
      <c r="J450" s="42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</row>
    <row r="451" spans="1:66" ht="12.75" customHeight="1" x14ac:dyDescent="0.3">
      <c r="A451" s="13"/>
      <c r="B451" s="13"/>
      <c r="C451" s="13"/>
      <c r="F451" s="180"/>
      <c r="I451" s="177"/>
      <c r="J451" s="42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</row>
    <row r="452" spans="1:66" ht="12.75" customHeight="1" x14ac:dyDescent="0.3">
      <c r="A452" s="13"/>
      <c r="B452" s="13"/>
      <c r="C452" s="13"/>
      <c r="F452" s="180"/>
      <c r="I452" s="177"/>
      <c r="J452" s="42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</row>
    <row r="453" spans="1:66" ht="12.75" customHeight="1" x14ac:dyDescent="0.3">
      <c r="A453" s="13"/>
      <c r="B453" s="13"/>
      <c r="C453" s="13"/>
      <c r="F453" s="180"/>
      <c r="I453" s="177"/>
      <c r="J453" s="42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</row>
    <row r="454" spans="1:66" ht="12.75" customHeight="1" x14ac:dyDescent="0.3">
      <c r="A454" s="13"/>
      <c r="B454" s="13"/>
      <c r="C454" s="13"/>
      <c r="F454" s="180"/>
      <c r="I454" s="177"/>
      <c r="J454" s="42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</row>
    <row r="455" spans="1:66" ht="12.75" customHeight="1" x14ac:dyDescent="0.3">
      <c r="A455" s="13"/>
      <c r="B455" s="13"/>
      <c r="C455" s="13"/>
      <c r="F455" s="180"/>
      <c r="I455" s="177"/>
      <c r="J455" s="42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</row>
    <row r="456" spans="1:66" ht="12.75" customHeight="1" x14ac:dyDescent="0.3">
      <c r="A456" s="13"/>
      <c r="B456" s="13"/>
      <c r="C456" s="13"/>
      <c r="F456" s="180"/>
      <c r="I456" s="177"/>
      <c r="J456" s="42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</row>
    <row r="457" spans="1:66" ht="12.75" customHeight="1" x14ac:dyDescent="0.3">
      <c r="A457" s="13"/>
      <c r="B457" s="13"/>
      <c r="C457" s="13"/>
      <c r="F457" s="180"/>
      <c r="I457" s="177"/>
      <c r="J457" s="42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</row>
    <row r="458" spans="1:66" ht="12.75" customHeight="1" x14ac:dyDescent="0.3">
      <c r="A458" s="13"/>
      <c r="B458" s="13"/>
      <c r="C458" s="13"/>
      <c r="F458" s="180"/>
      <c r="I458" s="177"/>
      <c r="J458" s="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</row>
    <row r="459" spans="1:66" ht="12.75" customHeight="1" x14ac:dyDescent="0.3">
      <c r="A459" s="13"/>
      <c r="B459" s="13"/>
      <c r="C459" s="13"/>
      <c r="F459" s="180"/>
      <c r="I459" s="177"/>
      <c r="J459" s="42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</row>
    <row r="460" spans="1:66" ht="12.75" customHeight="1" x14ac:dyDescent="0.3">
      <c r="A460" s="13"/>
      <c r="B460" s="13"/>
      <c r="C460" s="13"/>
      <c r="F460" s="180"/>
      <c r="I460" s="177"/>
      <c r="J460" s="42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</row>
    <row r="461" spans="1:66" ht="12.75" customHeight="1" x14ac:dyDescent="0.3">
      <c r="A461" s="13"/>
      <c r="B461" s="13"/>
      <c r="C461" s="13"/>
      <c r="F461" s="180"/>
      <c r="I461" s="177"/>
      <c r="J461" s="42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</row>
    <row r="462" spans="1:66" ht="12.75" customHeight="1" x14ac:dyDescent="0.3">
      <c r="A462" s="13"/>
      <c r="B462" s="13"/>
      <c r="C462" s="13"/>
      <c r="F462" s="180"/>
      <c r="I462" s="177"/>
      <c r="J462" s="42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</row>
    <row r="463" spans="1:66" ht="12.75" customHeight="1" x14ac:dyDescent="0.3">
      <c r="A463" s="13"/>
      <c r="B463" s="13"/>
      <c r="C463" s="13"/>
      <c r="F463" s="180"/>
      <c r="I463" s="177"/>
      <c r="J463" s="42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</row>
    <row r="464" spans="1:66" ht="12.75" customHeight="1" x14ac:dyDescent="0.3">
      <c r="A464" s="13"/>
      <c r="B464" s="13"/>
      <c r="C464" s="13"/>
      <c r="F464" s="180"/>
      <c r="I464" s="177"/>
      <c r="J464" s="42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</row>
    <row r="465" spans="1:66" ht="12.75" customHeight="1" x14ac:dyDescent="0.3">
      <c r="A465" s="13"/>
      <c r="B465" s="13"/>
      <c r="C465" s="13"/>
      <c r="F465" s="180"/>
      <c r="I465" s="177"/>
      <c r="J465" s="42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</row>
    <row r="466" spans="1:66" ht="12.75" customHeight="1" x14ac:dyDescent="0.3">
      <c r="A466" s="13"/>
      <c r="B466" s="13"/>
      <c r="C466" s="13"/>
      <c r="F466" s="180"/>
      <c r="I466" s="177"/>
      <c r="J466" s="42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</row>
    <row r="467" spans="1:66" ht="12.75" customHeight="1" x14ac:dyDescent="0.3">
      <c r="A467" s="13"/>
      <c r="B467" s="13"/>
      <c r="C467" s="13"/>
      <c r="F467" s="180"/>
      <c r="I467" s="177"/>
      <c r="J467" s="42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</row>
    <row r="468" spans="1:66" ht="12.75" customHeight="1" x14ac:dyDescent="0.3">
      <c r="A468" s="13"/>
      <c r="B468" s="13"/>
      <c r="C468" s="13"/>
      <c r="F468" s="180"/>
      <c r="I468" s="177"/>
      <c r="J468" s="42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</row>
    <row r="469" spans="1:66" ht="12.75" customHeight="1" x14ac:dyDescent="0.3">
      <c r="A469" s="13"/>
      <c r="B469" s="13"/>
      <c r="C469" s="13"/>
      <c r="F469" s="180"/>
      <c r="I469" s="177"/>
      <c r="J469" s="42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</row>
    <row r="470" spans="1:66" ht="12.75" customHeight="1" x14ac:dyDescent="0.3">
      <c r="A470" s="13"/>
      <c r="B470" s="13"/>
      <c r="C470" s="13"/>
      <c r="F470" s="180"/>
      <c r="I470" s="177"/>
      <c r="J470" s="42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</row>
    <row r="471" spans="1:66" ht="12.75" customHeight="1" x14ac:dyDescent="0.3">
      <c r="A471" s="13"/>
      <c r="B471" s="13"/>
      <c r="C471" s="13"/>
      <c r="F471" s="180"/>
      <c r="I471" s="177"/>
      <c r="J471" s="42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</row>
    <row r="472" spans="1:66" ht="12.75" customHeight="1" x14ac:dyDescent="0.3">
      <c r="A472" s="13"/>
      <c r="B472" s="13"/>
      <c r="C472" s="13"/>
      <c r="F472" s="180"/>
      <c r="I472" s="177"/>
      <c r="J472" s="42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</row>
    <row r="473" spans="1:66" ht="12.75" customHeight="1" x14ac:dyDescent="0.3">
      <c r="A473" s="13"/>
      <c r="B473" s="13"/>
      <c r="C473" s="13"/>
      <c r="F473" s="180"/>
      <c r="I473" s="177"/>
      <c r="J473" s="42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</row>
    <row r="474" spans="1:66" ht="12.75" customHeight="1" x14ac:dyDescent="0.3">
      <c r="A474" s="13"/>
      <c r="B474" s="13"/>
      <c r="C474" s="13"/>
      <c r="F474" s="180"/>
      <c r="I474" s="177"/>
      <c r="J474" s="42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</row>
    <row r="475" spans="1:66" ht="12.75" customHeight="1" x14ac:dyDescent="0.3">
      <c r="A475" s="13"/>
      <c r="B475" s="13"/>
      <c r="C475" s="13"/>
      <c r="F475" s="180"/>
      <c r="I475" s="177"/>
      <c r="J475" s="42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</row>
    <row r="476" spans="1:66" ht="12.75" customHeight="1" x14ac:dyDescent="0.3">
      <c r="A476" s="13"/>
      <c r="B476" s="13"/>
      <c r="C476" s="13"/>
      <c r="F476" s="180"/>
      <c r="I476" s="177"/>
      <c r="J476" s="42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</row>
    <row r="477" spans="1:66" ht="12.75" customHeight="1" x14ac:dyDescent="0.3">
      <c r="A477" s="13"/>
      <c r="B477" s="13"/>
      <c r="C477" s="13"/>
      <c r="F477" s="180"/>
      <c r="I477" s="177"/>
      <c r="J477" s="42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</row>
    <row r="478" spans="1:66" ht="12.75" customHeight="1" x14ac:dyDescent="0.3">
      <c r="A478" s="13"/>
      <c r="B478" s="13"/>
      <c r="C478" s="13"/>
      <c r="F478" s="180"/>
      <c r="I478" s="177"/>
      <c r="J478" s="42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</row>
    <row r="479" spans="1:66" ht="12.75" customHeight="1" x14ac:dyDescent="0.3">
      <c r="A479" s="13"/>
      <c r="B479" s="13"/>
      <c r="C479" s="13"/>
      <c r="F479" s="180"/>
      <c r="I479" s="177"/>
      <c r="J479" s="42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</row>
    <row r="480" spans="1:66" ht="12.75" customHeight="1" x14ac:dyDescent="0.3">
      <c r="A480" s="13"/>
      <c r="B480" s="13"/>
      <c r="C480" s="13"/>
      <c r="F480" s="180"/>
      <c r="I480" s="177"/>
      <c r="J480" s="42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</row>
    <row r="481" spans="1:66" ht="12.75" customHeight="1" x14ac:dyDescent="0.3">
      <c r="A481" s="13"/>
      <c r="B481" s="13"/>
      <c r="C481" s="13"/>
      <c r="F481" s="180"/>
      <c r="I481" s="177"/>
      <c r="J481" s="42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</row>
    <row r="482" spans="1:66" ht="12.75" customHeight="1" x14ac:dyDescent="0.3">
      <c r="A482" s="13"/>
      <c r="B482" s="13"/>
      <c r="C482" s="13"/>
      <c r="F482" s="180"/>
      <c r="I482" s="177"/>
      <c r="J482" s="42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</row>
    <row r="483" spans="1:66" ht="12.75" customHeight="1" x14ac:dyDescent="0.3">
      <c r="A483" s="13"/>
      <c r="B483" s="13"/>
      <c r="C483" s="13"/>
      <c r="F483" s="180"/>
      <c r="I483" s="177"/>
      <c r="J483" s="42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</row>
    <row r="484" spans="1:66" ht="12.75" customHeight="1" x14ac:dyDescent="0.3">
      <c r="A484" s="13"/>
      <c r="B484" s="13"/>
      <c r="C484" s="13"/>
      <c r="F484" s="180"/>
      <c r="I484" s="177"/>
      <c r="J484" s="42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</row>
    <row r="485" spans="1:66" ht="12.75" customHeight="1" x14ac:dyDescent="0.3">
      <c r="A485" s="13"/>
      <c r="B485" s="13"/>
      <c r="C485" s="13"/>
      <c r="F485" s="180"/>
      <c r="I485" s="177"/>
      <c r="J485" s="42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</row>
    <row r="486" spans="1:66" ht="12.75" customHeight="1" x14ac:dyDescent="0.3">
      <c r="A486" s="13"/>
      <c r="B486" s="13"/>
      <c r="C486" s="13"/>
      <c r="F486" s="180"/>
      <c r="I486" s="177"/>
      <c r="J486" s="42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</row>
    <row r="487" spans="1:66" ht="12.75" customHeight="1" x14ac:dyDescent="0.3">
      <c r="A487" s="13"/>
      <c r="B487" s="13"/>
      <c r="C487" s="13"/>
      <c r="F487" s="180"/>
      <c r="I487" s="177"/>
      <c r="J487" s="42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</row>
    <row r="488" spans="1:66" ht="12.75" customHeight="1" x14ac:dyDescent="0.3">
      <c r="A488" s="13"/>
      <c r="B488" s="13"/>
      <c r="C488" s="13"/>
      <c r="F488" s="180"/>
      <c r="I488" s="177"/>
      <c r="J488" s="42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</row>
    <row r="489" spans="1:66" ht="12.75" customHeight="1" x14ac:dyDescent="0.3">
      <c r="A489" s="13"/>
      <c r="B489" s="13"/>
      <c r="C489" s="13"/>
      <c r="F489" s="180"/>
      <c r="I489" s="177"/>
      <c r="J489" s="42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</row>
    <row r="490" spans="1:66" ht="12.75" customHeight="1" x14ac:dyDescent="0.3">
      <c r="A490" s="13"/>
      <c r="B490" s="13"/>
      <c r="C490" s="13"/>
      <c r="F490" s="180"/>
      <c r="I490" s="177"/>
      <c r="J490" s="42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</row>
    <row r="491" spans="1:66" ht="12.75" customHeight="1" x14ac:dyDescent="0.3">
      <c r="A491" s="13"/>
      <c r="B491" s="13"/>
      <c r="C491" s="13"/>
      <c r="F491" s="180"/>
      <c r="I491" s="177"/>
      <c r="J491" s="42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</row>
    <row r="492" spans="1:66" ht="12.75" customHeight="1" x14ac:dyDescent="0.3">
      <c r="A492" s="13"/>
      <c r="B492" s="13"/>
      <c r="C492" s="13"/>
      <c r="F492" s="180"/>
      <c r="I492" s="177"/>
      <c r="J492" s="42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</row>
    <row r="493" spans="1:66" ht="12.75" customHeight="1" x14ac:dyDescent="0.3">
      <c r="A493" s="13"/>
      <c r="B493" s="13"/>
      <c r="C493" s="13"/>
      <c r="F493" s="180"/>
      <c r="I493" s="177"/>
      <c r="J493" s="42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</row>
    <row r="494" spans="1:66" ht="12.75" customHeight="1" x14ac:dyDescent="0.3">
      <c r="A494" s="13"/>
      <c r="B494" s="13"/>
      <c r="C494" s="13"/>
      <c r="F494" s="180"/>
      <c r="I494" s="177"/>
      <c r="J494" s="42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</row>
    <row r="495" spans="1:66" ht="12.75" customHeight="1" x14ac:dyDescent="0.3">
      <c r="A495" s="13"/>
      <c r="B495" s="13"/>
      <c r="C495" s="13"/>
      <c r="F495" s="180"/>
      <c r="I495" s="177"/>
      <c r="J495" s="42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</row>
    <row r="496" spans="1:66" ht="12.75" customHeight="1" x14ac:dyDescent="0.3">
      <c r="A496" s="13"/>
      <c r="B496" s="13"/>
      <c r="C496" s="13"/>
      <c r="F496" s="180"/>
      <c r="I496" s="177"/>
      <c r="J496" s="42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</row>
    <row r="497" spans="1:66" ht="12.75" customHeight="1" x14ac:dyDescent="0.3">
      <c r="A497" s="13"/>
      <c r="B497" s="13"/>
      <c r="C497" s="13"/>
      <c r="F497" s="180"/>
      <c r="I497" s="177"/>
      <c r="J497" s="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</row>
    <row r="498" spans="1:66" ht="12.75" customHeight="1" x14ac:dyDescent="0.3">
      <c r="A498" s="13"/>
      <c r="B498" s="13"/>
      <c r="C498" s="13"/>
      <c r="F498" s="180"/>
      <c r="I498" s="177"/>
      <c r="J498" s="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</row>
    <row r="499" spans="1:66" ht="12.75" customHeight="1" x14ac:dyDescent="0.3">
      <c r="A499" s="13"/>
      <c r="B499" s="13"/>
      <c r="C499" s="13"/>
      <c r="F499" s="180"/>
      <c r="I499" s="177"/>
      <c r="J499" s="42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</row>
    <row r="500" spans="1:66" ht="12.75" customHeight="1" x14ac:dyDescent="0.3">
      <c r="A500" s="13"/>
      <c r="B500" s="13"/>
      <c r="C500" s="13"/>
      <c r="F500" s="180"/>
      <c r="I500" s="177"/>
      <c r="J500" s="42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</row>
    <row r="501" spans="1:66" ht="12.75" customHeight="1" x14ac:dyDescent="0.3">
      <c r="A501" s="13"/>
      <c r="B501" s="13"/>
      <c r="C501" s="13"/>
      <c r="F501" s="180"/>
      <c r="I501" s="177"/>
      <c r="J501" s="42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</row>
    <row r="502" spans="1:66" ht="12.75" customHeight="1" x14ac:dyDescent="0.3">
      <c r="A502" s="13"/>
      <c r="B502" s="13"/>
      <c r="C502" s="13"/>
      <c r="F502" s="180"/>
      <c r="I502" s="177"/>
      <c r="J502" s="42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</row>
    <row r="503" spans="1:66" ht="12.75" customHeight="1" x14ac:dyDescent="0.3">
      <c r="A503" s="13"/>
      <c r="B503" s="13"/>
      <c r="C503" s="13"/>
      <c r="F503" s="180"/>
      <c r="I503" s="177"/>
      <c r="J503" s="42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</row>
    <row r="504" spans="1:66" ht="12.75" customHeight="1" x14ac:dyDescent="0.3">
      <c r="A504" s="13"/>
      <c r="B504" s="13"/>
      <c r="C504" s="13"/>
      <c r="F504" s="180"/>
      <c r="I504" s="177"/>
      <c r="J504" s="42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</row>
    <row r="505" spans="1:66" ht="12.75" customHeight="1" x14ac:dyDescent="0.3">
      <c r="A505" s="13"/>
      <c r="B505" s="13"/>
      <c r="C505" s="13"/>
      <c r="F505" s="180"/>
      <c r="I505" s="177"/>
      <c r="J505" s="42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</row>
    <row r="506" spans="1:66" ht="12.75" customHeight="1" x14ac:dyDescent="0.3">
      <c r="A506" s="13"/>
      <c r="B506" s="13"/>
      <c r="C506" s="13"/>
      <c r="F506" s="180"/>
      <c r="I506" s="177"/>
      <c r="J506" s="42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</row>
    <row r="507" spans="1:66" ht="12.75" customHeight="1" x14ac:dyDescent="0.3">
      <c r="A507" s="13"/>
      <c r="B507" s="13"/>
      <c r="C507" s="13"/>
      <c r="F507" s="180"/>
      <c r="I507" s="177"/>
      <c r="J507" s="42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</row>
    <row r="508" spans="1:66" ht="12.75" customHeight="1" x14ac:dyDescent="0.3">
      <c r="A508" s="13"/>
      <c r="B508" s="13"/>
      <c r="C508" s="13"/>
      <c r="F508" s="180"/>
      <c r="I508" s="177"/>
      <c r="J508" s="42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</row>
    <row r="509" spans="1:66" ht="12.75" customHeight="1" x14ac:dyDescent="0.3">
      <c r="A509" s="13"/>
      <c r="B509" s="13"/>
      <c r="C509" s="13"/>
      <c r="F509" s="180"/>
      <c r="I509" s="177"/>
      <c r="J509" s="42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</row>
    <row r="510" spans="1:66" ht="12.75" customHeight="1" x14ac:dyDescent="0.3">
      <c r="A510" s="13"/>
      <c r="B510" s="13"/>
      <c r="C510" s="13"/>
      <c r="F510" s="180"/>
      <c r="I510" s="177"/>
      <c r="J510" s="42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</row>
    <row r="511" spans="1:66" ht="12.75" customHeight="1" x14ac:dyDescent="0.3">
      <c r="A511" s="13"/>
      <c r="B511" s="13"/>
      <c r="C511" s="13"/>
      <c r="F511" s="180"/>
      <c r="I511" s="177"/>
      <c r="J511" s="42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</row>
    <row r="512" spans="1:66" ht="12.75" customHeight="1" x14ac:dyDescent="0.3">
      <c r="A512" s="13"/>
      <c r="B512" s="13"/>
      <c r="C512" s="13"/>
      <c r="F512" s="180"/>
      <c r="I512" s="177"/>
      <c r="J512" s="42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</row>
    <row r="513" spans="1:66" ht="12.75" customHeight="1" x14ac:dyDescent="0.3">
      <c r="A513" s="13"/>
      <c r="B513" s="13"/>
      <c r="C513" s="13"/>
      <c r="F513" s="180"/>
      <c r="I513" s="177"/>
      <c r="J513" s="42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</row>
    <row r="514" spans="1:66" ht="12.75" customHeight="1" x14ac:dyDescent="0.3">
      <c r="A514" s="13"/>
      <c r="B514" s="13"/>
      <c r="C514" s="13"/>
      <c r="F514" s="180"/>
      <c r="I514" s="177"/>
      <c r="J514" s="42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</row>
    <row r="515" spans="1:66" ht="12.75" customHeight="1" x14ac:dyDescent="0.3">
      <c r="A515" s="13"/>
      <c r="B515" s="13"/>
      <c r="C515" s="13"/>
      <c r="F515" s="180"/>
      <c r="I515" s="177"/>
      <c r="J515" s="42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</row>
    <row r="516" spans="1:66" ht="12.75" customHeight="1" x14ac:dyDescent="0.3">
      <c r="A516" s="13"/>
      <c r="B516" s="13"/>
      <c r="C516" s="13"/>
      <c r="F516" s="180"/>
      <c r="I516" s="177"/>
      <c r="J516" s="42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</row>
    <row r="517" spans="1:66" ht="12.75" customHeight="1" x14ac:dyDescent="0.3">
      <c r="A517" s="13"/>
      <c r="B517" s="13"/>
      <c r="C517" s="13"/>
      <c r="F517" s="180"/>
      <c r="I517" s="177"/>
      <c r="J517" s="42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</row>
    <row r="518" spans="1:66" ht="12.75" customHeight="1" x14ac:dyDescent="0.3">
      <c r="A518" s="13"/>
      <c r="B518" s="13"/>
      <c r="C518" s="13"/>
      <c r="F518" s="180"/>
      <c r="I518" s="177"/>
      <c r="J518" s="42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</row>
    <row r="519" spans="1:66" ht="12.75" customHeight="1" x14ac:dyDescent="0.3">
      <c r="A519" s="13"/>
      <c r="B519" s="13"/>
      <c r="C519" s="13"/>
      <c r="F519" s="180"/>
      <c r="I519" s="177"/>
      <c r="J519" s="42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</row>
    <row r="520" spans="1:66" ht="12.75" customHeight="1" x14ac:dyDescent="0.3">
      <c r="A520" s="13"/>
      <c r="B520" s="13"/>
      <c r="C520" s="13"/>
      <c r="F520" s="180"/>
      <c r="I520" s="177"/>
      <c r="J520" s="42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</row>
    <row r="521" spans="1:66" ht="12.75" customHeight="1" x14ac:dyDescent="0.3">
      <c r="A521" s="13"/>
      <c r="B521" s="13"/>
      <c r="C521" s="13"/>
      <c r="F521" s="180"/>
      <c r="I521" s="177"/>
      <c r="J521" s="42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</row>
    <row r="522" spans="1:66" ht="12.75" customHeight="1" x14ac:dyDescent="0.3">
      <c r="A522" s="13"/>
      <c r="B522" s="13"/>
      <c r="C522" s="13"/>
      <c r="F522" s="180"/>
      <c r="I522" s="177"/>
      <c r="J522" s="42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</row>
    <row r="523" spans="1:66" ht="12.75" customHeight="1" x14ac:dyDescent="0.3">
      <c r="A523" s="13"/>
      <c r="B523" s="13"/>
      <c r="C523" s="13"/>
      <c r="F523" s="180"/>
      <c r="I523" s="177"/>
      <c r="J523" s="42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</row>
    <row r="524" spans="1:66" ht="12.75" customHeight="1" x14ac:dyDescent="0.3">
      <c r="A524" s="13"/>
      <c r="B524" s="13"/>
      <c r="C524" s="13"/>
      <c r="F524" s="180"/>
      <c r="I524" s="177"/>
      <c r="J524" s="42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</row>
    <row r="525" spans="1:66" ht="12.75" customHeight="1" x14ac:dyDescent="0.3">
      <c r="A525" s="13"/>
      <c r="B525" s="13"/>
      <c r="C525" s="13"/>
      <c r="F525" s="180"/>
      <c r="I525" s="177"/>
      <c r="J525" s="42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</row>
    <row r="526" spans="1:66" ht="12.75" customHeight="1" x14ac:dyDescent="0.3">
      <c r="A526" s="13"/>
      <c r="B526" s="13"/>
      <c r="C526" s="13"/>
      <c r="F526" s="180"/>
      <c r="I526" s="177"/>
      <c r="J526" s="42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</row>
    <row r="527" spans="1:66" ht="12.75" customHeight="1" x14ac:dyDescent="0.3">
      <c r="A527" s="13"/>
      <c r="B527" s="13"/>
      <c r="C527" s="13"/>
      <c r="F527" s="180"/>
      <c r="I527" s="177"/>
      <c r="J527" s="42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</row>
    <row r="528" spans="1:66" ht="12.75" customHeight="1" x14ac:dyDescent="0.3">
      <c r="A528" s="13"/>
      <c r="B528" s="13"/>
      <c r="C528" s="13"/>
      <c r="F528" s="180"/>
      <c r="I528" s="177"/>
      <c r="J528" s="42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</row>
    <row r="529" spans="1:66" ht="12.75" customHeight="1" x14ac:dyDescent="0.3">
      <c r="A529" s="13"/>
      <c r="B529" s="13"/>
      <c r="C529" s="13"/>
      <c r="F529" s="180"/>
      <c r="I529" s="177"/>
      <c r="J529" s="42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</row>
    <row r="530" spans="1:66" ht="12.75" customHeight="1" x14ac:dyDescent="0.3">
      <c r="A530" s="13"/>
      <c r="B530" s="13"/>
      <c r="C530" s="13"/>
      <c r="F530" s="180"/>
      <c r="I530" s="177"/>
      <c r="J530" s="42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</row>
    <row r="531" spans="1:66" ht="12.75" customHeight="1" x14ac:dyDescent="0.3">
      <c r="A531" s="13"/>
      <c r="B531" s="13"/>
      <c r="C531" s="13"/>
      <c r="F531" s="180"/>
      <c r="I531" s="177"/>
      <c r="J531" s="42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</row>
    <row r="532" spans="1:66" ht="12.75" customHeight="1" x14ac:dyDescent="0.3">
      <c r="A532" s="13"/>
      <c r="B532" s="13"/>
      <c r="C532" s="13"/>
      <c r="F532" s="180"/>
      <c r="I532" s="177"/>
      <c r="J532" s="42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</row>
    <row r="533" spans="1:66" ht="12.75" customHeight="1" x14ac:dyDescent="0.3">
      <c r="A533" s="13"/>
      <c r="B533" s="13"/>
      <c r="C533" s="13"/>
      <c r="F533" s="180"/>
      <c r="I533" s="177"/>
      <c r="J533" s="42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</row>
    <row r="534" spans="1:66" ht="12.75" customHeight="1" x14ac:dyDescent="0.3">
      <c r="A534" s="13"/>
      <c r="B534" s="13"/>
      <c r="C534" s="13"/>
      <c r="F534" s="180"/>
      <c r="I534" s="177"/>
      <c r="J534" s="42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</row>
    <row r="535" spans="1:66" ht="12.75" customHeight="1" x14ac:dyDescent="0.3">
      <c r="A535" s="13"/>
      <c r="B535" s="13"/>
      <c r="C535" s="13"/>
      <c r="F535" s="180"/>
      <c r="I535" s="177"/>
      <c r="J535" s="42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</row>
    <row r="536" spans="1:66" ht="12.75" customHeight="1" x14ac:dyDescent="0.3">
      <c r="A536" s="13"/>
      <c r="B536" s="13"/>
      <c r="C536" s="13"/>
      <c r="F536" s="180"/>
      <c r="I536" s="177"/>
      <c r="J536" s="42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</row>
    <row r="537" spans="1:66" ht="12.75" customHeight="1" x14ac:dyDescent="0.3">
      <c r="A537" s="13"/>
      <c r="B537" s="13"/>
      <c r="C537" s="13"/>
      <c r="F537" s="180"/>
      <c r="I537" s="177"/>
      <c r="J537" s="42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</row>
    <row r="538" spans="1:66" ht="12.75" customHeight="1" x14ac:dyDescent="0.3">
      <c r="A538" s="13"/>
      <c r="B538" s="13"/>
      <c r="C538" s="13"/>
      <c r="F538" s="180"/>
      <c r="I538" s="177"/>
      <c r="J538" s="42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</row>
    <row r="539" spans="1:66" ht="12.75" customHeight="1" x14ac:dyDescent="0.3">
      <c r="A539" s="13"/>
      <c r="B539" s="13"/>
      <c r="C539" s="13"/>
      <c r="F539" s="180"/>
      <c r="I539" s="177"/>
      <c r="J539" s="42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</row>
    <row r="540" spans="1:66" ht="12.75" customHeight="1" x14ac:dyDescent="0.3">
      <c r="A540" s="13"/>
      <c r="B540" s="13"/>
      <c r="C540" s="13"/>
      <c r="F540" s="180"/>
      <c r="I540" s="177"/>
      <c r="J540" s="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</row>
    <row r="541" spans="1:66" ht="12.75" customHeight="1" x14ac:dyDescent="0.3">
      <c r="A541" s="13"/>
      <c r="B541" s="13"/>
      <c r="C541" s="13"/>
      <c r="F541" s="180"/>
      <c r="I541" s="177"/>
      <c r="J541" s="42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</row>
    <row r="542" spans="1:66" ht="12.75" customHeight="1" x14ac:dyDescent="0.3">
      <c r="A542" s="13"/>
      <c r="B542" s="13"/>
      <c r="C542" s="13"/>
      <c r="F542" s="180"/>
      <c r="I542" s="177"/>
      <c r="J542" s="42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</row>
    <row r="543" spans="1:66" ht="12.75" customHeight="1" x14ac:dyDescent="0.3">
      <c r="A543" s="13"/>
      <c r="B543" s="13"/>
      <c r="C543" s="13"/>
      <c r="F543" s="180"/>
      <c r="I543" s="177"/>
      <c r="J543" s="42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</row>
    <row r="544" spans="1:66" ht="12.75" customHeight="1" x14ac:dyDescent="0.3">
      <c r="A544" s="13"/>
      <c r="B544" s="13"/>
      <c r="C544" s="13"/>
      <c r="F544" s="180"/>
      <c r="I544" s="177"/>
      <c r="J544" s="42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</row>
    <row r="545" spans="1:66" ht="12.75" customHeight="1" x14ac:dyDescent="0.3">
      <c r="A545" s="13"/>
      <c r="B545" s="13"/>
      <c r="C545" s="13"/>
      <c r="F545" s="180"/>
      <c r="I545" s="177"/>
      <c r="J545" s="42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</row>
    <row r="546" spans="1:66" ht="12.75" customHeight="1" x14ac:dyDescent="0.3">
      <c r="A546" s="13"/>
      <c r="B546" s="13"/>
      <c r="C546" s="13"/>
      <c r="F546" s="180"/>
      <c r="I546" s="177"/>
      <c r="J546" s="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</row>
    <row r="547" spans="1:66" ht="12.75" customHeight="1" x14ac:dyDescent="0.3">
      <c r="A547" s="13"/>
      <c r="B547" s="13"/>
      <c r="C547" s="13"/>
      <c r="F547" s="180"/>
      <c r="I547" s="177"/>
      <c r="J547" s="42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</row>
    <row r="548" spans="1:66" ht="12.75" customHeight="1" x14ac:dyDescent="0.3">
      <c r="A548" s="13"/>
      <c r="B548" s="13"/>
      <c r="C548" s="13"/>
      <c r="F548" s="180"/>
      <c r="I548" s="177"/>
      <c r="J548" s="42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</row>
    <row r="549" spans="1:66" ht="12.75" customHeight="1" x14ac:dyDescent="0.3">
      <c r="A549" s="13"/>
      <c r="B549" s="13"/>
      <c r="C549" s="13"/>
      <c r="F549" s="180"/>
      <c r="I549" s="177"/>
      <c r="J549" s="42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</row>
    <row r="550" spans="1:66" ht="12.75" customHeight="1" x14ac:dyDescent="0.3">
      <c r="A550" s="13"/>
      <c r="B550" s="13"/>
      <c r="C550" s="13"/>
      <c r="F550" s="180"/>
      <c r="I550" s="177"/>
      <c r="J550" s="42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</row>
    <row r="551" spans="1:66" ht="12.75" customHeight="1" x14ac:dyDescent="0.3">
      <c r="A551" s="13"/>
      <c r="B551" s="13"/>
      <c r="C551" s="13"/>
      <c r="F551" s="180"/>
      <c r="I551" s="177"/>
      <c r="J551" s="42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</row>
    <row r="552" spans="1:66" ht="12.75" customHeight="1" x14ac:dyDescent="0.3">
      <c r="A552" s="13"/>
      <c r="B552" s="13"/>
      <c r="C552" s="13"/>
      <c r="F552" s="180"/>
      <c r="I552" s="177"/>
      <c r="J552" s="42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</row>
    <row r="553" spans="1:66" ht="12.75" customHeight="1" x14ac:dyDescent="0.3">
      <c r="A553" s="13"/>
      <c r="B553" s="13"/>
      <c r="C553" s="13"/>
      <c r="F553" s="180"/>
      <c r="I553" s="177"/>
      <c r="J553" s="42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</row>
    <row r="554" spans="1:66" ht="12.75" customHeight="1" x14ac:dyDescent="0.3">
      <c r="A554" s="13"/>
      <c r="B554" s="13"/>
      <c r="C554" s="13"/>
      <c r="F554" s="180"/>
      <c r="I554" s="177"/>
      <c r="J554" s="42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</row>
    <row r="555" spans="1:66" ht="12.75" customHeight="1" x14ac:dyDescent="0.3">
      <c r="A555" s="13"/>
      <c r="B555" s="13"/>
      <c r="C555" s="13"/>
      <c r="F555" s="180"/>
      <c r="I555" s="177"/>
      <c r="J555" s="42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</row>
    <row r="556" spans="1:66" ht="12.75" customHeight="1" x14ac:dyDescent="0.3">
      <c r="A556" s="13"/>
      <c r="B556" s="13"/>
      <c r="C556" s="13"/>
      <c r="F556" s="180"/>
      <c r="I556" s="177"/>
      <c r="J556" s="42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</row>
    <row r="557" spans="1:66" ht="12.75" customHeight="1" x14ac:dyDescent="0.3">
      <c r="A557" s="13"/>
      <c r="B557" s="13"/>
      <c r="C557" s="13"/>
      <c r="F557" s="180"/>
      <c r="I557" s="177"/>
      <c r="J557" s="42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</row>
    <row r="558" spans="1:66" ht="12.75" customHeight="1" x14ac:dyDescent="0.3">
      <c r="A558" s="13"/>
      <c r="B558" s="13"/>
      <c r="C558" s="13"/>
      <c r="F558" s="180"/>
      <c r="I558" s="177"/>
      <c r="J558" s="42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</row>
    <row r="559" spans="1:66" ht="12.75" customHeight="1" x14ac:dyDescent="0.3">
      <c r="A559" s="13"/>
      <c r="B559" s="13"/>
      <c r="C559" s="13"/>
      <c r="F559" s="180"/>
      <c r="I559" s="177"/>
      <c r="J559" s="42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</row>
    <row r="560" spans="1:66" ht="12.75" customHeight="1" x14ac:dyDescent="0.3">
      <c r="A560" s="13"/>
      <c r="B560" s="13"/>
      <c r="C560" s="13"/>
      <c r="F560" s="180"/>
      <c r="I560" s="177"/>
      <c r="J560" s="42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</row>
    <row r="561" spans="1:66" ht="12.75" customHeight="1" x14ac:dyDescent="0.3">
      <c r="A561" s="13"/>
      <c r="B561" s="13"/>
      <c r="C561" s="13"/>
      <c r="F561" s="180"/>
      <c r="I561" s="177"/>
      <c r="J561" s="42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</row>
    <row r="562" spans="1:66" ht="12.75" customHeight="1" x14ac:dyDescent="0.3">
      <c r="A562" s="13"/>
      <c r="B562" s="13"/>
      <c r="C562" s="13"/>
      <c r="F562" s="180"/>
      <c r="I562" s="177"/>
      <c r="J562" s="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</row>
    <row r="563" spans="1:66" ht="12.75" customHeight="1" x14ac:dyDescent="0.3">
      <c r="A563" s="13"/>
      <c r="B563" s="13"/>
      <c r="C563" s="13"/>
      <c r="F563" s="180"/>
      <c r="I563" s="177"/>
      <c r="J563" s="42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</row>
    <row r="564" spans="1:66" ht="12.75" customHeight="1" x14ac:dyDescent="0.3">
      <c r="A564" s="13"/>
      <c r="B564" s="13"/>
      <c r="C564" s="13"/>
      <c r="F564" s="180"/>
      <c r="I564" s="177"/>
      <c r="J564" s="42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</row>
    <row r="565" spans="1:66" ht="12.75" customHeight="1" x14ac:dyDescent="0.3">
      <c r="A565" s="13"/>
      <c r="B565" s="13"/>
      <c r="C565" s="13"/>
      <c r="F565" s="180"/>
      <c r="I565" s="177"/>
      <c r="J565" s="42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</row>
    <row r="566" spans="1:66" ht="12.75" customHeight="1" x14ac:dyDescent="0.3">
      <c r="A566" s="13"/>
      <c r="B566" s="13"/>
      <c r="C566" s="13"/>
      <c r="F566" s="180"/>
      <c r="I566" s="177"/>
      <c r="J566" s="42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</row>
    <row r="567" spans="1:66" ht="12.75" customHeight="1" x14ac:dyDescent="0.3">
      <c r="A567" s="13"/>
      <c r="B567" s="13"/>
      <c r="C567" s="13"/>
      <c r="F567" s="180"/>
      <c r="I567" s="177"/>
      <c r="J567" s="42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</row>
    <row r="568" spans="1:66" ht="12.75" customHeight="1" x14ac:dyDescent="0.3">
      <c r="A568" s="13"/>
      <c r="B568" s="13"/>
      <c r="C568" s="13"/>
      <c r="F568" s="180"/>
      <c r="I568" s="177"/>
      <c r="J568" s="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</row>
    <row r="569" spans="1:66" ht="12.75" customHeight="1" x14ac:dyDescent="0.3">
      <c r="A569" s="13"/>
      <c r="B569" s="13"/>
      <c r="C569" s="13"/>
      <c r="F569" s="180"/>
      <c r="I569" s="177"/>
      <c r="J569" s="42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</row>
    <row r="570" spans="1:66" ht="12.75" customHeight="1" x14ac:dyDescent="0.3">
      <c r="A570" s="13"/>
      <c r="B570" s="13"/>
      <c r="C570" s="13"/>
      <c r="F570" s="180"/>
      <c r="I570" s="177"/>
      <c r="J570" s="42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</row>
    <row r="571" spans="1:66" ht="12.75" customHeight="1" x14ac:dyDescent="0.3">
      <c r="A571" s="13"/>
      <c r="B571" s="13"/>
      <c r="C571" s="13"/>
      <c r="F571" s="180"/>
      <c r="I571" s="177"/>
      <c r="J571" s="42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</row>
    <row r="572" spans="1:66" ht="12.75" customHeight="1" x14ac:dyDescent="0.3">
      <c r="A572" s="13"/>
      <c r="B572" s="13"/>
      <c r="C572" s="13"/>
      <c r="F572" s="180"/>
      <c r="I572" s="177"/>
      <c r="J572" s="42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</row>
    <row r="573" spans="1:66" ht="12.75" customHeight="1" x14ac:dyDescent="0.3">
      <c r="A573" s="13"/>
      <c r="B573" s="13"/>
      <c r="C573" s="13"/>
      <c r="F573" s="180"/>
      <c r="I573" s="177"/>
      <c r="J573" s="42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</row>
    <row r="574" spans="1:66" ht="12.75" customHeight="1" x14ac:dyDescent="0.3">
      <c r="A574" s="13"/>
      <c r="B574" s="13"/>
      <c r="C574" s="13"/>
      <c r="F574" s="180"/>
      <c r="I574" s="177"/>
      <c r="J574" s="42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</row>
    <row r="575" spans="1:66" ht="12.75" customHeight="1" x14ac:dyDescent="0.3">
      <c r="A575" s="13"/>
      <c r="B575" s="13"/>
      <c r="C575" s="13"/>
      <c r="F575" s="180"/>
      <c r="I575" s="177"/>
      <c r="J575" s="42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</row>
    <row r="576" spans="1:66" ht="12.75" customHeight="1" x14ac:dyDescent="0.3">
      <c r="A576" s="13"/>
      <c r="B576" s="13"/>
      <c r="C576" s="13"/>
      <c r="F576" s="180"/>
      <c r="I576" s="177"/>
      <c r="J576" s="42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</row>
    <row r="577" spans="1:66" ht="12.75" customHeight="1" x14ac:dyDescent="0.3">
      <c r="A577" s="13"/>
      <c r="B577" s="13"/>
      <c r="C577" s="13"/>
      <c r="F577" s="180"/>
      <c r="I577" s="177"/>
      <c r="J577" s="42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</row>
    <row r="578" spans="1:66" ht="12.75" customHeight="1" x14ac:dyDescent="0.3">
      <c r="A578" s="13"/>
      <c r="B578" s="13"/>
      <c r="C578" s="13"/>
      <c r="F578" s="180"/>
      <c r="I578" s="177"/>
      <c r="J578" s="42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</row>
    <row r="579" spans="1:66" ht="12.75" customHeight="1" x14ac:dyDescent="0.3">
      <c r="A579" s="13"/>
      <c r="B579" s="13"/>
      <c r="C579" s="13"/>
      <c r="F579" s="180"/>
      <c r="I579" s="177"/>
      <c r="J579" s="42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</row>
    <row r="580" spans="1:66" ht="12.75" customHeight="1" x14ac:dyDescent="0.3">
      <c r="A580" s="13"/>
      <c r="B580" s="13"/>
      <c r="C580" s="13"/>
      <c r="F580" s="180"/>
      <c r="I580" s="177"/>
      <c r="J580" s="42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</row>
    <row r="581" spans="1:66" ht="12.75" customHeight="1" x14ac:dyDescent="0.3">
      <c r="A581" s="13"/>
      <c r="B581" s="13"/>
      <c r="C581" s="13"/>
      <c r="F581" s="180"/>
      <c r="I581" s="177"/>
      <c r="J581" s="42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</row>
    <row r="582" spans="1:66" ht="12.75" customHeight="1" x14ac:dyDescent="0.3">
      <c r="A582" s="13"/>
      <c r="B582" s="13"/>
      <c r="C582" s="13"/>
      <c r="F582" s="180"/>
      <c r="I582" s="177"/>
      <c r="J582" s="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</row>
    <row r="583" spans="1:66" ht="12.75" customHeight="1" x14ac:dyDescent="0.3">
      <c r="A583" s="13"/>
      <c r="B583" s="13"/>
      <c r="C583" s="13"/>
      <c r="F583" s="180"/>
      <c r="I583" s="177"/>
      <c r="J583" s="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</row>
    <row r="584" spans="1:66" ht="12.75" customHeight="1" x14ac:dyDescent="0.3">
      <c r="A584" s="13"/>
      <c r="B584" s="13"/>
      <c r="C584" s="13"/>
      <c r="F584" s="180"/>
      <c r="I584" s="177"/>
      <c r="J584" s="42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</row>
    <row r="585" spans="1:66" ht="12.75" customHeight="1" x14ac:dyDescent="0.3">
      <c r="A585" s="13"/>
      <c r="B585" s="13"/>
      <c r="C585" s="13"/>
      <c r="F585" s="180"/>
      <c r="I585" s="177"/>
      <c r="J585" s="42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</row>
    <row r="586" spans="1:66" ht="12.75" customHeight="1" x14ac:dyDescent="0.3">
      <c r="A586" s="13"/>
      <c r="B586" s="13"/>
      <c r="C586" s="13"/>
      <c r="F586" s="180"/>
      <c r="I586" s="177"/>
      <c r="J586" s="42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</row>
    <row r="587" spans="1:66" ht="12.75" customHeight="1" x14ac:dyDescent="0.3">
      <c r="A587" s="13"/>
      <c r="B587" s="13"/>
      <c r="C587" s="13"/>
      <c r="F587" s="180"/>
      <c r="I587" s="177"/>
      <c r="J587" s="42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</row>
    <row r="588" spans="1:66" ht="12.75" customHeight="1" x14ac:dyDescent="0.3">
      <c r="A588" s="13"/>
      <c r="B588" s="13"/>
      <c r="C588" s="13"/>
      <c r="F588" s="180"/>
      <c r="I588" s="177"/>
      <c r="J588" s="42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</row>
    <row r="589" spans="1:66" ht="12.75" customHeight="1" x14ac:dyDescent="0.3">
      <c r="A589" s="13"/>
      <c r="B589" s="13"/>
      <c r="C589" s="13"/>
      <c r="F589" s="180"/>
      <c r="I589" s="177"/>
      <c r="J589" s="42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</row>
    <row r="590" spans="1:66" ht="12.75" customHeight="1" x14ac:dyDescent="0.3">
      <c r="A590" s="13"/>
      <c r="B590" s="13"/>
      <c r="C590" s="13"/>
      <c r="F590" s="180"/>
      <c r="I590" s="177"/>
      <c r="J590" s="42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</row>
    <row r="591" spans="1:66" ht="12.75" customHeight="1" x14ac:dyDescent="0.3">
      <c r="A591" s="13"/>
      <c r="B591" s="13"/>
      <c r="C591" s="13"/>
      <c r="F591" s="180"/>
      <c r="I591" s="177"/>
      <c r="J591" s="42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</row>
    <row r="592" spans="1:66" ht="12.75" customHeight="1" x14ac:dyDescent="0.3">
      <c r="A592" s="13"/>
      <c r="B592" s="13"/>
      <c r="C592" s="13"/>
      <c r="F592" s="180"/>
      <c r="I592" s="177"/>
      <c r="J592" s="42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</row>
    <row r="593" spans="1:66" ht="12.75" customHeight="1" x14ac:dyDescent="0.3">
      <c r="A593" s="13"/>
      <c r="B593" s="13"/>
      <c r="C593" s="13"/>
      <c r="F593" s="180"/>
      <c r="I593" s="177"/>
      <c r="J593" s="42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</row>
    <row r="594" spans="1:66" ht="12.75" customHeight="1" x14ac:dyDescent="0.3">
      <c r="A594" s="13"/>
      <c r="B594" s="13"/>
      <c r="C594" s="13"/>
      <c r="F594" s="180"/>
      <c r="I594" s="177"/>
      <c r="J594" s="42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</row>
    <row r="595" spans="1:66" ht="12.75" customHeight="1" x14ac:dyDescent="0.3">
      <c r="A595" s="13"/>
      <c r="B595" s="13"/>
      <c r="C595" s="13"/>
      <c r="F595" s="180"/>
      <c r="I595" s="177"/>
      <c r="J595" s="42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</row>
    <row r="596" spans="1:66" ht="12.75" customHeight="1" x14ac:dyDescent="0.3">
      <c r="A596" s="13"/>
      <c r="B596" s="13"/>
      <c r="C596" s="13"/>
      <c r="F596" s="180"/>
      <c r="I596" s="177"/>
      <c r="J596" s="42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</row>
    <row r="597" spans="1:66" ht="12.75" customHeight="1" x14ac:dyDescent="0.3">
      <c r="A597" s="13"/>
      <c r="B597" s="13"/>
      <c r="C597" s="13"/>
      <c r="F597" s="180"/>
      <c r="I597" s="177"/>
      <c r="J597" s="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</row>
    <row r="598" spans="1:66" ht="12.75" customHeight="1" x14ac:dyDescent="0.3">
      <c r="A598" s="13"/>
      <c r="B598" s="13"/>
      <c r="C598" s="13"/>
      <c r="F598" s="180"/>
      <c r="I598" s="177"/>
      <c r="J598" s="42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</row>
    <row r="599" spans="1:66" ht="12.75" customHeight="1" x14ac:dyDescent="0.3">
      <c r="A599" s="13"/>
      <c r="B599" s="13"/>
      <c r="C599" s="13"/>
      <c r="F599" s="180"/>
      <c r="I599" s="177"/>
      <c r="J599" s="42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</row>
    <row r="600" spans="1:66" ht="12.75" customHeight="1" x14ac:dyDescent="0.3">
      <c r="A600" s="13"/>
      <c r="B600" s="13"/>
      <c r="C600" s="13"/>
      <c r="F600" s="180"/>
      <c r="I600" s="177"/>
      <c r="J600" s="42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</row>
    <row r="601" spans="1:66" ht="12.75" customHeight="1" x14ac:dyDescent="0.3">
      <c r="A601" s="13"/>
      <c r="B601" s="13"/>
      <c r="C601" s="13"/>
      <c r="F601" s="180"/>
      <c r="I601" s="177"/>
      <c r="J601" s="42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</row>
    <row r="602" spans="1:66" ht="12.75" customHeight="1" x14ac:dyDescent="0.3">
      <c r="A602" s="13"/>
      <c r="B602" s="13"/>
      <c r="C602" s="13"/>
      <c r="F602" s="180"/>
      <c r="I602" s="177"/>
      <c r="J602" s="42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</row>
    <row r="603" spans="1:66" ht="12.75" customHeight="1" x14ac:dyDescent="0.3">
      <c r="A603" s="13"/>
      <c r="B603" s="13"/>
      <c r="C603" s="13"/>
      <c r="F603" s="180"/>
      <c r="I603" s="177"/>
      <c r="J603" s="42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</row>
    <row r="604" spans="1:66" ht="12.75" customHeight="1" x14ac:dyDescent="0.3">
      <c r="A604" s="13"/>
      <c r="B604" s="13"/>
      <c r="C604" s="13"/>
      <c r="F604" s="180"/>
      <c r="I604" s="177"/>
      <c r="J604" s="42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</row>
    <row r="605" spans="1:66" ht="12.75" customHeight="1" x14ac:dyDescent="0.3">
      <c r="A605" s="13"/>
      <c r="B605" s="13"/>
      <c r="C605" s="13"/>
      <c r="F605" s="180"/>
      <c r="I605" s="177"/>
      <c r="J605" s="42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</row>
    <row r="606" spans="1:66" ht="12.75" customHeight="1" x14ac:dyDescent="0.3">
      <c r="A606" s="13"/>
      <c r="B606" s="13"/>
      <c r="C606" s="13"/>
      <c r="F606" s="180"/>
      <c r="I606" s="177"/>
      <c r="J606" s="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</row>
    <row r="607" spans="1:66" ht="12.75" customHeight="1" x14ac:dyDescent="0.3">
      <c r="A607" s="13"/>
      <c r="B607" s="13"/>
      <c r="C607" s="13"/>
      <c r="F607" s="180"/>
      <c r="I607" s="177"/>
      <c r="J607" s="42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</row>
    <row r="608" spans="1:66" ht="12.75" customHeight="1" x14ac:dyDescent="0.3">
      <c r="A608" s="13"/>
      <c r="B608" s="13"/>
      <c r="C608" s="13"/>
      <c r="F608" s="180"/>
      <c r="I608" s="177"/>
      <c r="J608" s="42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</row>
    <row r="609" spans="1:66" ht="12.75" customHeight="1" x14ac:dyDescent="0.3">
      <c r="A609" s="13"/>
      <c r="B609" s="13"/>
      <c r="C609" s="13"/>
      <c r="F609" s="180"/>
      <c r="I609" s="177"/>
      <c r="J609" s="42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</row>
    <row r="610" spans="1:66" ht="12.75" customHeight="1" x14ac:dyDescent="0.3">
      <c r="A610" s="13"/>
      <c r="B610" s="13"/>
      <c r="C610" s="13"/>
      <c r="F610" s="180"/>
      <c r="I610" s="177"/>
      <c r="J610" s="42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</row>
    <row r="611" spans="1:66" ht="12.75" customHeight="1" x14ac:dyDescent="0.3">
      <c r="A611" s="13"/>
      <c r="B611" s="13"/>
      <c r="C611" s="13"/>
      <c r="F611" s="180"/>
      <c r="I611" s="177"/>
      <c r="J611" s="42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</row>
    <row r="612" spans="1:66" ht="12.75" customHeight="1" x14ac:dyDescent="0.3">
      <c r="A612" s="13"/>
      <c r="B612" s="13"/>
      <c r="C612" s="13"/>
      <c r="F612" s="180"/>
      <c r="I612" s="177"/>
      <c r="J612" s="42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</row>
    <row r="613" spans="1:66" ht="12.75" customHeight="1" x14ac:dyDescent="0.3">
      <c r="A613" s="13"/>
      <c r="B613" s="13"/>
      <c r="C613" s="13"/>
      <c r="F613" s="180"/>
      <c r="I613" s="177"/>
      <c r="J613" s="42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</row>
    <row r="614" spans="1:66" ht="12.75" customHeight="1" x14ac:dyDescent="0.3">
      <c r="A614" s="13"/>
      <c r="B614" s="13"/>
      <c r="C614" s="13"/>
      <c r="F614" s="180"/>
      <c r="I614" s="177"/>
      <c r="J614" s="42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</row>
    <row r="615" spans="1:66" ht="12.75" customHeight="1" x14ac:dyDescent="0.3">
      <c r="A615" s="13"/>
      <c r="B615" s="13"/>
      <c r="C615" s="13"/>
      <c r="F615" s="180"/>
      <c r="I615" s="177"/>
      <c r="J615" s="42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</row>
    <row r="616" spans="1:66" ht="12.75" customHeight="1" x14ac:dyDescent="0.3">
      <c r="A616" s="13"/>
      <c r="B616" s="13"/>
      <c r="C616" s="13"/>
      <c r="F616" s="180"/>
      <c r="I616" s="177"/>
      <c r="J616" s="42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</row>
    <row r="617" spans="1:66" ht="12.75" customHeight="1" x14ac:dyDescent="0.3">
      <c r="A617" s="13"/>
      <c r="B617" s="13"/>
      <c r="C617" s="13"/>
      <c r="F617" s="180"/>
      <c r="I617" s="177"/>
      <c r="J617" s="42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</row>
    <row r="618" spans="1:66" ht="12.75" customHeight="1" x14ac:dyDescent="0.3">
      <c r="A618" s="13"/>
      <c r="B618" s="13"/>
      <c r="C618" s="13"/>
      <c r="F618" s="180"/>
      <c r="I618" s="177"/>
      <c r="J618" s="42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</row>
    <row r="619" spans="1:66" ht="12.75" customHeight="1" x14ac:dyDescent="0.3">
      <c r="A619" s="13"/>
      <c r="B619" s="13"/>
      <c r="C619" s="13"/>
      <c r="F619" s="180"/>
      <c r="I619" s="177"/>
      <c r="J619" s="42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</row>
    <row r="620" spans="1:66" ht="12.75" customHeight="1" x14ac:dyDescent="0.3">
      <c r="A620" s="13"/>
      <c r="B620" s="13"/>
      <c r="C620" s="13"/>
      <c r="F620" s="180"/>
      <c r="I620" s="177"/>
      <c r="J620" s="42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</row>
    <row r="621" spans="1:66" ht="12.75" customHeight="1" x14ac:dyDescent="0.3">
      <c r="A621" s="13"/>
      <c r="B621" s="13"/>
      <c r="C621" s="13"/>
      <c r="F621" s="180"/>
      <c r="I621" s="177"/>
      <c r="J621" s="42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</row>
    <row r="622" spans="1:66" ht="12.75" customHeight="1" x14ac:dyDescent="0.3">
      <c r="A622" s="13"/>
      <c r="B622" s="13"/>
      <c r="C622" s="13"/>
      <c r="F622" s="180"/>
      <c r="I622" s="177"/>
      <c r="J622" s="42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</row>
    <row r="623" spans="1:66" ht="12.75" customHeight="1" x14ac:dyDescent="0.3">
      <c r="A623" s="13"/>
      <c r="B623" s="13"/>
      <c r="C623" s="13"/>
      <c r="F623" s="180"/>
      <c r="I623" s="177"/>
      <c r="J623" s="42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</row>
    <row r="624" spans="1:66" ht="12.75" customHeight="1" x14ac:dyDescent="0.3">
      <c r="A624" s="13"/>
      <c r="B624" s="13"/>
      <c r="C624" s="13"/>
      <c r="F624" s="180"/>
      <c r="I624" s="177"/>
      <c r="J624" s="42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</row>
    <row r="625" spans="1:66" ht="12.75" customHeight="1" x14ac:dyDescent="0.3">
      <c r="A625" s="13"/>
      <c r="B625" s="13"/>
      <c r="C625" s="13"/>
      <c r="F625" s="180"/>
      <c r="I625" s="177"/>
      <c r="J625" s="42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</row>
    <row r="626" spans="1:66" ht="12.75" customHeight="1" x14ac:dyDescent="0.3">
      <c r="A626" s="13"/>
      <c r="B626" s="13"/>
      <c r="C626" s="13"/>
      <c r="F626" s="180"/>
      <c r="I626" s="177"/>
      <c r="J626" s="42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</row>
    <row r="627" spans="1:66" ht="12.75" customHeight="1" x14ac:dyDescent="0.3">
      <c r="A627" s="13"/>
      <c r="B627" s="13"/>
      <c r="C627" s="13"/>
      <c r="F627" s="180"/>
      <c r="I627" s="177"/>
      <c r="J627" s="42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</row>
    <row r="628" spans="1:66" ht="12.75" customHeight="1" x14ac:dyDescent="0.3">
      <c r="A628" s="13"/>
      <c r="B628" s="13"/>
      <c r="C628" s="13"/>
      <c r="F628" s="180"/>
      <c r="I628" s="177"/>
      <c r="J628" s="42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</row>
    <row r="629" spans="1:66" ht="12.75" customHeight="1" x14ac:dyDescent="0.3">
      <c r="A629" s="13"/>
      <c r="B629" s="13"/>
      <c r="C629" s="13"/>
      <c r="F629" s="180"/>
      <c r="I629" s="177"/>
      <c r="J629" s="42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</row>
    <row r="630" spans="1:66" ht="12.75" customHeight="1" x14ac:dyDescent="0.3">
      <c r="A630" s="13"/>
      <c r="B630" s="13"/>
      <c r="C630" s="13"/>
      <c r="F630" s="180"/>
      <c r="I630" s="177"/>
      <c r="J630" s="42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</row>
    <row r="631" spans="1:66" ht="12.75" customHeight="1" x14ac:dyDescent="0.3">
      <c r="A631" s="13"/>
      <c r="B631" s="13"/>
      <c r="C631" s="13"/>
      <c r="F631" s="180"/>
      <c r="I631" s="177"/>
      <c r="J631" s="42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</row>
    <row r="632" spans="1:66" ht="12.75" customHeight="1" x14ac:dyDescent="0.3">
      <c r="A632" s="13"/>
      <c r="B632" s="13"/>
      <c r="C632" s="13"/>
      <c r="F632" s="180"/>
      <c r="I632" s="177"/>
      <c r="J632" s="42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</row>
    <row r="633" spans="1:66" ht="12.75" customHeight="1" x14ac:dyDescent="0.3">
      <c r="A633" s="13"/>
      <c r="B633" s="13"/>
      <c r="C633" s="13"/>
      <c r="F633" s="180"/>
      <c r="I633" s="177"/>
      <c r="J633" s="42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</row>
    <row r="634" spans="1:66" ht="12.75" customHeight="1" x14ac:dyDescent="0.3">
      <c r="A634" s="13"/>
      <c r="B634" s="13"/>
      <c r="C634" s="13"/>
      <c r="F634" s="180"/>
      <c r="I634" s="177"/>
      <c r="J634" s="42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</row>
    <row r="635" spans="1:66" ht="12.75" customHeight="1" x14ac:dyDescent="0.3">
      <c r="A635" s="13"/>
      <c r="B635" s="13"/>
      <c r="C635" s="13"/>
      <c r="F635" s="180"/>
      <c r="I635" s="177"/>
      <c r="J635" s="42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</row>
    <row r="636" spans="1:66" ht="12.75" customHeight="1" x14ac:dyDescent="0.3">
      <c r="A636" s="13"/>
      <c r="B636" s="13"/>
      <c r="C636" s="13"/>
      <c r="F636" s="180"/>
      <c r="I636" s="177"/>
      <c r="J636" s="42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</row>
    <row r="637" spans="1:66" ht="12.75" customHeight="1" x14ac:dyDescent="0.3">
      <c r="A637" s="13"/>
      <c r="B637" s="13"/>
      <c r="C637" s="13"/>
      <c r="F637" s="180"/>
      <c r="I637" s="177"/>
      <c r="J637" s="42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</row>
    <row r="638" spans="1:66" ht="12.75" customHeight="1" x14ac:dyDescent="0.3">
      <c r="A638" s="13"/>
      <c r="B638" s="13"/>
      <c r="C638" s="13"/>
      <c r="F638" s="180"/>
      <c r="I638" s="177"/>
      <c r="J638" s="42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</row>
    <row r="639" spans="1:66" ht="12.75" customHeight="1" x14ac:dyDescent="0.3">
      <c r="A639" s="13"/>
      <c r="B639" s="13"/>
      <c r="C639" s="13"/>
      <c r="F639" s="180"/>
      <c r="I639" s="177"/>
      <c r="J639" s="42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</row>
    <row r="640" spans="1:66" ht="12.75" customHeight="1" x14ac:dyDescent="0.3">
      <c r="A640" s="13"/>
      <c r="B640" s="13"/>
      <c r="C640" s="13"/>
      <c r="F640" s="180"/>
      <c r="I640" s="177"/>
      <c r="J640" s="42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</row>
    <row r="641" spans="1:66" ht="12.75" customHeight="1" x14ac:dyDescent="0.3">
      <c r="A641" s="13"/>
      <c r="B641" s="13"/>
      <c r="C641" s="13"/>
      <c r="F641" s="180"/>
      <c r="I641" s="177"/>
      <c r="J641" s="42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</row>
    <row r="642" spans="1:66" ht="12.75" customHeight="1" x14ac:dyDescent="0.3">
      <c r="A642" s="13"/>
      <c r="B642" s="13"/>
      <c r="C642" s="13"/>
      <c r="F642" s="180"/>
      <c r="I642" s="177"/>
      <c r="J642" s="42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</row>
    <row r="643" spans="1:66" ht="12.75" customHeight="1" x14ac:dyDescent="0.3">
      <c r="A643" s="13"/>
      <c r="B643" s="13"/>
      <c r="C643" s="13"/>
      <c r="F643" s="180"/>
      <c r="I643" s="177"/>
      <c r="J643" s="42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</row>
    <row r="644" spans="1:66" ht="12.75" customHeight="1" x14ac:dyDescent="0.3">
      <c r="A644" s="13"/>
      <c r="B644" s="13"/>
      <c r="C644" s="13"/>
      <c r="F644" s="180"/>
      <c r="I644" s="177"/>
      <c r="J644" s="42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</row>
    <row r="645" spans="1:66" ht="12.75" customHeight="1" x14ac:dyDescent="0.3">
      <c r="A645" s="13"/>
      <c r="B645" s="13"/>
      <c r="C645" s="13"/>
      <c r="F645" s="180"/>
      <c r="I645" s="177"/>
      <c r="J645" s="42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</row>
    <row r="646" spans="1:66" ht="12.75" customHeight="1" x14ac:dyDescent="0.3">
      <c r="A646" s="13"/>
      <c r="B646" s="13"/>
      <c r="C646" s="13"/>
      <c r="F646" s="180"/>
      <c r="I646" s="177"/>
      <c r="J646" s="42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</row>
    <row r="647" spans="1:66" ht="12.75" customHeight="1" x14ac:dyDescent="0.3">
      <c r="A647" s="13"/>
      <c r="B647" s="13"/>
      <c r="C647" s="13"/>
      <c r="F647" s="180"/>
      <c r="I647" s="177"/>
      <c r="J647" s="42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</row>
    <row r="648" spans="1:66" ht="12.75" customHeight="1" x14ac:dyDescent="0.3">
      <c r="A648" s="13"/>
      <c r="B648" s="13"/>
      <c r="C648" s="13"/>
      <c r="F648" s="180"/>
      <c r="I648" s="177"/>
      <c r="J648" s="42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</row>
    <row r="649" spans="1:66" ht="12.75" customHeight="1" x14ac:dyDescent="0.3">
      <c r="A649" s="13"/>
      <c r="B649" s="13"/>
      <c r="C649" s="13"/>
      <c r="F649" s="180"/>
      <c r="I649" s="177"/>
      <c r="J649" s="42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</row>
    <row r="650" spans="1:66" ht="12.75" customHeight="1" x14ac:dyDescent="0.3">
      <c r="A650" s="13"/>
      <c r="B650" s="13"/>
      <c r="C650" s="13"/>
      <c r="F650" s="180"/>
      <c r="I650" s="177"/>
      <c r="J650" s="42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</row>
    <row r="651" spans="1:66" ht="12.75" customHeight="1" x14ac:dyDescent="0.3">
      <c r="A651" s="13"/>
      <c r="B651" s="13"/>
      <c r="C651" s="13"/>
      <c r="F651" s="180"/>
      <c r="I651" s="177"/>
      <c r="J651" s="42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</row>
    <row r="652" spans="1:66" ht="12.75" customHeight="1" x14ac:dyDescent="0.3">
      <c r="A652" s="13"/>
      <c r="B652" s="13"/>
      <c r="C652" s="13"/>
      <c r="F652" s="180"/>
      <c r="I652" s="177"/>
      <c r="J652" s="42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</row>
    <row r="653" spans="1:66" ht="12.75" customHeight="1" x14ac:dyDescent="0.3">
      <c r="A653" s="13"/>
      <c r="B653" s="13"/>
      <c r="C653" s="13"/>
      <c r="F653" s="180"/>
      <c r="I653" s="177"/>
      <c r="J653" s="42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</row>
    <row r="654" spans="1:66" ht="12.75" customHeight="1" x14ac:dyDescent="0.3">
      <c r="A654" s="13"/>
      <c r="B654" s="13"/>
      <c r="C654" s="13"/>
      <c r="F654" s="180"/>
      <c r="I654" s="177"/>
      <c r="J654" s="42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</row>
    <row r="655" spans="1:66" ht="12.75" customHeight="1" x14ac:dyDescent="0.3">
      <c r="A655" s="13"/>
      <c r="B655" s="13"/>
      <c r="C655" s="13"/>
      <c r="F655" s="180"/>
      <c r="I655" s="177"/>
      <c r="J655" s="42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</row>
    <row r="656" spans="1:66" ht="12.75" customHeight="1" x14ac:dyDescent="0.3">
      <c r="A656" s="13"/>
      <c r="B656" s="13"/>
      <c r="C656" s="13"/>
      <c r="F656" s="180"/>
      <c r="I656" s="177"/>
      <c r="J656" s="42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</row>
    <row r="657" spans="1:66" ht="12.75" customHeight="1" x14ac:dyDescent="0.3">
      <c r="A657" s="13"/>
      <c r="B657" s="13"/>
      <c r="C657" s="13"/>
      <c r="F657" s="180"/>
      <c r="I657" s="177"/>
      <c r="J657" s="42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</row>
    <row r="658" spans="1:66" ht="12.75" customHeight="1" x14ac:dyDescent="0.3">
      <c r="A658" s="13"/>
      <c r="B658" s="13"/>
      <c r="C658" s="13"/>
      <c r="F658" s="180"/>
      <c r="I658" s="177"/>
      <c r="J658" s="42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</row>
    <row r="659" spans="1:66" ht="12.75" customHeight="1" x14ac:dyDescent="0.3">
      <c r="A659" s="13"/>
      <c r="B659" s="13"/>
      <c r="C659" s="13"/>
      <c r="F659" s="180"/>
      <c r="I659" s="177"/>
      <c r="J659" s="42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</row>
    <row r="660" spans="1:66" ht="12.75" customHeight="1" x14ac:dyDescent="0.3">
      <c r="A660" s="13"/>
      <c r="B660" s="13"/>
      <c r="C660" s="13"/>
      <c r="F660" s="180"/>
      <c r="I660" s="177"/>
      <c r="J660" s="42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</row>
    <row r="661" spans="1:66" ht="12.75" customHeight="1" x14ac:dyDescent="0.3">
      <c r="A661" s="13"/>
      <c r="B661" s="13"/>
      <c r="C661" s="13"/>
      <c r="F661" s="180"/>
      <c r="I661" s="177"/>
      <c r="J661" s="42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</row>
    <row r="662" spans="1:66" ht="12.75" customHeight="1" x14ac:dyDescent="0.3">
      <c r="A662" s="13"/>
      <c r="B662" s="13"/>
      <c r="C662" s="13"/>
      <c r="F662" s="180"/>
      <c r="I662" s="177"/>
      <c r="J662" s="42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</row>
    <row r="663" spans="1:66" ht="12.75" customHeight="1" x14ac:dyDescent="0.3">
      <c r="A663" s="13"/>
      <c r="B663" s="13"/>
      <c r="C663" s="13"/>
      <c r="F663" s="180"/>
      <c r="I663" s="177"/>
      <c r="J663" s="42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</row>
    <row r="664" spans="1:66" ht="12.75" customHeight="1" x14ac:dyDescent="0.3">
      <c r="A664" s="13"/>
      <c r="B664" s="13"/>
      <c r="C664" s="13"/>
      <c r="F664" s="180"/>
      <c r="I664" s="177"/>
      <c r="J664" s="42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</row>
    <row r="665" spans="1:66" ht="12.75" customHeight="1" x14ac:dyDescent="0.3">
      <c r="A665" s="13"/>
      <c r="B665" s="13"/>
      <c r="C665" s="13"/>
      <c r="F665" s="180"/>
      <c r="I665" s="177"/>
      <c r="J665" s="42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</row>
    <row r="666" spans="1:66" ht="12.75" customHeight="1" x14ac:dyDescent="0.3">
      <c r="A666" s="13"/>
      <c r="B666" s="13"/>
      <c r="C666" s="13"/>
      <c r="F666" s="180"/>
      <c r="I666" s="177"/>
      <c r="J666" s="42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</row>
    <row r="667" spans="1:66" ht="12.75" customHeight="1" x14ac:dyDescent="0.3">
      <c r="A667" s="13"/>
      <c r="B667" s="13"/>
      <c r="C667" s="13"/>
      <c r="F667" s="180"/>
      <c r="I667" s="177"/>
      <c r="J667" s="42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</row>
    <row r="668" spans="1:66" ht="12.75" customHeight="1" x14ac:dyDescent="0.3">
      <c r="A668" s="13"/>
      <c r="B668" s="13"/>
      <c r="C668" s="13"/>
      <c r="F668" s="180"/>
      <c r="I668" s="177"/>
      <c r="J668" s="42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</row>
    <row r="669" spans="1:66" ht="12.75" customHeight="1" x14ac:dyDescent="0.3">
      <c r="A669" s="13"/>
      <c r="B669" s="13"/>
      <c r="C669" s="13"/>
      <c r="F669" s="180"/>
      <c r="I669" s="177"/>
      <c r="J669" s="42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</row>
    <row r="670" spans="1:66" ht="12.75" customHeight="1" x14ac:dyDescent="0.3">
      <c r="A670" s="13"/>
      <c r="B670" s="13"/>
      <c r="C670" s="13"/>
      <c r="F670" s="180"/>
      <c r="I670" s="177"/>
      <c r="J670" s="42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</row>
    <row r="671" spans="1:66" ht="12.75" customHeight="1" x14ac:dyDescent="0.3">
      <c r="A671" s="13"/>
      <c r="B671" s="13"/>
      <c r="C671" s="13"/>
      <c r="F671" s="180"/>
      <c r="I671" s="177"/>
      <c r="J671" s="42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</row>
    <row r="672" spans="1:66" ht="12.75" customHeight="1" x14ac:dyDescent="0.3">
      <c r="A672" s="13"/>
      <c r="B672" s="13"/>
      <c r="C672" s="13"/>
      <c r="F672" s="180"/>
      <c r="I672" s="177"/>
      <c r="J672" s="42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</row>
    <row r="673" spans="1:66" ht="12.75" customHeight="1" x14ac:dyDescent="0.3">
      <c r="A673" s="13"/>
      <c r="B673" s="13"/>
      <c r="C673" s="13"/>
      <c r="F673" s="180"/>
      <c r="I673" s="177"/>
      <c r="J673" s="42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</row>
    <row r="674" spans="1:66" ht="12.75" customHeight="1" x14ac:dyDescent="0.3">
      <c r="A674" s="13"/>
      <c r="B674" s="13"/>
      <c r="C674" s="13"/>
      <c r="F674" s="180"/>
      <c r="I674" s="177"/>
      <c r="J674" s="42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</row>
    <row r="675" spans="1:66" ht="12.75" customHeight="1" x14ac:dyDescent="0.3">
      <c r="A675" s="13"/>
      <c r="B675" s="13"/>
      <c r="C675" s="13"/>
      <c r="F675" s="180"/>
      <c r="I675" s="177"/>
      <c r="J675" s="42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</row>
    <row r="676" spans="1:66" ht="12.75" customHeight="1" x14ac:dyDescent="0.3">
      <c r="A676" s="13"/>
      <c r="B676" s="13"/>
      <c r="C676" s="13"/>
      <c r="F676" s="180"/>
      <c r="I676" s="177"/>
      <c r="J676" s="42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</row>
    <row r="677" spans="1:66" ht="12.75" customHeight="1" x14ac:dyDescent="0.3">
      <c r="A677" s="13"/>
      <c r="B677" s="13"/>
      <c r="C677" s="13"/>
      <c r="F677" s="180"/>
      <c r="I677" s="177"/>
      <c r="J677" s="42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</row>
    <row r="678" spans="1:66" ht="12.75" customHeight="1" x14ac:dyDescent="0.3">
      <c r="A678" s="13"/>
      <c r="B678" s="13"/>
      <c r="C678" s="13"/>
      <c r="F678" s="180"/>
      <c r="I678" s="177"/>
      <c r="J678" s="42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</row>
    <row r="679" spans="1:66" ht="12.75" customHeight="1" x14ac:dyDescent="0.3">
      <c r="A679" s="13"/>
      <c r="B679" s="13"/>
      <c r="C679" s="13"/>
      <c r="F679" s="180"/>
      <c r="I679" s="177"/>
      <c r="J679" s="42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</row>
    <row r="680" spans="1:66" ht="12.75" customHeight="1" x14ac:dyDescent="0.3">
      <c r="A680" s="13"/>
      <c r="B680" s="13"/>
      <c r="C680" s="13"/>
      <c r="F680" s="180"/>
      <c r="I680" s="177"/>
      <c r="J680" s="42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</row>
    <row r="681" spans="1:66" ht="12.75" customHeight="1" x14ac:dyDescent="0.3">
      <c r="A681" s="13"/>
      <c r="B681" s="13"/>
      <c r="C681" s="13"/>
      <c r="F681" s="180"/>
      <c r="I681" s="177"/>
      <c r="J681" s="42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</row>
    <row r="682" spans="1:66" ht="12.75" customHeight="1" x14ac:dyDescent="0.3">
      <c r="A682" s="13"/>
      <c r="B682" s="13"/>
      <c r="C682" s="13"/>
      <c r="F682" s="180"/>
      <c r="I682" s="177"/>
      <c r="J682" s="42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</row>
    <row r="683" spans="1:66" ht="12.75" customHeight="1" x14ac:dyDescent="0.3">
      <c r="A683" s="13"/>
      <c r="B683" s="13"/>
      <c r="C683" s="13"/>
      <c r="F683" s="180"/>
      <c r="I683" s="177"/>
      <c r="J683" s="42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</row>
    <row r="684" spans="1:66" ht="12.75" customHeight="1" x14ac:dyDescent="0.3">
      <c r="A684" s="13"/>
      <c r="B684" s="13"/>
      <c r="C684" s="13"/>
      <c r="F684" s="180"/>
      <c r="I684" s="177"/>
      <c r="J684" s="42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</row>
    <row r="685" spans="1:66" ht="12.75" customHeight="1" x14ac:dyDescent="0.3">
      <c r="A685" s="13"/>
      <c r="B685" s="13"/>
      <c r="C685" s="13"/>
      <c r="F685" s="180"/>
      <c r="I685" s="177"/>
      <c r="J685" s="42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</row>
    <row r="686" spans="1:66" ht="12.75" customHeight="1" x14ac:dyDescent="0.3">
      <c r="A686" s="13"/>
      <c r="B686" s="13"/>
      <c r="C686" s="13"/>
      <c r="F686" s="180"/>
      <c r="I686" s="177"/>
      <c r="J686" s="42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</row>
    <row r="687" spans="1:66" ht="12.75" customHeight="1" x14ac:dyDescent="0.3">
      <c r="A687" s="13"/>
      <c r="B687" s="13"/>
      <c r="C687" s="13"/>
      <c r="F687" s="180"/>
      <c r="I687" s="177"/>
      <c r="J687" s="42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</row>
    <row r="688" spans="1:66" ht="12.75" customHeight="1" x14ac:dyDescent="0.3">
      <c r="A688" s="13"/>
      <c r="B688" s="13"/>
      <c r="C688" s="13"/>
      <c r="F688" s="180"/>
      <c r="I688" s="177"/>
      <c r="J688" s="42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</row>
    <row r="689" spans="1:66" ht="12.75" customHeight="1" x14ac:dyDescent="0.3">
      <c r="A689" s="13"/>
      <c r="B689" s="13"/>
      <c r="C689" s="13"/>
      <c r="F689" s="180"/>
      <c r="I689" s="177"/>
      <c r="J689" s="42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</row>
    <row r="690" spans="1:66" ht="12.75" customHeight="1" x14ac:dyDescent="0.3">
      <c r="A690" s="13"/>
      <c r="B690" s="13"/>
      <c r="C690" s="13"/>
      <c r="F690" s="180"/>
      <c r="I690" s="177"/>
      <c r="J690" s="42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</row>
    <row r="691" spans="1:66" ht="12.75" customHeight="1" x14ac:dyDescent="0.3">
      <c r="A691" s="13"/>
      <c r="B691" s="13"/>
      <c r="C691" s="13"/>
      <c r="F691" s="180"/>
      <c r="I691" s="177"/>
      <c r="J691" s="42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</row>
    <row r="692" spans="1:66" ht="12.75" customHeight="1" x14ac:dyDescent="0.3">
      <c r="A692" s="13"/>
      <c r="B692" s="13"/>
      <c r="C692" s="13"/>
      <c r="F692" s="180"/>
      <c r="I692" s="177"/>
      <c r="J692" s="42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</row>
    <row r="693" spans="1:66" ht="12.75" customHeight="1" x14ac:dyDescent="0.3">
      <c r="A693" s="13"/>
      <c r="B693" s="13"/>
      <c r="C693" s="13"/>
      <c r="F693" s="180"/>
      <c r="I693" s="177"/>
      <c r="J693" s="42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</row>
    <row r="694" spans="1:66" ht="12.75" customHeight="1" x14ac:dyDescent="0.3">
      <c r="A694" s="13"/>
      <c r="B694" s="13"/>
      <c r="C694" s="13"/>
      <c r="F694" s="180"/>
      <c r="I694" s="177"/>
      <c r="J694" s="42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</row>
    <row r="695" spans="1:66" ht="12.75" customHeight="1" x14ac:dyDescent="0.3">
      <c r="A695" s="13"/>
      <c r="B695" s="13"/>
      <c r="C695" s="13"/>
      <c r="F695" s="180"/>
      <c r="I695" s="177"/>
      <c r="J695" s="42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</row>
    <row r="696" spans="1:66" ht="12.75" customHeight="1" x14ac:dyDescent="0.3">
      <c r="A696" s="13"/>
      <c r="B696" s="13"/>
      <c r="C696" s="13"/>
      <c r="F696" s="180"/>
      <c r="I696" s="177"/>
      <c r="J696" s="42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</row>
    <row r="697" spans="1:66" ht="12.75" customHeight="1" x14ac:dyDescent="0.3">
      <c r="A697" s="13"/>
      <c r="B697" s="13"/>
      <c r="C697" s="13"/>
      <c r="F697" s="180"/>
      <c r="I697" s="177"/>
      <c r="J697" s="42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</row>
    <row r="698" spans="1:66" ht="12.75" customHeight="1" x14ac:dyDescent="0.3">
      <c r="A698" s="13"/>
      <c r="B698" s="13"/>
      <c r="C698" s="13"/>
      <c r="F698" s="180"/>
      <c r="I698" s="177"/>
      <c r="J698" s="42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</row>
    <row r="699" spans="1:66" ht="12.75" customHeight="1" x14ac:dyDescent="0.3">
      <c r="A699" s="13"/>
      <c r="B699" s="13"/>
      <c r="C699" s="13"/>
      <c r="F699" s="180"/>
      <c r="I699" s="177"/>
      <c r="J699" s="42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</row>
    <row r="700" spans="1:66" ht="12.75" customHeight="1" x14ac:dyDescent="0.3">
      <c r="A700" s="13"/>
      <c r="B700" s="13"/>
      <c r="C700" s="13"/>
      <c r="F700" s="180"/>
      <c r="I700" s="177"/>
      <c r="J700" s="42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</row>
    <row r="701" spans="1:66" ht="12.75" customHeight="1" x14ac:dyDescent="0.3">
      <c r="A701" s="13"/>
      <c r="B701" s="13"/>
      <c r="C701" s="13"/>
      <c r="F701" s="180"/>
      <c r="I701" s="177"/>
      <c r="J701" s="42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</row>
    <row r="702" spans="1:66" ht="12.75" customHeight="1" x14ac:dyDescent="0.3">
      <c r="A702" s="13"/>
      <c r="B702" s="13"/>
      <c r="C702" s="13"/>
      <c r="F702" s="180"/>
      <c r="I702" s="177"/>
      <c r="J702" s="42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</row>
    <row r="703" spans="1:66" ht="12.75" customHeight="1" x14ac:dyDescent="0.3">
      <c r="A703" s="13"/>
      <c r="B703" s="13"/>
      <c r="C703" s="13"/>
      <c r="F703" s="180"/>
      <c r="I703" s="177"/>
      <c r="J703" s="42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</row>
    <row r="704" spans="1:66" ht="12.75" customHeight="1" x14ac:dyDescent="0.3">
      <c r="A704" s="13"/>
      <c r="B704" s="13"/>
      <c r="C704" s="13"/>
      <c r="F704" s="180"/>
      <c r="I704" s="177"/>
      <c r="J704" s="42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</row>
    <row r="705" spans="1:66" ht="12.75" customHeight="1" x14ac:dyDescent="0.3">
      <c r="A705" s="13"/>
      <c r="B705" s="13"/>
      <c r="C705" s="13"/>
      <c r="F705" s="180"/>
      <c r="I705" s="177"/>
      <c r="J705" s="42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</row>
    <row r="706" spans="1:66" ht="12.75" customHeight="1" x14ac:dyDescent="0.3">
      <c r="A706" s="13"/>
      <c r="B706" s="13"/>
      <c r="C706" s="13"/>
      <c r="F706" s="180"/>
      <c r="I706" s="177"/>
      <c r="J706" s="42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</row>
    <row r="707" spans="1:66" ht="12.75" customHeight="1" x14ac:dyDescent="0.3">
      <c r="A707" s="13"/>
      <c r="B707" s="13"/>
      <c r="C707" s="13"/>
      <c r="F707" s="180"/>
      <c r="I707" s="177"/>
      <c r="J707" s="42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</row>
    <row r="708" spans="1:66" ht="12.75" customHeight="1" x14ac:dyDescent="0.3">
      <c r="A708" s="13"/>
      <c r="B708" s="13"/>
      <c r="C708" s="13"/>
      <c r="F708" s="180"/>
      <c r="I708" s="177"/>
      <c r="J708" s="42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</row>
    <row r="709" spans="1:66" ht="12.75" customHeight="1" x14ac:dyDescent="0.3">
      <c r="A709" s="13"/>
      <c r="B709" s="13"/>
      <c r="C709" s="13"/>
      <c r="F709" s="180"/>
      <c r="I709" s="177"/>
      <c r="J709" s="42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</row>
    <row r="710" spans="1:66" ht="12.75" customHeight="1" x14ac:dyDescent="0.3">
      <c r="A710" s="13"/>
      <c r="B710" s="13"/>
      <c r="C710" s="13"/>
      <c r="F710" s="180"/>
      <c r="I710" s="177"/>
      <c r="J710" s="42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</row>
    <row r="711" spans="1:66" ht="12.75" customHeight="1" x14ac:dyDescent="0.3">
      <c r="A711" s="13"/>
      <c r="B711" s="13"/>
      <c r="C711" s="13"/>
      <c r="F711" s="180"/>
      <c r="I711" s="177"/>
      <c r="J711" s="42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</row>
    <row r="712" spans="1:66" ht="12.75" customHeight="1" x14ac:dyDescent="0.3">
      <c r="A712" s="13"/>
      <c r="B712" s="13"/>
      <c r="C712" s="13"/>
      <c r="F712" s="180"/>
      <c r="I712" s="177"/>
      <c r="J712" s="42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</row>
    <row r="713" spans="1:66" ht="12.75" customHeight="1" x14ac:dyDescent="0.3">
      <c r="A713" s="13"/>
      <c r="B713" s="13"/>
      <c r="C713" s="13"/>
      <c r="F713" s="180"/>
      <c r="I713" s="177"/>
      <c r="J713" s="42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</row>
    <row r="714" spans="1:66" ht="12.75" customHeight="1" x14ac:dyDescent="0.3">
      <c r="A714" s="13"/>
      <c r="B714" s="13"/>
      <c r="C714" s="13"/>
      <c r="F714" s="180"/>
      <c r="I714" s="177"/>
      <c r="J714" s="42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</row>
    <row r="715" spans="1:66" ht="12.75" customHeight="1" x14ac:dyDescent="0.3">
      <c r="A715" s="13"/>
      <c r="B715" s="13"/>
      <c r="C715" s="13"/>
      <c r="F715" s="180"/>
      <c r="I715" s="177"/>
      <c r="J715" s="42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</row>
    <row r="716" spans="1:66" ht="12.75" customHeight="1" x14ac:dyDescent="0.3">
      <c r="A716" s="13"/>
      <c r="B716" s="13"/>
      <c r="C716" s="13"/>
      <c r="F716" s="180"/>
      <c r="I716" s="177"/>
      <c r="J716" s="42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</row>
    <row r="717" spans="1:66" ht="12.75" customHeight="1" x14ac:dyDescent="0.3">
      <c r="A717" s="13"/>
      <c r="B717" s="13"/>
      <c r="C717" s="13"/>
      <c r="F717" s="180"/>
      <c r="I717" s="177"/>
      <c r="J717" s="42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</row>
    <row r="718" spans="1:66" ht="12.75" customHeight="1" x14ac:dyDescent="0.3">
      <c r="A718" s="13"/>
      <c r="B718" s="13"/>
      <c r="C718" s="13"/>
      <c r="F718" s="180"/>
      <c r="I718" s="177"/>
      <c r="J718" s="42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</row>
    <row r="719" spans="1:66" ht="12.75" customHeight="1" x14ac:dyDescent="0.3">
      <c r="A719" s="13"/>
      <c r="B719" s="13"/>
      <c r="C719" s="13"/>
      <c r="F719" s="180"/>
      <c r="I719" s="177"/>
      <c r="J719" s="42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</row>
    <row r="720" spans="1:66" ht="12.75" customHeight="1" x14ac:dyDescent="0.3">
      <c r="A720" s="13"/>
      <c r="B720" s="13"/>
      <c r="C720" s="13"/>
      <c r="F720" s="180"/>
      <c r="I720" s="177"/>
      <c r="J720" s="42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</row>
    <row r="721" spans="1:66" ht="12.75" customHeight="1" x14ac:dyDescent="0.3">
      <c r="A721" s="13"/>
      <c r="B721" s="13"/>
      <c r="C721" s="13"/>
      <c r="F721" s="180"/>
      <c r="I721" s="177"/>
      <c r="J721" s="42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</row>
    <row r="722" spans="1:66" ht="12.75" customHeight="1" x14ac:dyDescent="0.3">
      <c r="A722" s="13"/>
      <c r="B722" s="13"/>
      <c r="C722" s="13"/>
      <c r="F722" s="180"/>
      <c r="I722" s="177"/>
      <c r="J722" s="42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</row>
    <row r="723" spans="1:66" ht="12.75" customHeight="1" x14ac:dyDescent="0.3">
      <c r="A723" s="13"/>
      <c r="B723" s="13"/>
      <c r="C723" s="13"/>
      <c r="F723" s="180"/>
      <c r="I723" s="177"/>
      <c r="J723" s="42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</row>
    <row r="724" spans="1:66" ht="12.75" customHeight="1" x14ac:dyDescent="0.3">
      <c r="A724" s="13"/>
      <c r="B724" s="13"/>
      <c r="C724" s="13"/>
      <c r="F724" s="180"/>
      <c r="I724" s="177"/>
      <c r="J724" s="42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</row>
    <row r="725" spans="1:66" ht="12.75" customHeight="1" x14ac:dyDescent="0.3">
      <c r="A725" s="13"/>
      <c r="B725" s="13"/>
      <c r="C725" s="13"/>
      <c r="F725" s="180"/>
      <c r="I725" s="177"/>
      <c r="J725" s="42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</row>
    <row r="726" spans="1:66" ht="12.75" customHeight="1" x14ac:dyDescent="0.3">
      <c r="A726" s="13"/>
      <c r="B726" s="13"/>
      <c r="C726" s="13"/>
      <c r="F726" s="180"/>
      <c r="I726" s="177"/>
      <c r="J726" s="42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</row>
    <row r="727" spans="1:66" ht="12.75" customHeight="1" x14ac:dyDescent="0.3">
      <c r="A727" s="13"/>
      <c r="B727" s="13"/>
      <c r="C727" s="13"/>
      <c r="F727" s="180"/>
      <c r="I727" s="177"/>
      <c r="J727" s="42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</row>
    <row r="728" spans="1:66" ht="12.75" customHeight="1" x14ac:dyDescent="0.3">
      <c r="A728" s="13"/>
      <c r="B728" s="13"/>
      <c r="C728" s="13"/>
      <c r="F728" s="180"/>
      <c r="I728" s="177"/>
      <c r="J728" s="42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</row>
    <row r="729" spans="1:66" ht="12.75" customHeight="1" x14ac:dyDescent="0.3">
      <c r="A729" s="13"/>
      <c r="B729" s="13"/>
      <c r="C729" s="13"/>
      <c r="F729" s="180"/>
      <c r="I729" s="177"/>
      <c r="J729" s="42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</row>
    <row r="730" spans="1:66" ht="12.75" customHeight="1" x14ac:dyDescent="0.3">
      <c r="A730" s="13"/>
      <c r="B730" s="13"/>
      <c r="C730" s="13"/>
      <c r="F730" s="180"/>
      <c r="I730" s="177"/>
      <c r="J730" s="42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</row>
    <row r="731" spans="1:66" ht="12.75" customHeight="1" x14ac:dyDescent="0.3">
      <c r="A731" s="13"/>
      <c r="B731" s="13"/>
      <c r="C731" s="13"/>
      <c r="F731" s="180"/>
      <c r="I731" s="177"/>
      <c r="J731" s="42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</row>
    <row r="732" spans="1:66" ht="12.75" customHeight="1" x14ac:dyDescent="0.3">
      <c r="A732" s="13"/>
      <c r="B732" s="13"/>
      <c r="C732" s="13"/>
      <c r="F732" s="180"/>
      <c r="I732" s="177"/>
      <c r="J732" s="42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</row>
    <row r="733" spans="1:66" ht="12.75" customHeight="1" x14ac:dyDescent="0.3">
      <c r="A733" s="13"/>
      <c r="B733" s="13"/>
      <c r="C733" s="13"/>
      <c r="F733" s="180"/>
      <c r="I733" s="177"/>
      <c r="J733" s="42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</row>
    <row r="734" spans="1:66" ht="12.75" customHeight="1" x14ac:dyDescent="0.3">
      <c r="A734" s="13"/>
      <c r="B734" s="13"/>
      <c r="C734" s="13"/>
      <c r="F734" s="180"/>
      <c r="I734" s="177"/>
      <c r="J734" s="42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</row>
    <row r="735" spans="1:66" ht="12.75" customHeight="1" x14ac:dyDescent="0.3">
      <c r="A735" s="13"/>
      <c r="B735" s="13"/>
      <c r="C735" s="13"/>
      <c r="F735" s="180"/>
      <c r="I735" s="177"/>
      <c r="J735" s="42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</row>
    <row r="736" spans="1:66" ht="12.75" customHeight="1" x14ac:dyDescent="0.3">
      <c r="A736" s="13"/>
      <c r="B736" s="13"/>
      <c r="C736" s="13"/>
      <c r="F736" s="180"/>
      <c r="I736" s="177"/>
      <c r="J736" s="42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</row>
    <row r="737" spans="1:66" ht="12.75" customHeight="1" x14ac:dyDescent="0.3">
      <c r="A737" s="13"/>
      <c r="B737" s="13"/>
      <c r="C737" s="13"/>
      <c r="F737" s="180"/>
      <c r="I737" s="177"/>
      <c r="J737" s="42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</row>
    <row r="738" spans="1:66" ht="12.75" customHeight="1" x14ac:dyDescent="0.3">
      <c r="A738" s="13"/>
      <c r="B738" s="13"/>
      <c r="C738" s="13"/>
      <c r="F738" s="180"/>
      <c r="I738" s="177"/>
      <c r="J738" s="42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</row>
    <row r="739" spans="1:66" ht="12.75" customHeight="1" x14ac:dyDescent="0.3">
      <c r="A739" s="13"/>
      <c r="B739" s="13"/>
      <c r="C739" s="13"/>
      <c r="F739" s="180"/>
      <c r="I739" s="177"/>
      <c r="J739" s="42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</row>
    <row r="740" spans="1:66" ht="12.75" customHeight="1" x14ac:dyDescent="0.3">
      <c r="A740" s="13"/>
      <c r="B740" s="13"/>
      <c r="C740" s="13"/>
      <c r="F740" s="180"/>
      <c r="I740" s="177"/>
      <c r="J740" s="42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</row>
    <row r="741" spans="1:66" ht="12.75" customHeight="1" x14ac:dyDescent="0.3">
      <c r="A741" s="13"/>
      <c r="B741" s="13"/>
      <c r="C741" s="13"/>
      <c r="F741" s="180"/>
      <c r="I741" s="177"/>
      <c r="J741" s="42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</row>
    <row r="742" spans="1:66" ht="12.75" customHeight="1" x14ac:dyDescent="0.3">
      <c r="A742" s="13"/>
      <c r="B742" s="13"/>
      <c r="C742" s="13"/>
      <c r="F742" s="180"/>
      <c r="I742" s="177"/>
      <c r="J742" s="42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</row>
    <row r="743" spans="1:66" ht="12.75" customHeight="1" x14ac:dyDescent="0.3">
      <c r="A743" s="13"/>
      <c r="B743" s="13"/>
      <c r="C743" s="13"/>
      <c r="F743" s="180"/>
      <c r="I743" s="177"/>
      <c r="J743" s="42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</row>
    <row r="744" spans="1:66" ht="12.75" customHeight="1" x14ac:dyDescent="0.3">
      <c r="A744" s="13"/>
      <c r="B744" s="13"/>
      <c r="C744" s="13"/>
      <c r="F744" s="180"/>
      <c r="I744" s="177"/>
      <c r="J744" s="42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</row>
    <row r="745" spans="1:66" ht="12.75" customHeight="1" x14ac:dyDescent="0.3">
      <c r="A745" s="13"/>
      <c r="B745" s="13"/>
      <c r="C745" s="13"/>
      <c r="F745" s="180"/>
      <c r="I745" s="177"/>
      <c r="J745" s="42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</row>
    <row r="746" spans="1:66" ht="12.75" customHeight="1" x14ac:dyDescent="0.3">
      <c r="A746" s="13"/>
      <c r="B746" s="13"/>
      <c r="C746" s="13"/>
      <c r="F746" s="180"/>
      <c r="I746" s="177"/>
      <c r="J746" s="42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</row>
    <row r="747" spans="1:66" ht="12.75" customHeight="1" x14ac:dyDescent="0.3">
      <c r="A747" s="13"/>
      <c r="B747" s="13"/>
      <c r="C747" s="13"/>
      <c r="F747" s="180"/>
      <c r="I747" s="177"/>
      <c r="J747" s="42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</row>
    <row r="748" spans="1:66" ht="12.75" customHeight="1" x14ac:dyDescent="0.3">
      <c r="A748" s="13"/>
      <c r="B748" s="13"/>
      <c r="C748" s="13"/>
      <c r="F748" s="180"/>
      <c r="I748" s="177"/>
      <c r="J748" s="42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</row>
    <row r="749" spans="1:66" ht="12.75" customHeight="1" x14ac:dyDescent="0.3">
      <c r="A749" s="13"/>
      <c r="B749" s="13"/>
      <c r="C749" s="13"/>
      <c r="F749" s="180"/>
      <c r="I749" s="177"/>
      <c r="J749" s="42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</row>
    <row r="750" spans="1:66" ht="12.75" customHeight="1" x14ac:dyDescent="0.3">
      <c r="A750" s="13"/>
      <c r="B750" s="13"/>
      <c r="C750" s="13"/>
      <c r="F750" s="180"/>
      <c r="I750" s="177"/>
      <c r="J750" s="42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</row>
    <row r="751" spans="1:66" ht="12.75" customHeight="1" x14ac:dyDescent="0.3">
      <c r="A751" s="13"/>
      <c r="B751" s="13"/>
      <c r="C751" s="13"/>
      <c r="F751" s="180"/>
      <c r="I751" s="177"/>
      <c r="J751" s="42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</row>
    <row r="752" spans="1:66" ht="12.75" customHeight="1" x14ac:dyDescent="0.3">
      <c r="A752" s="13"/>
      <c r="B752" s="13"/>
      <c r="C752" s="13"/>
      <c r="F752" s="180"/>
      <c r="I752" s="177"/>
      <c r="J752" s="42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</row>
    <row r="753" spans="1:66" ht="12.75" customHeight="1" x14ac:dyDescent="0.3">
      <c r="A753" s="13"/>
      <c r="B753" s="13"/>
      <c r="C753" s="13"/>
      <c r="F753" s="180"/>
      <c r="I753" s="177"/>
      <c r="J753" s="42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</row>
    <row r="754" spans="1:66" ht="12.75" customHeight="1" x14ac:dyDescent="0.3">
      <c r="A754" s="13"/>
      <c r="B754" s="13"/>
      <c r="C754" s="13"/>
      <c r="F754" s="180"/>
      <c r="I754" s="177"/>
      <c r="J754" s="42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</row>
    <row r="755" spans="1:66" ht="12.75" customHeight="1" x14ac:dyDescent="0.3">
      <c r="A755" s="13"/>
      <c r="B755" s="13"/>
      <c r="C755" s="13"/>
      <c r="F755" s="180"/>
      <c r="I755" s="177"/>
      <c r="J755" s="42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</row>
    <row r="756" spans="1:66" ht="12.75" customHeight="1" x14ac:dyDescent="0.3">
      <c r="A756" s="13"/>
      <c r="B756" s="13"/>
      <c r="C756" s="13"/>
      <c r="F756" s="180"/>
      <c r="I756" s="177"/>
      <c r="J756" s="42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</row>
    <row r="757" spans="1:66" ht="12.75" customHeight="1" x14ac:dyDescent="0.3">
      <c r="A757" s="13"/>
      <c r="B757" s="13"/>
      <c r="C757" s="13"/>
      <c r="F757" s="180"/>
      <c r="I757" s="177"/>
      <c r="J757" s="42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</row>
    <row r="758" spans="1:66" ht="12.75" customHeight="1" x14ac:dyDescent="0.3">
      <c r="A758" s="13"/>
      <c r="B758" s="13"/>
      <c r="C758" s="13"/>
      <c r="F758" s="180"/>
      <c r="I758" s="177"/>
      <c r="J758" s="42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</row>
    <row r="759" spans="1:66" ht="12.75" customHeight="1" x14ac:dyDescent="0.3">
      <c r="A759" s="13"/>
      <c r="B759" s="13"/>
      <c r="C759" s="13"/>
      <c r="F759" s="180"/>
      <c r="I759" s="177"/>
      <c r="J759" s="42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</row>
    <row r="760" spans="1:66" ht="12.75" customHeight="1" x14ac:dyDescent="0.3">
      <c r="A760" s="13"/>
      <c r="B760" s="13"/>
      <c r="C760" s="13"/>
      <c r="F760" s="180"/>
      <c r="I760" s="177"/>
      <c r="J760" s="42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</row>
    <row r="761" spans="1:66" ht="12.75" customHeight="1" x14ac:dyDescent="0.3">
      <c r="A761" s="13"/>
      <c r="B761" s="13"/>
      <c r="C761" s="13"/>
      <c r="F761" s="180"/>
      <c r="I761" s="177"/>
      <c r="J761" s="42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</row>
    <row r="762" spans="1:66" ht="12.75" customHeight="1" x14ac:dyDescent="0.3">
      <c r="A762" s="13"/>
      <c r="B762" s="13"/>
      <c r="C762" s="13"/>
      <c r="F762" s="180"/>
      <c r="I762" s="177"/>
      <c r="J762" s="42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</row>
    <row r="763" spans="1:66" ht="12.75" customHeight="1" x14ac:dyDescent="0.3">
      <c r="A763" s="13"/>
      <c r="B763" s="13"/>
      <c r="C763" s="13"/>
      <c r="F763" s="180"/>
      <c r="I763" s="177"/>
      <c r="J763" s="42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</row>
    <row r="764" spans="1:66" ht="12.75" customHeight="1" x14ac:dyDescent="0.3">
      <c r="A764" s="13"/>
      <c r="B764" s="13"/>
      <c r="C764" s="13"/>
      <c r="F764" s="180"/>
      <c r="I764" s="177"/>
      <c r="J764" s="42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</row>
    <row r="765" spans="1:66" ht="12.75" customHeight="1" x14ac:dyDescent="0.3">
      <c r="A765" s="13"/>
      <c r="B765" s="13"/>
      <c r="C765" s="13"/>
      <c r="F765" s="180"/>
      <c r="I765" s="177"/>
      <c r="J765" s="42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</row>
    <row r="766" spans="1:66" ht="12.75" customHeight="1" x14ac:dyDescent="0.3">
      <c r="A766" s="13"/>
      <c r="B766" s="13"/>
      <c r="C766" s="13"/>
      <c r="F766" s="180"/>
      <c r="I766" s="177"/>
      <c r="J766" s="42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</row>
    <row r="767" spans="1:66" ht="12.75" customHeight="1" x14ac:dyDescent="0.3">
      <c r="A767" s="13"/>
      <c r="B767" s="13"/>
      <c r="C767" s="13"/>
      <c r="F767" s="180"/>
      <c r="I767" s="177"/>
      <c r="J767" s="42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</row>
    <row r="768" spans="1:66" ht="12.75" customHeight="1" x14ac:dyDescent="0.3">
      <c r="A768" s="13"/>
      <c r="B768" s="13"/>
      <c r="C768" s="13"/>
      <c r="F768" s="180"/>
      <c r="I768" s="177"/>
      <c r="J768" s="42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</row>
    <row r="769" spans="1:66" ht="12.75" customHeight="1" x14ac:dyDescent="0.3">
      <c r="A769" s="13"/>
      <c r="B769" s="13"/>
      <c r="C769" s="13"/>
      <c r="F769" s="180"/>
      <c r="I769" s="177"/>
      <c r="J769" s="42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</row>
    <row r="770" spans="1:66" ht="12.75" customHeight="1" x14ac:dyDescent="0.3">
      <c r="A770" s="13"/>
      <c r="B770" s="13"/>
      <c r="C770" s="13"/>
      <c r="F770" s="180"/>
      <c r="I770" s="177"/>
      <c r="J770" s="42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</row>
    <row r="771" spans="1:66" ht="12.75" customHeight="1" x14ac:dyDescent="0.3">
      <c r="A771" s="13"/>
      <c r="B771" s="13"/>
      <c r="C771" s="13"/>
      <c r="F771" s="180"/>
      <c r="I771" s="177"/>
      <c r="J771" s="42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</row>
    <row r="772" spans="1:66" ht="12.75" customHeight="1" x14ac:dyDescent="0.3">
      <c r="A772" s="13"/>
      <c r="B772" s="13"/>
      <c r="C772" s="13"/>
      <c r="F772" s="180"/>
      <c r="I772" s="177"/>
      <c r="J772" s="42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</row>
    <row r="773" spans="1:66" ht="12.75" customHeight="1" x14ac:dyDescent="0.3">
      <c r="A773" s="13"/>
      <c r="B773" s="13"/>
      <c r="C773" s="13"/>
      <c r="F773" s="180"/>
      <c r="I773" s="177"/>
      <c r="J773" s="42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</row>
    <row r="774" spans="1:66" ht="12.75" customHeight="1" x14ac:dyDescent="0.3">
      <c r="A774" s="13"/>
      <c r="B774" s="13"/>
      <c r="C774" s="13"/>
      <c r="F774" s="180"/>
      <c r="I774" s="177"/>
      <c r="J774" s="42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</row>
    <row r="775" spans="1:66" ht="12.75" customHeight="1" x14ac:dyDescent="0.3">
      <c r="A775" s="13"/>
      <c r="B775" s="13"/>
      <c r="C775" s="13"/>
      <c r="F775" s="180"/>
      <c r="I775" s="177"/>
      <c r="J775" s="42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</row>
    <row r="776" spans="1:66" ht="12.75" customHeight="1" x14ac:dyDescent="0.3">
      <c r="A776" s="13"/>
      <c r="B776" s="13"/>
      <c r="C776" s="13"/>
      <c r="F776" s="180"/>
      <c r="I776" s="177"/>
      <c r="J776" s="42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</row>
    <row r="777" spans="1:66" ht="12.75" customHeight="1" x14ac:dyDescent="0.3">
      <c r="A777" s="13"/>
      <c r="B777" s="13"/>
      <c r="C777" s="13"/>
      <c r="F777" s="180"/>
      <c r="I777" s="177"/>
      <c r="J777" s="42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</row>
    <row r="778" spans="1:66" ht="12.75" customHeight="1" x14ac:dyDescent="0.3">
      <c r="A778" s="13"/>
      <c r="B778" s="13"/>
      <c r="C778" s="13"/>
      <c r="F778" s="180"/>
      <c r="I778" s="177"/>
      <c r="J778" s="42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</row>
    <row r="779" spans="1:66" ht="12.75" customHeight="1" x14ac:dyDescent="0.3">
      <c r="A779" s="13"/>
      <c r="B779" s="13"/>
      <c r="C779" s="13"/>
      <c r="F779" s="180"/>
      <c r="I779" s="177"/>
      <c r="J779" s="42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</row>
    <row r="780" spans="1:66" ht="12.75" customHeight="1" x14ac:dyDescent="0.3">
      <c r="A780" s="13"/>
      <c r="B780" s="13"/>
      <c r="C780" s="13"/>
      <c r="F780" s="180"/>
      <c r="I780" s="177"/>
      <c r="J780" s="42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</row>
    <row r="781" spans="1:66" ht="12.75" customHeight="1" x14ac:dyDescent="0.3">
      <c r="A781" s="13"/>
      <c r="B781" s="13"/>
      <c r="C781" s="13"/>
      <c r="F781" s="180"/>
      <c r="I781" s="177"/>
      <c r="J781" s="42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</row>
    <row r="782" spans="1:66" ht="12.75" customHeight="1" x14ac:dyDescent="0.3">
      <c r="A782" s="13"/>
      <c r="B782" s="13"/>
      <c r="C782" s="13"/>
      <c r="F782" s="180"/>
      <c r="I782" s="177"/>
      <c r="J782" s="42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</row>
    <row r="783" spans="1:66" ht="12.75" customHeight="1" x14ac:dyDescent="0.3">
      <c r="A783" s="13"/>
      <c r="B783" s="13"/>
      <c r="C783" s="13"/>
      <c r="F783" s="180"/>
      <c r="I783" s="177"/>
      <c r="J783" s="42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</row>
    <row r="784" spans="1:66" ht="12.75" customHeight="1" x14ac:dyDescent="0.3">
      <c r="A784" s="13"/>
      <c r="B784" s="13"/>
      <c r="C784" s="13"/>
      <c r="F784" s="180"/>
      <c r="I784" s="177"/>
      <c r="J784" s="42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</row>
    <row r="785" spans="1:66" ht="12.75" customHeight="1" x14ac:dyDescent="0.3">
      <c r="A785" s="13"/>
      <c r="B785" s="13"/>
      <c r="C785" s="13"/>
      <c r="F785" s="180"/>
      <c r="I785" s="177"/>
      <c r="J785" s="42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</row>
    <row r="786" spans="1:66" ht="12.75" customHeight="1" x14ac:dyDescent="0.3">
      <c r="A786" s="13"/>
      <c r="B786" s="13"/>
      <c r="C786" s="13"/>
      <c r="F786" s="180"/>
      <c r="I786" s="177"/>
      <c r="J786" s="42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</row>
    <row r="787" spans="1:66" ht="12.75" customHeight="1" x14ac:dyDescent="0.3">
      <c r="A787" s="13"/>
      <c r="B787" s="13"/>
      <c r="C787" s="13"/>
      <c r="F787" s="180"/>
      <c r="I787" s="177"/>
      <c r="J787" s="42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</row>
    <row r="788" spans="1:66" ht="12.75" customHeight="1" x14ac:dyDescent="0.3">
      <c r="A788" s="13"/>
      <c r="B788" s="13"/>
      <c r="C788" s="13"/>
      <c r="F788" s="180"/>
      <c r="I788" s="177"/>
      <c r="J788" s="42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</row>
    <row r="789" spans="1:66" ht="12.75" customHeight="1" x14ac:dyDescent="0.3">
      <c r="A789" s="13"/>
      <c r="B789" s="13"/>
      <c r="C789" s="13"/>
      <c r="F789" s="180"/>
      <c r="I789" s="177"/>
      <c r="J789" s="42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</row>
    <row r="790" spans="1:66" ht="12.75" customHeight="1" x14ac:dyDescent="0.3">
      <c r="A790" s="13"/>
      <c r="B790" s="13"/>
      <c r="C790" s="13"/>
      <c r="F790" s="180"/>
      <c r="I790" s="177"/>
      <c r="J790" s="42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</row>
    <row r="791" spans="1:66" ht="12.75" customHeight="1" x14ac:dyDescent="0.3">
      <c r="A791" s="13"/>
      <c r="B791" s="13"/>
      <c r="C791" s="13"/>
      <c r="F791" s="180"/>
      <c r="I791" s="177"/>
      <c r="J791" s="42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</row>
    <row r="792" spans="1:66" ht="12.75" customHeight="1" x14ac:dyDescent="0.3">
      <c r="A792" s="13"/>
      <c r="B792" s="13"/>
      <c r="C792" s="13"/>
      <c r="F792" s="180"/>
      <c r="I792" s="177"/>
      <c r="J792" s="42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</row>
    <row r="793" spans="1:66" ht="12.75" customHeight="1" x14ac:dyDescent="0.3">
      <c r="A793" s="13"/>
      <c r="B793" s="13"/>
      <c r="C793" s="13"/>
      <c r="F793" s="180"/>
      <c r="I793" s="177"/>
      <c r="J793" s="42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</row>
    <row r="794" spans="1:66" ht="12.75" customHeight="1" x14ac:dyDescent="0.3">
      <c r="A794" s="13"/>
      <c r="B794" s="13"/>
      <c r="C794" s="13"/>
      <c r="F794" s="180"/>
      <c r="I794" s="177"/>
      <c r="J794" s="42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</row>
    <row r="795" spans="1:66" ht="12.75" customHeight="1" x14ac:dyDescent="0.3">
      <c r="A795" s="13"/>
      <c r="B795" s="13"/>
      <c r="C795" s="13"/>
      <c r="F795" s="180"/>
      <c r="I795" s="177"/>
      <c r="J795" s="42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</row>
    <row r="796" spans="1:66" ht="12.75" customHeight="1" x14ac:dyDescent="0.3">
      <c r="A796" s="13"/>
      <c r="B796" s="13"/>
      <c r="C796" s="13"/>
      <c r="F796" s="180"/>
      <c r="I796" s="177"/>
      <c r="J796" s="42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</row>
    <row r="797" spans="1:66" ht="12.75" customHeight="1" x14ac:dyDescent="0.3">
      <c r="A797" s="13"/>
      <c r="B797" s="13"/>
      <c r="C797" s="13"/>
      <c r="F797" s="180"/>
      <c r="I797" s="177"/>
      <c r="J797" s="42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</row>
    <row r="798" spans="1:66" ht="12.75" customHeight="1" x14ac:dyDescent="0.3">
      <c r="A798" s="13"/>
      <c r="B798" s="13"/>
      <c r="C798" s="13"/>
      <c r="F798" s="180"/>
      <c r="I798" s="177"/>
      <c r="J798" s="42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</row>
    <row r="799" spans="1:66" ht="12.75" customHeight="1" x14ac:dyDescent="0.3">
      <c r="A799" s="13"/>
      <c r="B799" s="13"/>
      <c r="C799" s="13"/>
      <c r="F799" s="180"/>
      <c r="I799" s="177"/>
      <c r="J799" s="42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</row>
    <row r="800" spans="1:66" ht="12.75" customHeight="1" x14ac:dyDescent="0.3">
      <c r="A800" s="13"/>
      <c r="B800" s="13"/>
      <c r="C800" s="13"/>
      <c r="F800" s="180"/>
      <c r="I800" s="177"/>
      <c r="J800" s="42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</row>
    <row r="801" spans="1:66" ht="12.75" customHeight="1" x14ac:dyDescent="0.3">
      <c r="A801" s="13"/>
      <c r="B801" s="13"/>
      <c r="C801" s="13"/>
      <c r="F801" s="180"/>
      <c r="I801" s="177"/>
      <c r="J801" s="42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</row>
    <row r="802" spans="1:66" ht="12.75" customHeight="1" x14ac:dyDescent="0.3">
      <c r="A802" s="13"/>
      <c r="B802" s="13"/>
      <c r="C802" s="13"/>
      <c r="F802" s="180"/>
      <c r="I802" s="177"/>
      <c r="J802" s="42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</row>
    <row r="803" spans="1:66" ht="12.75" customHeight="1" x14ac:dyDescent="0.3">
      <c r="A803" s="13"/>
      <c r="B803" s="13"/>
      <c r="C803" s="13"/>
      <c r="F803" s="180"/>
      <c r="I803" s="177"/>
      <c r="J803" s="42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</row>
    <row r="804" spans="1:66" ht="12.75" customHeight="1" x14ac:dyDescent="0.3">
      <c r="A804" s="13"/>
      <c r="B804" s="13"/>
      <c r="C804" s="13"/>
      <c r="F804" s="180"/>
      <c r="I804" s="177"/>
      <c r="J804" s="42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</row>
    <row r="805" spans="1:66" ht="12.75" customHeight="1" x14ac:dyDescent="0.3">
      <c r="A805" s="13"/>
      <c r="B805" s="13"/>
      <c r="C805" s="13"/>
      <c r="F805" s="180"/>
      <c r="I805" s="177"/>
      <c r="J805" s="42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</row>
    <row r="806" spans="1:66" ht="12.75" customHeight="1" x14ac:dyDescent="0.3">
      <c r="A806" s="13"/>
      <c r="B806" s="13"/>
      <c r="C806" s="13"/>
      <c r="F806" s="180"/>
      <c r="I806" s="177"/>
      <c r="J806" s="42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</row>
    <row r="807" spans="1:66" ht="12.75" customHeight="1" x14ac:dyDescent="0.3">
      <c r="A807" s="13"/>
      <c r="B807" s="13"/>
      <c r="C807" s="13"/>
      <c r="F807" s="180"/>
      <c r="I807" s="177"/>
      <c r="J807" s="42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</row>
    <row r="808" spans="1:66" ht="12.75" customHeight="1" x14ac:dyDescent="0.3">
      <c r="A808" s="13"/>
      <c r="B808" s="13"/>
      <c r="C808" s="13"/>
      <c r="F808" s="180"/>
      <c r="I808" s="177"/>
      <c r="J808" s="42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</row>
    <row r="809" spans="1:66" ht="12.75" customHeight="1" x14ac:dyDescent="0.3">
      <c r="A809" s="13"/>
      <c r="B809" s="13"/>
      <c r="C809" s="13"/>
      <c r="F809" s="180"/>
      <c r="I809" s="177"/>
      <c r="J809" s="42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</row>
    <row r="810" spans="1:66" ht="12.75" customHeight="1" x14ac:dyDescent="0.3">
      <c r="A810" s="13"/>
      <c r="B810" s="13"/>
      <c r="C810" s="13"/>
      <c r="F810" s="180"/>
      <c r="I810" s="177"/>
      <c r="J810" s="42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</row>
    <row r="811" spans="1:66" ht="12.75" customHeight="1" x14ac:dyDescent="0.3">
      <c r="A811" s="13"/>
      <c r="B811" s="13"/>
      <c r="C811" s="13"/>
      <c r="F811" s="180"/>
      <c r="I811" s="177"/>
      <c r="J811" s="42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</row>
    <row r="812" spans="1:66" ht="12.75" customHeight="1" x14ac:dyDescent="0.3">
      <c r="A812" s="13"/>
      <c r="B812" s="13"/>
      <c r="C812" s="13"/>
      <c r="F812" s="180"/>
      <c r="I812" s="177"/>
      <c r="J812" s="42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</row>
    <row r="813" spans="1:66" ht="12.75" customHeight="1" x14ac:dyDescent="0.3">
      <c r="A813" s="13"/>
      <c r="B813" s="13"/>
      <c r="C813" s="13"/>
      <c r="F813" s="180"/>
      <c r="I813" s="177"/>
      <c r="J813" s="42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</row>
    <row r="814" spans="1:66" ht="12.75" customHeight="1" x14ac:dyDescent="0.3">
      <c r="A814" s="13"/>
      <c r="B814" s="13"/>
      <c r="C814" s="13"/>
      <c r="F814" s="180"/>
      <c r="I814" s="177"/>
      <c r="J814" s="42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</row>
    <row r="815" spans="1:66" ht="12.75" customHeight="1" x14ac:dyDescent="0.3">
      <c r="A815" s="13"/>
      <c r="B815" s="13"/>
      <c r="C815" s="13"/>
      <c r="F815" s="180"/>
      <c r="I815" s="177"/>
      <c r="J815" s="42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</row>
    <row r="816" spans="1:66" ht="12.75" customHeight="1" x14ac:dyDescent="0.3">
      <c r="A816" s="13"/>
      <c r="B816" s="13"/>
      <c r="C816" s="13"/>
      <c r="F816" s="180"/>
      <c r="I816" s="177"/>
      <c r="J816" s="42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</row>
    <row r="817" spans="1:66" ht="12.75" customHeight="1" x14ac:dyDescent="0.3">
      <c r="A817" s="13"/>
      <c r="B817" s="13"/>
      <c r="C817" s="13"/>
      <c r="F817" s="180"/>
      <c r="I817" s="177"/>
      <c r="J817" s="42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</row>
    <row r="818" spans="1:66" ht="12.75" customHeight="1" x14ac:dyDescent="0.3">
      <c r="A818" s="13"/>
      <c r="B818" s="13"/>
      <c r="C818" s="13"/>
      <c r="F818" s="180"/>
      <c r="I818" s="177"/>
      <c r="J818" s="42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</row>
    <row r="819" spans="1:66" ht="12.75" customHeight="1" x14ac:dyDescent="0.3">
      <c r="A819" s="13"/>
      <c r="B819" s="13"/>
      <c r="C819" s="13"/>
      <c r="F819" s="180"/>
      <c r="I819" s="177"/>
      <c r="J819" s="42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</row>
    <row r="820" spans="1:66" ht="12.75" customHeight="1" x14ac:dyDescent="0.3">
      <c r="A820" s="13"/>
      <c r="B820" s="13"/>
      <c r="C820" s="13"/>
      <c r="F820" s="180"/>
      <c r="I820" s="177"/>
      <c r="J820" s="42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</row>
    <row r="821" spans="1:66" ht="12.75" customHeight="1" x14ac:dyDescent="0.3">
      <c r="A821" s="13"/>
      <c r="B821" s="13"/>
      <c r="C821" s="13"/>
      <c r="F821" s="180"/>
      <c r="I821" s="177"/>
      <c r="J821" s="42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</row>
    <row r="822" spans="1:66" ht="12.75" customHeight="1" x14ac:dyDescent="0.3">
      <c r="A822" s="13"/>
      <c r="B822" s="13"/>
      <c r="C822" s="13"/>
      <c r="F822" s="180"/>
      <c r="I822" s="177"/>
      <c r="J822" s="42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</row>
    <row r="823" spans="1:66" ht="12.75" customHeight="1" x14ac:dyDescent="0.3">
      <c r="A823" s="13"/>
      <c r="B823" s="13"/>
      <c r="C823" s="13"/>
      <c r="F823" s="180"/>
      <c r="I823" s="177"/>
      <c r="J823" s="42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</row>
    <row r="824" spans="1:66" ht="12.75" customHeight="1" x14ac:dyDescent="0.3">
      <c r="A824" s="13"/>
      <c r="B824" s="13"/>
      <c r="C824" s="13"/>
      <c r="F824" s="180"/>
      <c r="I824" s="177"/>
      <c r="J824" s="42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</row>
    <row r="825" spans="1:66" ht="12.75" customHeight="1" x14ac:dyDescent="0.3">
      <c r="A825" s="13"/>
      <c r="B825" s="13"/>
      <c r="C825" s="13"/>
      <c r="F825" s="180"/>
      <c r="I825" s="177"/>
      <c r="J825" s="42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</row>
    <row r="826" spans="1:66" ht="12.75" customHeight="1" x14ac:dyDescent="0.3">
      <c r="A826" s="13"/>
      <c r="B826" s="13"/>
      <c r="C826" s="13"/>
      <c r="F826" s="180"/>
      <c r="I826" s="177"/>
      <c r="J826" s="42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</row>
    <row r="827" spans="1:66" ht="12.75" customHeight="1" x14ac:dyDescent="0.3">
      <c r="A827" s="13"/>
      <c r="B827" s="13"/>
      <c r="C827" s="13"/>
      <c r="F827" s="180"/>
      <c r="I827" s="177"/>
      <c r="J827" s="42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</row>
    <row r="828" spans="1:66" ht="12.75" customHeight="1" x14ac:dyDescent="0.3">
      <c r="A828" s="13"/>
      <c r="B828" s="13"/>
      <c r="C828" s="13"/>
      <c r="F828" s="180"/>
      <c r="I828" s="177"/>
      <c r="J828" s="42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</row>
    <row r="829" spans="1:66" ht="12.75" customHeight="1" x14ac:dyDescent="0.3">
      <c r="A829" s="13"/>
      <c r="B829" s="13"/>
      <c r="C829" s="13"/>
      <c r="F829" s="180"/>
      <c r="I829" s="177"/>
      <c r="J829" s="42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</row>
    <row r="830" spans="1:66" ht="12.75" customHeight="1" x14ac:dyDescent="0.3">
      <c r="A830" s="13"/>
      <c r="B830" s="13"/>
      <c r="C830" s="13"/>
      <c r="F830" s="180"/>
      <c r="I830" s="177"/>
      <c r="J830" s="42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</row>
    <row r="831" spans="1:66" ht="12.75" customHeight="1" x14ac:dyDescent="0.3">
      <c r="A831" s="13"/>
      <c r="B831" s="13"/>
      <c r="C831" s="13"/>
      <c r="F831" s="180"/>
      <c r="I831" s="177"/>
      <c r="J831" s="42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</row>
    <row r="832" spans="1:66" ht="12.75" customHeight="1" x14ac:dyDescent="0.3">
      <c r="A832" s="13"/>
      <c r="B832" s="13"/>
      <c r="C832" s="13"/>
      <c r="F832" s="180"/>
      <c r="I832" s="177"/>
      <c r="J832" s="42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</row>
    <row r="833" spans="1:66" ht="12.75" customHeight="1" x14ac:dyDescent="0.3">
      <c r="A833" s="13"/>
      <c r="B833" s="13"/>
      <c r="C833" s="13"/>
      <c r="F833" s="180"/>
      <c r="I833" s="177"/>
      <c r="J833" s="42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</row>
    <row r="834" spans="1:66" ht="12.75" customHeight="1" x14ac:dyDescent="0.3">
      <c r="A834" s="13"/>
      <c r="B834" s="13"/>
      <c r="C834" s="13"/>
      <c r="F834" s="180"/>
      <c r="I834" s="177"/>
      <c r="J834" s="42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</row>
    <row r="835" spans="1:66" ht="12.75" customHeight="1" x14ac:dyDescent="0.3">
      <c r="A835" s="13"/>
      <c r="B835" s="13"/>
      <c r="C835" s="13"/>
      <c r="F835" s="180"/>
      <c r="I835" s="177"/>
      <c r="J835" s="42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</row>
    <row r="836" spans="1:66" ht="12.75" customHeight="1" x14ac:dyDescent="0.3">
      <c r="A836" s="13"/>
      <c r="B836" s="13"/>
      <c r="C836" s="13"/>
      <c r="F836" s="180"/>
      <c r="I836" s="177"/>
      <c r="J836" s="42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</row>
    <row r="837" spans="1:66" ht="12.75" customHeight="1" x14ac:dyDescent="0.3">
      <c r="A837" s="13"/>
      <c r="B837" s="13"/>
      <c r="C837" s="13"/>
      <c r="F837" s="180"/>
      <c r="I837" s="177"/>
      <c r="J837" s="42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</row>
    <row r="838" spans="1:66" ht="12.75" customHeight="1" x14ac:dyDescent="0.3">
      <c r="A838" s="13"/>
      <c r="B838" s="13"/>
      <c r="C838" s="13"/>
      <c r="F838" s="180"/>
      <c r="I838" s="177"/>
      <c r="J838" s="42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</row>
    <row r="839" spans="1:66" ht="12.75" customHeight="1" x14ac:dyDescent="0.3">
      <c r="A839" s="13"/>
      <c r="B839" s="13"/>
      <c r="C839" s="13"/>
      <c r="F839" s="180"/>
      <c r="I839" s="177"/>
      <c r="J839" s="42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</row>
    <row r="840" spans="1:66" ht="12.75" customHeight="1" x14ac:dyDescent="0.3">
      <c r="A840" s="13"/>
      <c r="B840" s="13"/>
      <c r="C840" s="13"/>
      <c r="F840" s="180"/>
      <c r="I840" s="177"/>
      <c r="J840" s="42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</row>
    <row r="841" spans="1:66" ht="12.75" customHeight="1" x14ac:dyDescent="0.3">
      <c r="A841" s="13"/>
      <c r="B841" s="13"/>
      <c r="C841" s="13"/>
      <c r="F841" s="180"/>
      <c r="I841" s="177"/>
      <c r="J841" s="42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</row>
    <row r="842" spans="1:66" ht="12.75" customHeight="1" x14ac:dyDescent="0.3">
      <c r="A842" s="13"/>
      <c r="B842" s="13"/>
      <c r="C842" s="13"/>
      <c r="F842" s="180"/>
      <c r="I842" s="177"/>
      <c r="J842" s="42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</row>
    <row r="843" spans="1:66" ht="12.75" customHeight="1" x14ac:dyDescent="0.3">
      <c r="A843" s="13"/>
      <c r="B843" s="13"/>
      <c r="C843" s="13"/>
      <c r="F843" s="180"/>
      <c r="I843" s="177"/>
      <c r="J843" s="42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</row>
    <row r="844" spans="1:66" ht="12.75" customHeight="1" x14ac:dyDescent="0.3">
      <c r="A844" s="13"/>
      <c r="B844" s="13"/>
      <c r="C844" s="13"/>
      <c r="F844" s="180"/>
      <c r="I844" s="177"/>
      <c r="J844" s="42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</row>
    <row r="845" spans="1:66" ht="12.75" customHeight="1" x14ac:dyDescent="0.3">
      <c r="A845" s="13"/>
      <c r="B845" s="13"/>
      <c r="C845" s="13"/>
      <c r="F845" s="180"/>
      <c r="I845" s="177"/>
      <c r="J845" s="42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</row>
    <row r="846" spans="1:66" ht="12.75" customHeight="1" x14ac:dyDescent="0.3">
      <c r="A846" s="13"/>
      <c r="B846" s="13"/>
      <c r="C846" s="13"/>
      <c r="F846" s="180"/>
      <c r="I846" s="177"/>
      <c r="J846" s="42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</row>
    <row r="847" spans="1:66" ht="12.75" customHeight="1" x14ac:dyDescent="0.3">
      <c r="A847" s="13"/>
      <c r="B847" s="13"/>
      <c r="C847" s="13"/>
      <c r="F847" s="180"/>
      <c r="I847" s="177"/>
      <c r="J847" s="42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</row>
    <row r="848" spans="1:66" ht="12.75" customHeight="1" x14ac:dyDescent="0.3">
      <c r="A848" s="13"/>
      <c r="B848" s="13"/>
      <c r="C848" s="13"/>
      <c r="F848" s="180"/>
      <c r="I848" s="177"/>
      <c r="J848" s="42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</row>
    <row r="849" spans="1:66" ht="12.75" customHeight="1" x14ac:dyDescent="0.3">
      <c r="A849" s="13"/>
      <c r="B849" s="13"/>
      <c r="C849" s="13"/>
      <c r="F849" s="180"/>
      <c r="I849" s="177"/>
      <c r="J849" s="42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</row>
    <row r="850" spans="1:66" ht="12.75" customHeight="1" x14ac:dyDescent="0.3">
      <c r="A850" s="13"/>
      <c r="B850" s="13"/>
      <c r="C850" s="13"/>
      <c r="F850" s="180"/>
      <c r="I850" s="177"/>
      <c r="J850" s="42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</row>
    <row r="851" spans="1:66" ht="12.75" customHeight="1" x14ac:dyDescent="0.3">
      <c r="A851" s="13"/>
      <c r="B851" s="13"/>
      <c r="C851" s="13"/>
      <c r="F851" s="180"/>
      <c r="I851" s="177"/>
      <c r="J851" s="42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</row>
    <row r="852" spans="1:66" ht="12.75" customHeight="1" x14ac:dyDescent="0.3">
      <c r="A852" s="13"/>
      <c r="B852" s="13"/>
      <c r="C852" s="13"/>
      <c r="F852" s="180"/>
      <c r="I852" s="177"/>
      <c r="J852" s="42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</row>
    <row r="853" spans="1:66" ht="12.75" customHeight="1" x14ac:dyDescent="0.3">
      <c r="A853" s="13"/>
      <c r="B853" s="13"/>
      <c r="C853" s="13"/>
      <c r="F853" s="180"/>
      <c r="I853" s="177"/>
      <c r="J853" s="42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</row>
    <row r="854" spans="1:66" ht="12.75" customHeight="1" x14ac:dyDescent="0.3">
      <c r="A854" s="13"/>
      <c r="B854" s="13"/>
      <c r="C854" s="13"/>
      <c r="F854" s="180"/>
      <c r="I854" s="177"/>
      <c r="J854" s="42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</row>
    <row r="855" spans="1:66" ht="12.75" customHeight="1" x14ac:dyDescent="0.3">
      <c r="A855" s="13"/>
      <c r="B855" s="13"/>
      <c r="C855" s="13"/>
      <c r="F855" s="180"/>
      <c r="I855" s="177"/>
      <c r="J855" s="42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</row>
    <row r="856" spans="1:66" ht="12.75" customHeight="1" x14ac:dyDescent="0.3">
      <c r="A856" s="13"/>
      <c r="B856" s="13"/>
      <c r="C856" s="13"/>
      <c r="F856" s="180"/>
      <c r="I856" s="177"/>
      <c r="J856" s="42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</row>
    <row r="857" spans="1:66" ht="12.75" customHeight="1" x14ac:dyDescent="0.3">
      <c r="A857" s="13"/>
      <c r="B857" s="13"/>
      <c r="C857" s="13"/>
      <c r="F857" s="180"/>
      <c r="I857" s="177"/>
      <c r="J857" s="42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</row>
    <row r="858" spans="1:66" ht="12.75" customHeight="1" x14ac:dyDescent="0.3">
      <c r="A858" s="13"/>
      <c r="B858" s="13"/>
      <c r="C858" s="13"/>
      <c r="F858" s="180"/>
      <c r="I858" s="177"/>
      <c r="J858" s="42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</row>
    <row r="859" spans="1:66" ht="12.75" customHeight="1" x14ac:dyDescent="0.3">
      <c r="A859" s="13"/>
      <c r="B859" s="13"/>
      <c r="C859" s="13"/>
      <c r="F859" s="180"/>
      <c r="I859" s="177"/>
      <c r="J859" s="42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</row>
    <row r="860" spans="1:66" ht="12.75" customHeight="1" x14ac:dyDescent="0.3">
      <c r="A860" s="13"/>
      <c r="B860" s="13"/>
      <c r="C860" s="13"/>
      <c r="F860" s="180"/>
      <c r="I860" s="177"/>
      <c r="J860" s="42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</row>
    <row r="861" spans="1:66" ht="12.75" customHeight="1" x14ac:dyDescent="0.3">
      <c r="A861" s="13"/>
      <c r="B861" s="13"/>
      <c r="C861" s="13"/>
      <c r="F861" s="180"/>
      <c r="I861" s="177"/>
      <c r="J861" s="42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</row>
    <row r="862" spans="1:66" ht="12.75" customHeight="1" x14ac:dyDescent="0.3">
      <c r="A862" s="13"/>
      <c r="B862" s="13"/>
      <c r="C862" s="13"/>
      <c r="F862" s="180"/>
      <c r="I862" s="177"/>
      <c r="J862" s="42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</row>
    <row r="863" spans="1:66" ht="12.75" customHeight="1" x14ac:dyDescent="0.3">
      <c r="A863" s="13"/>
      <c r="B863" s="13"/>
      <c r="C863" s="13"/>
      <c r="F863" s="180"/>
      <c r="I863" s="177"/>
      <c r="J863" s="42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</row>
    <row r="864" spans="1:66" ht="12.75" customHeight="1" x14ac:dyDescent="0.3">
      <c r="A864" s="13"/>
      <c r="B864" s="13"/>
      <c r="C864" s="13"/>
      <c r="F864" s="180"/>
      <c r="I864" s="177"/>
      <c r="J864" s="42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</row>
    <row r="865" spans="1:66" ht="12.75" customHeight="1" x14ac:dyDescent="0.3">
      <c r="A865" s="13"/>
      <c r="B865" s="13"/>
      <c r="C865" s="13"/>
      <c r="F865" s="180"/>
      <c r="I865" s="177"/>
      <c r="J865" s="42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</row>
    <row r="866" spans="1:66" ht="12.75" customHeight="1" x14ac:dyDescent="0.3">
      <c r="A866" s="13"/>
      <c r="B866" s="13"/>
      <c r="C866" s="13"/>
      <c r="F866" s="180"/>
      <c r="I866" s="177"/>
      <c r="J866" s="42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</row>
    <row r="867" spans="1:66" ht="12.75" customHeight="1" x14ac:dyDescent="0.3">
      <c r="A867" s="13"/>
      <c r="B867" s="13"/>
      <c r="C867" s="13"/>
      <c r="F867" s="180"/>
      <c r="I867" s="177"/>
      <c r="J867" s="42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</row>
    <row r="868" spans="1:66" ht="12.75" customHeight="1" x14ac:dyDescent="0.3">
      <c r="A868" s="13"/>
      <c r="B868" s="13"/>
      <c r="C868" s="13"/>
      <c r="F868" s="180"/>
      <c r="I868" s="177"/>
      <c r="J868" s="42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</row>
    <row r="869" spans="1:66" ht="12.75" customHeight="1" x14ac:dyDescent="0.3">
      <c r="A869" s="13"/>
      <c r="B869" s="13"/>
      <c r="C869" s="13"/>
      <c r="F869" s="180"/>
      <c r="I869" s="177"/>
      <c r="J869" s="42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</row>
    <row r="870" spans="1:66" ht="12.75" customHeight="1" x14ac:dyDescent="0.3">
      <c r="A870" s="13"/>
      <c r="B870" s="13"/>
      <c r="C870" s="13"/>
      <c r="F870" s="180"/>
      <c r="I870" s="177"/>
      <c r="J870" s="42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</row>
    <row r="871" spans="1:66" ht="12.75" customHeight="1" x14ac:dyDescent="0.3">
      <c r="A871" s="13"/>
      <c r="B871" s="13"/>
      <c r="C871" s="13"/>
      <c r="F871" s="180"/>
      <c r="I871" s="177"/>
      <c r="J871" s="42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</row>
    <row r="872" spans="1:66" ht="12.75" customHeight="1" x14ac:dyDescent="0.3">
      <c r="A872" s="13"/>
      <c r="B872" s="13"/>
      <c r="C872" s="13"/>
      <c r="F872" s="180"/>
      <c r="I872" s="177"/>
      <c r="J872" s="42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</row>
    <row r="873" spans="1:66" ht="12.75" customHeight="1" x14ac:dyDescent="0.3">
      <c r="A873" s="13"/>
      <c r="B873" s="13"/>
      <c r="C873" s="13"/>
      <c r="F873" s="180"/>
      <c r="I873" s="177"/>
      <c r="J873" s="42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</row>
    <row r="874" spans="1:66" ht="12.75" customHeight="1" x14ac:dyDescent="0.3">
      <c r="A874" s="13"/>
      <c r="B874" s="13"/>
      <c r="C874" s="13"/>
      <c r="F874" s="180"/>
      <c r="I874" s="177"/>
      <c r="J874" s="42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</row>
    <row r="875" spans="1:66" ht="12.75" customHeight="1" x14ac:dyDescent="0.3">
      <c r="A875" s="13"/>
      <c r="B875" s="13"/>
      <c r="C875" s="13"/>
      <c r="F875" s="180"/>
      <c r="I875" s="177"/>
      <c r="J875" s="42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</row>
    <row r="876" spans="1:66" ht="12.75" customHeight="1" x14ac:dyDescent="0.3">
      <c r="A876" s="13"/>
      <c r="B876" s="13"/>
      <c r="C876" s="13"/>
      <c r="F876" s="180"/>
      <c r="I876" s="177"/>
      <c r="J876" s="42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</row>
    <row r="877" spans="1:66" ht="12.75" customHeight="1" x14ac:dyDescent="0.3">
      <c r="A877" s="13"/>
      <c r="B877" s="13"/>
      <c r="C877" s="13"/>
      <c r="F877" s="180"/>
      <c r="I877" s="177"/>
      <c r="J877" s="42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</row>
    <row r="878" spans="1:66" ht="12.75" customHeight="1" x14ac:dyDescent="0.3">
      <c r="A878" s="13"/>
      <c r="B878" s="13"/>
      <c r="C878" s="13"/>
      <c r="F878" s="180"/>
      <c r="I878" s="177"/>
      <c r="J878" s="42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</row>
    <row r="879" spans="1:66" ht="12.75" customHeight="1" x14ac:dyDescent="0.3">
      <c r="A879" s="13"/>
      <c r="B879" s="13"/>
      <c r="C879" s="13"/>
      <c r="F879" s="180"/>
      <c r="I879" s="177"/>
      <c r="J879" s="42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</row>
    <row r="880" spans="1:66" ht="12.75" customHeight="1" x14ac:dyDescent="0.3">
      <c r="A880" s="13"/>
      <c r="B880" s="13"/>
      <c r="C880" s="13"/>
      <c r="F880" s="180"/>
      <c r="I880" s="177"/>
      <c r="J880" s="42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</row>
    <row r="881" spans="1:66" ht="12.75" customHeight="1" x14ac:dyDescent="0.3">
      <c r="A881" s="13"/>
      <c r="B881" s="13"/>
      <c r="C881" s="13"/>
      <c r="F881" s="180"/>
      <c r="I881" s="177"/>
      <c r="J881" s="42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</row>
    <row r="882" spans="1:66" ht="12.75" customHeight="1" x14ac:dyDescent="0.3">
      <c r="A882" s="13"/>
      <c r="B882" s="13"/>
      <c r="C882" s="13"/>
      <c r="F882" s="180"/>
      <c r="I882" s="177"/>
      <c r="J882" s="42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</row>
    <row r="883" spans="1:66" ht="12.75" customHeight="1" x14ac:dyDescent="0.3">
      <c r="A883" s="13"/>
      <c r="B883" s="13"/>
      <c r="C883" s="13"/>
      <c r="F883" s="180"/>
      <c r="I883" s="177"/>
      <c r="J883" s="42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</row>
    <row r="884" spans="1:66" ht="12.75" customHeight="1" x14ac:dyDescent="0.3">
      <c r="A884" s="13"/>
      <c r="B884" s="13"/>
      <c r="C884" s="13"/>
      <c r="F884" s="180"/>
      <c r="I884" s="177"/>
      <c r="J884" s="42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</row>
    <row r="885" spans="1:66" ht="12.75" customHeight="1" x14ac:dyDescent="0.3">
      <c r="A885" s="13"/>
      <c r="B885" s="13"/>
      <c r="C885" s="13"/>
      <c r="F885" s="180"/>
      <c r="I885" s="177"/>
      <c r="J885" s="42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</row>
    <row r="886" spans="1:66" ht="12.75" customHeight="1" x14ac:dyDescent="0.3">
      <c r="A886" s="13"/>
      <c r="B886" s="13"/>
      <c r="C886" s="13"/>
      <c r="F886" s="180"/>
      <c r="I886" s="177"/>
      <c r="J886" s="42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</row>
    <row r="887" spans="1:66" ht="12.75" customHeight="1" x14ac:dyDescent="0.3">
      <c r="A887" s="13"/>
      <c r="B887" s="13"/>
      <c r="C887" s="13"/>
      <c r="F887" s="180"/>
      <c r="I887" s="177"/>
      <c r="J887" s="42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</row>
    <row r="888" spans="1:66" ht="12.75" customHeight="1" x14ac:dyDescent="0.3">
      <c r="A888" s="13"/>
      <c r="B888" s="13"/>
      <c r="C888" s="13"/>
      <c r="F888" s="180"/>
      <c r="I888" s="177"/>
      <c r="J888" s="42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</row>
    <row r="889" spans="1:66" ht="12.75" customHeight="1" x14ac:dyDescent="0.3">
      <c r="A889" s="13"/>
      <c r="B889" s="13"/>
      <c r="C889" s="13"/>
      <c r="F889" s="180"/>
      <c r="I889" s="177"/>
      <c r="J889" s="42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</row>
    <row r="890" spans="1:66" ht="12.75" customHeight="1" x14ac:dyDescent="0.3">
      <c r="A890" s="13"/>
      <c r="B890" s="13"/>
      <c r="C890" s="13"/>
      <c r="F890" s="180"/>
      <c r="I890" s="177"/>
      <c r="J890" s="42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</row>
    <row r="891" spans="1:66" ht="12.75" customHeight="1" x14ac:dyDescent="0.3">
      <c r="A891" s="13"/>
      <c r="B891" s="13"/>
      <c r="C891" s="13"/>
      <c r="F891" s="180"/>
      <c r="I891" s="177"/>
      <c r="J891" s="42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</row>
    <row r="892" spans="1:66" ht="12.75" customHeight="1" x14ac:dyDescent="0.3">
      <c r="A892" s="13"/>
      <c r="B892" s="13"/>
      <c r="C892" s="13"/>
      <c r="F892" s="180"/>
      <c r="I892" s="177"/>
      <c r="J892" s="42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</row>
    <row r="893" spans="1:66" ht="12.75" customHeight="1" x14ac:dyDescent="0.3">
      <c r="A893" s="13"/>
      <c r="B893" s="13"/>
      <c r="C893" s="13"/>
      <c r="F893" s="180"/>
      <c r="I893" s="177"/>
      <c r="J893" s="42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</row>
    <row r="894" spans="1:66" ht="12.75" customHeight="1" x14ac:dyDescent="0.3">
      <c r="A894" s="13"/>
      <c r="B894" s="13"/>
      <c r="C894" s="13"/>
      <c r="F894" s="180"/>
      <c r="I894" s="177"/>
      <c r="J894" s="42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</row>
    <row r="895" spans="1:66" ht="12.75" customHeight="1" x14ac:dyDescent="0.3">
      <c r="A895" s="13"/>
      <c r="B895" s="13"/>
      <c r="C895" s="13"/>
      <c r="F895" s="180"/>
      <c r="I895" s="177"/>
      <c r="J895" s="42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</row>
    <row r="896" spans="1:66" ht="12.75" customHeight="1" x14ac:dyDescent="0.3">
      <c r="A896" s="13"/>
      <c r="B896" s="13"/>
      <c r="C896" s="13"/>
      <c r="F896" s="180"/>
      <c r="I896" s="177"/>
      <c r="J896" s="42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</row>
    <row r="897" spans="1:66" ht="12.75" customHeight="1" x14ac:dyDescent="0.3">
      <c r="A897" s="13"/>
      <c r="B897" s="13"/>
      <c r="C897" s="13"/>
      <c r="F897" s="180"/>
      <c r="I897" s="177"/>
      <c r="J897" s="42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</row>
    <row r="898" spans="1:66" ht="12.75" customHeight="1" x14ac:dyDescent="0.3">
      <c r="A898" s="13"/>
      <c r="B898" s="13"/>
      <c r="C898" s="13"/>
      <c r="F898" s="180"/>
      <c r="I898" s="177"/>
      <c r="J898" s="42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</row>
    <row r="899" spans="1:66" ht="12.75" customHeight="1" x14ac:dyDescent="0.3">
      <c r="A899" s="13"/>
      <c r="B899" s="13"/>
      <c r="C899" s="13"/>
      <c r="F899" s="180"/>
      <c r="I899" s="177"/>
      <c r="J899" s="42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</row>
    <row r="900" spans="1:66" ht="12.75" customHeight="1" x14ac:dyDescent="0.3">
      <c r="A900" s="13"/>
      <c r="B900" s="13"/>
      <c r="C900" s="13"/>
      <c r="F900" s="180"/>
      <c r="I900" s="177"/>
      <c r="J900" s="42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</row>
    <row r="901" spans="1:66" ht="12.75" customHeight="1" x14ac:dyDescent="0.3">
      <c r="A901" s="13"/>
      <c r="B901" s="13"/>
      <c r="C901" s="13"/>
      <c r="F901" s="180"/>
      <c r="I901" s="177"/>
      <c r="J901" s="42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</row>
    <row r="902" spans="1:66" ht="12.75" customHeight="1" x14ac:dyDescent="0.3">
      <c r="A902" s="13"/>
      <c r="B902" s="13"/>
      <c r="C902" s="13"/>
      <c r="F902" s="180"/>
      <c r="I902" s="177"/>
      <c r="J902" s="42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</row>
    <row r="903" spans="1:66" ht="12.75" customHeight="1" x14ac:dyDescent="0.3">
      <c r="A903" s="13"/>
      <c r="B903" s="13"/>
      <c r="C903" s="13"/>
      <c r="F903" s="180"/>
      <c r="I903" s="177"/>
      <c r="J903" s="42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</row>
    <row r="904" spans="1:66" ht="12.75" customHeight="1" x14ac:dyDescent="0.3">
      <c r="A904" s="13"/>
      <c r="B904" s="13"/>
      <c r="C904" s="13"/>
      <c r="F904" s="180"/>
      <c r="I904" s="177"/>
      <c r="J904" s="42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</row>
    <row r="905" spans="1:66" ht="12.75" customHeight="1" x14ac:dyDescent="0.3">
      <c r="A905" s="13"/>
      <c r="B905" s="13"/>
      <c r="C905" s="13"/>
      <c r="F905" s="180"/>
      <c r="I905" s="177"/>
      <c r="J905" s="42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</row>
    <row r="906" spans="1:66" ht="12.75" customHeight="1" x14ac:dyDescent="0.3">
      <c r="A906" s="13"/>
      <c r="B906" s="13"/>
      <c r="C906" s="13"/>
      <c r="F906" s="180"/>
      <c r="I906" s="177"/>
      <c r="J906" s="42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</row>
    <row r="907" spans="1:66" ht="12.75" customHeight="1" x14ac:dyDescent="0.3">
      <c r="A907" s="13"/>
      <c r="B907" s="13"/>
      <c r="C907" s="13"/>
      <c r="F907" s="180"/>
      <c r="I907" s="177"/>
      <c r="J907" s="42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</row>
    <row r="908" spans="1:66" ht="12.75" customHeight="1" x14ac:dyDescent="0.3">
      <c r="A908" s="13"/>
      <c r="B908" s="13"/>
      <c r="C908" s="13"/>
      <c r="F908" s="180"/>
      <c r="I908" s="177"/>
      <c r="J908" s="42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</row>
    <row r="909" spans="1:66" ht="12.75" customHeight="1" x14ac:dyDescent="0.3">
      <c r="A909" s="13"/>
      <c r="B909" s="13"/>
      <c r="C909" s="13"/>
      <c r="F909" s="180"/>
      <c r="I909" s="177"/>
      <c r="J909" s="42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</row>
    <row r="910" spans="1:66" ht="12.75" customHeight="1" x14ac:dyDescent="0.3">
      <c r="A910" s="13"/>
      <c r="B910" s="13"/>
      <c r="C910" s="13"/>
      <c r="F910" s="180"/>
      <c r="I910" s="177"/>
      <c r="J910" s="42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</row>
    <row r="911" spans="1:66" ht="12.75" customHeight="1" x14ac:dyDescent="0.3">
      <c r="A911" s="13"/>
      <c r="B911" s="13"/>
      <c r="C911" s="13"/>
      <c r="F911" s="180"/>
      <c r="I911" s="177"/>
      <c r="J911" s="42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</row>
    <row r="912" spans="1:66" ht="12.75" customHeight="1" x14ac:dyDescent="0.3">
      <c r="A912" s="13"/>
      <c r="B912" s="13"/>
      <c r="C912" s="13"/>
      <c r="F912" s="180"/>
      <c r="I912" s="177"/>
      <c r="J912" s="42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</row>
    <row r="913" spans="1:66" ht="12.75" customHeight="1" x14ac:dyDescent="0.3">
      <c r="A913" s="13"/>
      <c r="B913" s="13"/>
      <c r="C913" s="13"/>
      <c r="F913" s="180"/>
      <c r="I913" s="177"/>
      <c r="J913" s="42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</row>
    <row r="914" spans="1:66" ht="12.75" customHeight="1" x14ac:dyDescent="0.3">
      <c r="A914" s="13"/>
      <c r="B914" s="13"/>
      <c r="C914" s="13"/>
      <c r="F914" s="180"/>
      <c r="I914" s="177"/>
      <c r="J914" s="42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</row>
    <row r="915" spans="1:66" ht="12.75" customHeight="1" x14ac:dyDescent="0.3">
      <c r="A915" s="13"/>
      <c r="B915" s="13"/>
      <c r="C915" s="13"/>
      <c r="F915" s="180"/>
      <c r="I915" s="177"/>
      <c r="J915" s="42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</row>
    <row r="916" spans="1:66" ht="12.75" customHeight="1" x14ac:dyDescent="0.3">
      <c r="A916" s="13"/>
      <c r="B916" s="13"/>
      <c r="C916" s="13"/>
      <c r="F916" s="180"/>
      <c r="I916" s="177"/>
      <c r="J916" s="42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</row>
    <row r="917" spans="1:66" ht="12.75" customHeight="1" x14ac:dyDescent="0.3">
      <c r="A917" s="13"/>
      <c r="B917" s="13"/>
      <c r="C917" s="13"/>
      <c r="F917" s="180"/>
      <c r="I917" s="177"/>
      <c r="J917" s="42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</row>
    <row r="918" spans="1:66" ht="12.75" customHeight="1" x14ac:dyDescent="0.3">
      <c r="A918" s="13"/>
      <c r="B918" s="13"/>
      <c r="C918" s="13"/>
      <c r="F918" s="180"/>
      <c r="I918" s="177"/>
      <c r="J918" s="42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</row>
    <row r="919" spans="1:66" ht="12.75" customHeight="1" x14ac:dyDescent="0.3">
      <c r="A919" s="13"/>
      <c r="B919" s="13"/>
      <c r="C919" s="13"/>
      <c r="F919" s="180"/>
      <c r="I919" s="177"/>
      <c r="J919" s="42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</row>
    <row r="920" spans="1:66" ht="12.75" customHeight="1" x14ac:dyDescent="0.3">
      <c r="A920" s="13"/>
      <c r="B920" s="13"/>
      <c r="C920" s="13"/>
      <c r="F920" s="180"/>
      <c r="I920" s="177"/>
      <c r="J920" s="42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</row>
    <row r="921" spans="1:66" ht="12.75" customHeight="1" x14ac:dyDescent="0.3">
      <c r="A921" s="13"/>
      <c r="B921" s="13"/>
      <c r="C921" s="13"/>
      <c r="F921" s="180"/>
      <c r="I921" s="177"/>
      <c r="J921" s="42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</row>
    <row r="922" spans="1:66" ht="12.75" customHeight="1" x14ac:dyDescent="0.3">
      <c r="A922" s="13"/>
      <c r="B922" s="13"/>
      <c r="C922" s="13"/>
      <c r="F922" s="180"/>
      <c r="I922" s="177"/>
      <c r="J922" s="42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</row>
    <row r="923" spans="1:66" ht="12.75" customHeight="1" x14ac:dyDescent="0.3">
      <c r="A923" s="13"/>
      <c r="B923" s="13"/>
      <c r="C923" s="13"/>
      <c r="F923" s="180"/>
      <c r="I923" s="177"/>
      <c r="J923" s="42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</row>
    <row r="924" spans="1:66" ht="12.75" customHeight="1" x14ac:dyDescent="0.3">
      <c r="A924" s="13"/>
      <c r="B924" s="13"/>
      <c r="C924" s="13"/>
      <c r="F924" s="180"/>
      <c r="I924" s="177"/>
      <c r="J924" s="42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</row>
    <row r="925" spans="1:66" ht="12.75" customHeight="1" x14ac:dyDescent="0.3">
      <c r="A925" s="13"/>
      <c r="B925" s="13"/>
      <c r="C925" s="13"/>
      <c r="F925" s="180"/>
      <c r="I925" s="177"/>
      <c r="J925" s="42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</row>
    <row r="926" spans="1:66" ht="12.75" customHeight="1" x14ac:dyDescent="0.3">
      <c r="A926" s="13"/>
      <c r="B926" s="13"/>
      <c r="C926" s="13"/>
      <c r="F926" s="180"/>
      <c r="I926" s="177"/>
      <c r="J926" s="42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</row>
    <row r="927" spans="1:66" ht="12.75" customHeight="1" x14ac:dyDescent="0.3">
      <c r="A927" s="13"/>
      <c r="B927" s="13"/>
      <c r="C927" s="13"/>
      <c r="F927" s="180"/>
      <c r="I927" s="177"/>
      <c r="J927" s="42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</row>
    <row r="928" spans="1:66" ht="12.75" customHeight="1" x14ac:dyDescent="0.3">
      <c r="A928" s="13"/>
      <c r="B928" s="13"/>
      <c r="C928" s="13"/>
      <c r="F928" s="180"/>
      <c r="I928" s="177"/>
      <c r="J928" s="42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</row>
    <row r="929" spans="1:66" ht="12.75" customHeight="1" x14ac:dyDescent="0.3">
      <c r="A929" s="13"/>
      <c r="B929" s="13"/>
      <c r="C929" s="13"/>
      <c r="F929" s="180"/>
      <c r="I929" s="177"/>
      <c r="J929" s="42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</row>
    <row r="930" spans="1:66" ht="12.75" customHeight="1" x14ac:dyDescent="0.3">
      <c r="A930" s="13"/>
      <c r="B930" s="13"/>
      <c r="C930" s="13"/>
      <c r="F930" s="180"/>
      <c r="I930" s="177"/>
      <c r="J930" s="42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</row>
    <row r="931" spans="1:66" ht="12.75" customHeight="1" x14ac:dyDescent="0.3">
      <c r="A931" s="13"/>
      <c r="B931" s="13"/>
      <c r="C931" s="13"/>
      <c r="F931" s="180"/>
      <c r="I931" s="177"/>
      <c r="J931" s="42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</row>
    <row r="932" spans="1:66" ht="12.75" customHeight="1" x14ac:dyDescent="0.3">
      <c r="A932" s="13"/>
      <c r="B932" s="13"/>
      <c r="C932" s="13"/>
      <c r="F932" s="180"/>
      <c r="I932" s="177"/>
      <c r="J932" s="42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</row>
    <row r="933" spans="1:66" ht="12.75" customHeight="1" x14ac:dyDescent="0.3">
      <c r="A933" s="13"/>
      <c r="B933" s="13"/>
      <c r="C933" s="13"/>
      <c r="F933" s="180"/>
      <c r="I933" s="177"/>
      <c r="J933" s="42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</row>
    <row r="934" spans="1:66" ht="12.75" customHeight="1" x14ac:dyDescent="0.3">
      <c r="A934" s="13"/>
      <c r="B934" s="13"/>
      <c r="C934" s="13"/>
      <c r="F934" s="180"/>
      <c r="I934" s="177"/>
      <c r="J934" s="42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</row>
    <row r="935" spans="1:66" ht="12.75" customHeight="1" x14ac:dyDescent="0.3">
      <c r="A935" s="13"/>
      <c r="B935" s="13"/>
      <c r="C935" s="13"/>
      <c r="F935" s="180"/>
      <c r="I935" s="177"/>
      <c r="J935" s="42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</row>
    <row r="936" spans="1:66" ht="12.75" customHeight="1" x14ac:dyDescent="0.3">
      <c r="A936" s="13"/>
      <c r="B936" s="13"/>
      <c r="C936" s="13"/>
      <c r="F936" s="180"/>
      <c r="I936" s="177"/>
      <c r="J936" s="42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</row>
    <row r="937" spans="1:66" ht="12.75" customHeight="1" x14ac:dyDescent="0.3">
      <c r="A937" s="13"/>
      <c r="B937" s="13"/>
      <c r="C937" s="13"/>
      <c r="F937" s="180"/>
      <c r="I937" s="177"/>
      <c r="J937" s="42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</row>
    <row r="938" spans="1:66" ht="12.75" customHeight="1" x14ac:dyDescent="0.3">
      <c r="A938" s="13"/>
      <c r="B938" s="13"/>
      <c r="C938" s="13"/>
      <c r="F938" s="180"/>
      <c r="I938" s="177"/>
      <c r="J938" s="42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</row>
    <row r="939" spans="1:66" ht="12.75" customHeight="1" x14ac:dyDescent="0.3">
      <c r="A939" s="13"/>
      <c r="B939" s="13"/>
      <c r="C939" s="13"/>
      <c r="F939" s="180"/>
      <c r="I939" s="177"/>
      <c r="J939" s="42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</row>
    <row r="940" spans="1:66" ht="12.75" customHeight="1" x14ac:dyDescent="0.3">
      <c r="A940" s="13"/>
      <c r="B940" s="13"/>
      <c r="C940" s="13"/>
      <c r="F940" s="180"/>
      <c r="I940" s="177"/>
      <c r="J940" s="42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</row>
    <row r="941" spans="1:66" ht="12.75" customHeight="1" x14ac:dyDescent="0.3">
      <c r="A941" s="13"/>
      <c r="B941" s="13"/>
      <c r="C941" s="13"/>
      <c r="F941" s="180"/>
      <c r="I941" s="177"/>
      <c r="J941" s="42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</row>
    <row r="942" spans="1:66" ht="12.75" customHeight="1" x14ac:dyDescent="0.3">
      <c r="A942" s="13"/>
      <c r="B942" s="13"/>
      <c r="C942" s="13"/>
      <c r="F942" s="180"/>
      <c r="I942" s="177"/>
      <c r="J942" s="42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</row>
    <row r="943" spans="1:66" ht="12.75" customHeight="1" x14ac:dyDescent="0.3">
      <c r="A943" s="13"/>
      <c r="B943" s="13"/>
      <c r="C943" s="13"/>
      <c r="F943" s="180"/>
      <c r="I943" s="177"/>
      <c r="J943" s="42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</row>
    <row r="944" spans="1:66" ht="12.75" customHeight="1" x14ac:dyDescent="0.3">
      <c r="A944" s="13"/>
      <c r="B944" s="13"/>
      <c r="C944" s="13"/>
      <c r="F944" s="180"/>
      <c r="I944" s="177"/>
      <c r="J944" s="42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</row>
    <row r="945" spans="1:66" ht="12.75" customHeight="1" x14ac:dyDescent="0.3">
      <c r="A945" s="13"/>
      <c r="B945" s="13"/>
      <c r="C945" s="13"/>
      <c r="F945" s="180"/>
      <c r="I945" s="177"/>
      <c r="J945" s="42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</row>
    <row r="946" spans="1:66" ht="12.75" customHeight="1" x14ac:dyDescent="0.3">
      <c r="A946" s="13"/>
      <c r="B946" s="13"/>
      <c r="C946" s="13"/>
      <c r="F946" s="180"/>
      <c r="I946" s="177"/>
      <c r="J946" s="42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</row>
    <row r="947" spans="1:66" ht="12.75" customHeight="1" x14ac:dyDescent="0.3">
      <c r="A947" s="13"/>
      <c r="B947" s="13"/>
      <c r="C947" s="13"/>
      <c r="F947" s="180"/>
      <c r="I947" s="177"/>
      <c r="J947" s="42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</row>
    <row r="948" spans="1:66" ht="12.75" customHeight="1" x14ac:dyDescent="0.3">
      <c r="A948" s="13"/>
      <c r="B948" s="13"/>
      <c r="C948" s="13"/>
      <c r="F948" s="180"/>
      <c r="I948" s="177"/>
      <c r="J948" s="42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</row>
    <row r="949" spans="1:66" ht="12.75" customHeight="1" x14ac:dyDescent="0.3">
      <c r="A949" s="13"/>
      <c r="B949" s="13"/>
      <c r="C949" s="13"/>
      <c r="F949" s="180"/>
      <c r="I949" s="177"/>
      <c r="J949" s="42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</row>
    <row r="950" spans="1:66" ht="12.75" customHeight="1" x14ac:dyDescent="0.3">
      <c r="A950" s="13"/>
      <c r="B950" s="13"/>
      <c r="C950" s="13"/>
      <c r="F950" s="180"/>
      <c r="I950" s="177"/>
      <c r="J950" s="42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</row>
    <row r="951" spans="1:66" ht="12.75" customHeight="1" x14ac:dyDescent="0.3">
      <c r="A951" s="13"/>
      <c r="B951" s="13"/>
      <c r="C951" s="13"/>
      <c r="F951" s="180"/>
      <c r="I951" s="177"/>
      <c r="J951" s="42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</row>
    <row r="952" spans="1:66" ht="12.75" customHeight="1" x14ac:dyDescent="0.3">
      <c r="A952" s="13"/>
      <c r="B952" s="13"/>
      <c r="C952" s="13"/>
      <c r="F952" s="180"/>
      <c r="I952" s="177"/>
      <c r="J952" s="42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</row>
    <row r="953" spans="1:66" ht="12.75" customHeight="1" x14ac:dyDescent="0.3">
      <c r="A953" s="13"/>
      <c r="B953" s="13"/>
      <c r="C953" s="13"/>
      <c r="F953" s="180"/>
      <c r="I953" s="177"/>
      <c r="J953" s="42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</row>
    <row r="954" spans="1:66" ht="12.75" customHeight="1" x14ac:dyDescent="0.3">
      <c r="A954" s="13"/>
      <c r="B954" s="13"/>
      <c r="C954" s="13"/>
      <c r="F954" s="180"/>
      <c r="I954" s="177"/>
      <c r="J954" s="42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</row>
    <row r="955" spans="1:66" ht="12.75" customHeight="1" x14ac:dyDescent="0.3">
      <c r="A955" s="13"/>
      <c r="B955" s="13"/>
      <c r="C955" s="13"/>
      <c r="F955" s="180"/>
      <c r="I955" s="177"/>
      <c r="J955" s="42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</row>
    <row r="956" spans="1:66" ht="12.75" customHeight="1" x14ac:dyDescent="0.3">
      <c r="A956" s="13"/>
      <c r="B956" s="13"/>
      <c r="C956" s="13"/>
      <c r="F956" s="180"/>
      <c r="I956" s="177"/>
      <c r="J956" s="42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</row>
    <row r="957" spans="1:66" ht="12.75" customHeight="1" x14ac:dyDescent="0.3">
      <c r="A957" s="13"/>
      <c r="B957" s="13"/>
      <c r="C957" s="13"/>
      <c r="F957" s="180"/>
      <c r="I957" s="177"/>
      <c r="J957" s="42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</row>
    <row r="958" spans="1:66" ht="12.75" customHeight="1" x14ac:dyDescent="0.3">
      <c r="A958" s="13"/>
      <c r="B958" s="13"/>
      <c r="C958" s="13"/>
      <c r="F958" s="180"/>
      <c r="I958" s="177"/>
      <c r="J958" s="42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</row>
    <row r="959" spans="1:66" ht="12.75" customHeight="1" x14ac:dyDescent="0.3">
      <c r="A959" s="13"/>
      <c r="B959" s="13"/>
      <c r="C959" s="13"/>
      <c r="F959" s="180"/>
      <c r="I959" s="177"/>
      <c r="J959" s="42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</row>
    <row r="960" spans="1:66" ht="12.75" customHeight="1" x14ac:dyDescent="0.3">
      <c r="A960" s="13"/>
      <c r="B960" s="13"/>
      <c r="C960" s="13"/>
      <c r="F960" s="180"/>
      <c r="I960" s="177"/>
      <c r="J960" s="42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</row>
    <row r="961" spans="1:66" ht="12.75" customHeight="1" x14ac:dyDescent="0.3">
      <c r="A961" s="13"/>
      <c r="B961" s="13"/>
      <c r="C961" s="13"/>
      <c r="F961" s="180"/>
      <c r="I961" s="177"/>
      <c r="J961" s="42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</row>
    <row r="962" spans="1:66" ht="12.75" customHeight="1" x14ac:dyDescent="0.3">
      <c r="A962" s="13"/>
      <c r="B962" s="13"/>
      <c r="C962" s="13"/>
      <c r="F962" s="180"/>
      <c r="I962" s="177"/>
      <c r="J962" s="42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</row>
    <row r="963" spans="1:66" ht="12.75" customHeight="1" x14ac:dyDescent="0.3">
      <c r="A963" s="13"/>
      <c r="B963" s="13"/>
      <c r="C963" s="13"/>
      <c r="F963" s="180"/>
      <c r="I963" s="177"/>
      <c r="J963" s="42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</row>
    <row r="964" spans="1:66" ht="12.75" customHeight="1" x14ac:dyDescent="0.3">
      <c r="A964" s="13"/>
      <c r="B964" s="13"/>
      <c r="C964" s="13"/>
      <c r="F964" s="180"/>
      <c r="I964" s="177"/>
      <c r="J964" s="42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</row>
    <row r="965" spans="1:66" ht="12.75" customHeight="1" x14ac:dyDescent="0.3">
      <c r="A965" s="13"/>
      <c r="B965" s="13"/>
      <c r="C965" s="13"/>
      <c r="F965" s="180"/>
      <c r="I965" s="177"/>
      <c r="J965" s="42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</row>
    <row r="966" spans="1:66" ht="12.75" customHeight="1" x14ac:dyDescent="0.3">
      <c r="A966" s="13"/>
      <c r="B966" s="13"/>
      <c r="C966" s="13"/>
      <c r="F966" s="180"/>
      <c r="I966" s="177"/>
      <c r="J966" s="42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</row>
    <row r="967" spans="1:66" ht="12.75" customHeight="1" x14ac:dyDescent="0.3">
      <c r="A967" s="13"/>
      <c r="B967" s="13"/>
      <c r="C967" s="13"/>
      <c r="F967" s="180"/>
      <c r="I967" s="177"/>
      <c r="J967" s="42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</row>
    <row r="968" spans="1:66" ht="12.75" customHeight="1" x14ac:dyDescent="0.3">
      <c r="A968" s="13"/>
      <c r="B968" s="13"/>
      <c r="C968" s="13"/>
      <c r="F968" s="180"/>
      <c r="I968" s="177"/>
      <c r="J968" s="42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</row>
    <row r="969" spans="1:66" ht="12.75" customHeight="1" x14ac:dyDescent="0.3">
      <c r="A969" s="13"/>
      <c r="B969" s="13"/>
      <c r="C969" s="13"/>
      <c r="F969" s="180"/>
      <c r="I969" s="177"/>
      <c r="J969" s="42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</row>
    <row r="970" spans="1:66" ht="12.75" customHeight="1" x14ac:dyDescent="0.3">
      <c r="A970" s="13"/>
      <c r="B970" s="13"/>
      <c r="C970" s="13"/>
      <c r="F970" s="180"/>
      <c r="I970" s="177"/>
      <c r="J970" s="42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</row>
    <row r="971" spans="1:66" ht="12.75" customHeight="1" x14ac:dyDescent="0.3">
      <c r="A971" s="13"/>
      <c r="B971" s="13"/>
      <c r="C971" s="13"/>
      <c r="F971" s="180"/>
      <c r="I971" s="177"/>
      <c r="J971" s="42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</row>
    <row r="972" spans="1:66" ht="12.75" customHeight="1" x14ac:dyDescent="0.3">
      <c r="A972" s="13"/>
      <c r="B972" s="13"/>
      <c r="C972" s="13"/>
      <c r="F972" s="180"/>
      <c r="I972" s="177"/>
      <c r="J972" s="42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</row>
    <row r="973" spans="1:66" ht="12.75" customHeight="1" x14ac:dyDescent="0.3">
      <c r="A973" s="13"/>
      <c r="B973" s="13"/>
      <c r="C973" s="13"/>
      <c r="F973" s="180"/>
      <c r="I973" s="177"/>
      <c r="J973" s="42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</row>
    <row r="974" spans="1:66" ht="12.75" customHeight="1" x14ac:dyDescent="0.3">
      <c r="A974" s="13"/>
      <c r="B974" s="13"/>
      <c r="C974" s="13"/>
      <c r="F974" s="180"/>
      <c r="I974" s="177"/>
      <c r="J974" s="42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</row>
    <row r="975" spans="1:66" ht="12.75" customHeight="1" x14ac:dyDescent="0.3">
      <c r="A975" s="13"/>
      <c r="B975" s="13"/>
      <c r="C975" s="13"/>
      <c r="F975" s="180"/>
      <c r="I975" s="177"/>
      <c r="J975" s="42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</row>
    <row r="976" spans="1:66" ht="12.75" customHeight="1" x14ac:dyDescent="0.3">
      <c r="A976" s="13"/>
      <c r="B976" s="13"/>
      <c r="C976" s="13"/>
      <c r="F976" s="180"/>
      <c r="I976" s="177"/>
      <c r="J976" s="42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</row>
    <row r="977" spans="1:66" ht="12.75" customHeight="1" x14ac:dyDescent="0.3">
      <c r="A977" s="13"/>
      <c r="B977" s="13"/>
      <c r="C977" s="13"/>
      <c r="F977" s="180"/>
      <c r="I977" s="177"/>
      <c r="J977" s="42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</row>
    <row r="978" spans="1:66" ht="12.75" customHeight="1" x14ac:dyDescent="0.3">
      <c r="A978" s="13"/>
      <c r="B978" s="13"/>
      <c r="C978" s="13"/>
      <c r="F978" s="180"/>
      <c r="I978" s="177"/>
      <c r="J978" s="42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</row>
    <row r="979" spans="1:66" ht="12.75" customHeight="1" x14ac:dyDescent="0.3">
      <c r="A979" s="13"/>
      <c r="B979" s="13"/>
      <c r="C979" s="13"/>
      <c r="F979" s="180"/>
      <c r="I979" s="177"/>
      <c r="J979" s="42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</row>
    <row r="980" spans="1:66" ht="12.75" customHeight="1" x14ac:dyDescent="0.3">
      <c r="A980" s="13"/>
      <c r="B980" s="13"/>
      <c r="C980" s="13"/>
      <c r="F980" s="180"/>
      <c r="I980" s="177"/>
      <c r="J980" s="42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</row>
    <row r="981" spans="1:66" ht="12.75" customHeight="1" x14ac:dyDescent="0.3">
      <c r="A981" s="13"/>
      <c r="B981" s="13"/>
      <c r="C981" s="13"/>
      <c r="F981" s="180"/>
      <c r="I981" s="177"/>
      <c r="J981" s="42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</row>
    <row r="982" spans="1:66" ht="12.75" customHeight="1" x14ac:dyDescent="0.3">
      <c r="A982" s="13"/>
      <c r="B982" s="13"/>
      <c r="C982" s="13"/>
      <c r="F982" s="180"/>
      <c r="I982" s="177"/>
      <c r="J982" s="42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</row>
    <row r="983" spans="1:66" ht="12.75" customHeight="1" x14ac:dyDescent="0.3">
      <c r="A983" s="13"/>
      <c r="B983" s="13"/>
      <c r="C983" s="13"/>
      <c r="F983" s="180"/>
      <c r="I983" s="177"/>
      <c r="J983" s="42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</row>
    <row r="984" spans="1:66" ht="12.75" customHeight="1" x14ac:dyDescent="0.3">
      <c r="A984" s="13"/>
      <c r="B984" s="13"/>
      <c r="C984" s="13"/>
      <c r="F984" s="180"/>
      <c r="I984" s="177"/>
      <c r="J984" s="42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</row>
    <row r="985" spans="1:66" ht="12.75" customHeight="1" x14ac:dyDescent="0.3">
      <c r="A985" s="13"/>
      <c r="B985" s="13"/>
      <c r="C985" s="13"/>
      <c r="F985" s="180"/>
      <c r="I985" s="177"/>
      <c r="J985" s="42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</row>
    <row r="986" spans="1:66" ht="12.75" customHeight="1" x14ac:dyDescent="0.3">
      <c r="A986" s="13"/>
      <c r="B986" s="13"/>
      <c r="C986" s="13"/>
      <c r="F986" s="180"/>
      <c r="I986" s="177"/>
      <c r="J986" s="42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</row>
    <row r="987" spans="1:66" ht="12.75" customHeight="1" x14ac:dyDescent="0.3">
      <c r="A987" s="13"/>
      <c r="B987" s="13"/>
      <c r="C987" s="13"/>
      <c r="F987" s="180"/>
      <c r="I987" s="177"/>
      <c r="J987" s="42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</row>
    <row r="988" spans="1:66" ht="12.75" customHeight="1" x14ac:dyDescent="0.3">
      <c r="A988" s="13"/>
      <c r="B988" s="13"/>
      <c r="C988" s="13"/>
      <c r="F988" s="180"/>
      <c r="I988" s="177"/>
      <c r="J988" s="42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</row>
    <row r="989" spans="1:66" ht="12.75" customHeight="1" x14ac:dyDescent="0.3">
      <c r="A989" s="13"/>
      <c r="B989" s="13"/>
      <c r="C989" s="13"/>
      <c r="F989" s="180"/>
      <c r="I989" s="177"/>
      <c r="J989" s="42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</row>
    <row r="990" spans="1:66" ht="12.75" customHeight="1" x14ac:dyDescent="0.3">
      <c r="A990" s="13"/>
      <c r="B990" s="13"/>
      <c r="C990" s="13"/>
      <c r="F990" s="180"/>
      <c r="I990" s="177"/>
      <c r="J990" s="42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</row>
    <row r="991" spans="1:66" ht="12.75" customHeight="1" x14ac:dyDescent="0.3">
      <c r="A991" s="13"/>
      <c r="B991" s="13"/>
      <c r="C991" s="13"/>
      <c r="F991" s="180"/>
      <c r="I991" s="177"/>
      <c r="J991" s="42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</row>
    <row r="992" spans="1:66" ht="12.75" customHeight="1" x14ac:dyDescent="0.3">
      <c r="A992" s="13"/>
      <c r="B992" s="13"/>
      <c r="C992" s="13"/>
      <c r="F992" s="180"/>
      <c r="I992" s="177"/>
      <c r="J992" s="42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</row>
    <row r="993" spans="1:66" ht="12.75" customHeight="1" x14ac:dyDescent="0.3">
      <c r="A993" s="13"/>
      <c r="B993" s="13"/>
      <c r="C993" s="13"/>
      <c r="F993" s="180"/>
      <c r="I993" s="177"/>
      <c r="J993" s="42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</row>
    <row r="994" spans="1:66" ht="12.75" customHeight="1" x14ac:dyDescent="0.3">
      <c r="A994" s="13"/>
      <c r="B994" s="13"/>
      <c r="C994" s="13"/>
      <c r="F994" s="180"/>
      <c r="I994" s="177"/>
      <c r="J994" s="42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</row>
    <row r="995" spans="1:66" ht="12.75" customHeight="1" x14ac:dyDescent="0.3">
      <c r="A995" s="13"/>
      <c r="B995" s="13"/>
      <c r="C995" s="13"/>
      <c r="F995" s="180"/>
      <c r="I995" s="177"/>
      <c r="J995" s="42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</row>
    <row r="996" spans="1:66" ht="12.75" customHeight="1" x14ac:dyDescent="0.3">
      <c r="A996" s="13"/>
      <c r="B996" s="13"/>
      <c r="C996" s="13"/>
      <c r="F996" s="180"/>
      <c r="I996" s="177"/>
      <c r="J996" s="42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</row>
    <row r="997" spans="1:66" ht="12.75" customHeight="1" x14ac:dyDescent="0.3">
      <c r="A997" s="13"/>
      <c r="B997" s="13"/>
      <c r="C997" s="13"/>
      <c r="F997" s="180"/>
      <c r="I997" s="177"/>
      <c r="J997" s="42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</row>
    <row r="998" spans="1:66" ht="12.75" customHeight="1" x14ac:dyDescent="0.3">
      <c r="A998" s="13"/>
      <c r="B998" s="13"/>
      <c r="C998" s="13"/>
      <c r="F998" s="180"/>
      <c r="I998" s="177"/>
      <c r="J998" s="42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</row>
    <row r="999" spans="1:66" ht="12.75" customHeight="1" x14ac:dyDescent="0.3">
      <c r="A999" s="13"/>
      <c r="B999" s="13"/>
      <c r="C999" s="13"/>
      <c r="F999" s="180"/>
      <c r="I999" s="177"/>
      <c r="J999" s="42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</row>
    <row r="1000" spans="1:66" ht="12.75" customHeight="1" x14ac:dyDescent="0.3">
      <c r="A1000" s="13"/>
      <c r="B1000" s="13"/>
      <c r="C1000" s="13"/>
      <c r="F1000" s="180"/>
      <c r="I1000" s="177"/>
      <c r="J1000" s="42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</row>
    <row r="1001" spans="1:66" ht="12.75" customHeight="1" x14ac:dyDescent="0.3">
      <c r="A1001" s="13"/>
      <c r="B1001" s="13"/>
      <c r="C1001" s="13"/>
      <c r="F1001" s="180"/>
      <c r="I1001" s="177"/>
      <c r="J1001" s="42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</row>
    <row r="1002" spans="1:66" ht="12.75" customHeight="1" x14ac:dyDescent="0.3">
      <c r="A1002" s="13"/>
      <c r="B1002" s="13"/>
      <c r="C1002" s="13"/>
      <c r="F1002" s="180"/>
      <c r="I1002" s="177"/>
      <c r="J1002" s="42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</row>
    <row r="1003" spans="1:66" ht="12.75" customHeight="1" x14ac:dyDescent="0.3">
      <c r="A1003" s="13"/>
      <c r="B1003" s="13"/>
      <c r="C1003" s="13"/>
      <c r="F1003" s="180"/>
      <c r="I1003" s="177"/>
      <c r="J1003" s="42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</row>
  </sheetData>
  <mergeCells count="1">
    <mergeCell ref="F33:G3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N1046"/>
  <sheetViews>
    <sheetView showGridLines="0" zoomScale="90" zoomScaleNormal="90" workbookViewId="0">
      <pane xSplit="9" ySplit="8" topLeftCell="J58" activePane="bottomRight" state="frozen"/>
      <selection activeCell="G28" sqref="G28"/>
      <selection pane="topRight" activeCell="G28" sqref="G28"/>
      <selection pane="bottomLeft" activeCell="G28" sqref="G28"/>
      <selection pane="bottomRight" activeCell="I76" sqref="I76"/>
    </sheetView>
  </sheetViews>
  <sheetFormatPr defaultColWidth="0" defaultRowHeight="15" customHeight="1" outlineLevelRow="2" x14ac:dyDescent="0.3"/>
  <cols>
    <col min="1" max="3" width="1.07421875" customWidth="1"/>
    <col min="4" max="4" width="57.765625" customWidth="1"/>
    <col min="5" max="5" width="9.765625" customWidth="1"/>
    <col min="6" max="6" width="35" customWidth="1"/>
    <col min="7" max="7" width="18" customWidth="1"/>
    <col min="8" max="8" width="28" customWidth="1"/>
    <col min="9" max="9" width="16.4609375" customWidth="1"/>
    <col min="10" max="10" width="1" customWidth="1"/>
    <col min="11" max="14" width="14" customWidth="1"/>
    <col min="15" max="47" width="14.4609375" customWidth="1"/>
    <col min="48" max="66" width="0" hidden="1" customWidth="1"/>
    <col min="67" max="16384" width="14.4609375" hidden="1"/>
  </cols>
  <sheetData>
    <row r="1" spans="1:66" ht="15.75" customHeight="1" x14ac:dyDescent="0.3">
      <c r="A1" s="14"/>
      <c r="B1" s="14"/>
      <c r="C1" s="14"/>
      <c r="D1" s="1" t="s">
        <v>295</v>
      </c>
      <c r="E1" s="4"/>
      <c r="F1" s="74"/>
      <c r="G1" s="4"/>
      <c r="H1" s="4"/>
      <c r="I1" s="2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ht="15.75" customHeight="1" x14ac:dyDescent="0.3">
      <c r="A2" s="13"/>
      <c r="B2" s="13"/>
      <c r="C2" s="13"/>
      <c r="D2" s="16"/>
      <c r="E2" s="16"/>
      <c r="F2" s="16"/>
      <c r="G2" s="16"/>
      <c r="H2" s="17"/>
      <c r="I2" s="16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66" ht="16.95" customHeight="1" x14ac:dyDescent="0.3">
      <c r="A3" s="19"/>
      <c r="B3" s="20"/>
      <c r="C3" s="20"/>
      <c r="D3" s="21" t="s">
        <v>11</v>
      </c>
      <c r="E3" s="22"/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1:66" s="226" customFormat="1" ht="15.75" customHeight="1" x14ac:dyDescent="0.3">
      <c r="A4" s="222"/>
      <c r="B4" s="222"/>
      <c r="C4" s="222"/>
      <c r="D4" s="345"/>
      <c r="E4" s="346" t="s">
        <v>12</v>
      </c>
      <c r="F4" s="346" t="s">
        <v>13</v>
      </c>
      <c r="G4" s="346" t="s">
        <v>14</v>
      </c>
      <c r="H4" s="346" t="s">
        <v>15</v>
      </c>
      <c r="I4" s="346" t="s">
        <v>16</v>
      </c>
      <c r="J4" s="348"/>
      <c r="K4" s="349">
        <f t="shared" ref="K4:AU4" si="0">YEAR(K5)</f>
        <v>2029</v>
      </c>
      <c r="L4" s="349">
        <f t="shared" si="0"/>
        <v>2029</v>
      </c>
      <c r="M4" s="349">
        <f t="shared" si="0"/>
        <v>2029</v>
      </c>
      <c r="N4" s="349">
        <f t="shared" si="0"/>
        <v>2029</v>
      </c>
      <c r="O4" s="349">
        <f t="shared" si="0"/>
        <v>2029</v>
      </c>
      <c r="P4" s="349">
        <f t="shared" si="0"/>
        <v>2029</v>
      </c>
      <c r="Q4" s="349">
        <f t="shared" si="0"/>
        <v>2029</v>
      </c>
      <c r="R4" s="349">
        <f t="shared" si="0"/>
        <v>2029</v>
      </c>
      <c r="S4" s="349">
        <f t="shared" si="0"/>
        <v>2029</v>
      </c>
      <c r="T4" s="349">
        <f t="shared" si="0"/>
        <v>2029</v>
      </c>
      <c r="U4" s="349">
        <f t="shared" si="0"/>
        <v>2029</v>
      </c>
      <c r="V4" s="349">
        <f t="shared" si="0"/>
        <v>2029</v>
      </c>
      <c r="W4" s="349">
        <f t="shared" si="0"/>
        <v>2030</v>
      </c>
      <c r="X4" s="349">
        <f t="shared" si="0"/>
        <v>2030</v>
      </c>
      <c r="Y4" s="349">
        <f t="shared" si="0"/>
        <v>2030</v>
      </c>
      <c r="Z4" s="349">
        <f t="shared" si="0"/>
        <v>2030</v>
      </c>
      <c r="AA4" s="349">
        <f t="shared" si="0"/>
        <v>2030</v>
      </c>
      <c r="AB4" s="349">
        <f t="shared" si="0"/>
        <v>2030</v>
      </c>
      <c r="AC4" s="349">
        <f t="shared" si="0"/>
        <v>2030</v>
      </c>
      <c r="AD4" s="349">
        <f t="shared" si="0"/>
        <v>2030</v>
      </c>
      <c r="AE4" s="349">
        <f t="shared" si="0"/>
        <v>2030</v>
      </c>
      <c r="AF4" s="349">
        <f t="shared" si="0"/>
        <v>2030</v>
      </c>
      <c r="AG4" s="349">
        <f t="shared" si="0"/>
        <v>2030</v>
      </c>
      <c r="AH4" s="349">
        <f t="shared" si="0"/>
        <v>2030</v>
      </c>
      <c r="AI4" s="349">
        <f t="shared" si="0"/>
        <v>2031</v>
      </c>
      <c r="AJ4" s="349">
        <f t="shared" si="0"/>
        <v>2031</v>
      </c>
      <c r="AK4" s="349">
        <f t="shared" si="0"/>
        <v>2031</v>
      </c>
      <c r="AL4" s="349">
        <f t="shared" si="0"/>
        <v>2031</v>
      </c>
      <c r="AM4" s="349">
        <f t="shared" si="0"/>
        <v>2031</v>
      </c>
      <c r="AN4" s="349">
        <f t="shared" si="0"/>
        <v>2031</v>
      </c>
      <c r="AO4" s="349">
        <f t="shared" si="0"/>
        <v>2031</v>
      </c>
      <c r="AP4" s="349">
        <f t="shared" si="0"/>
        <v>2031</v>
      </c>
      <c r="AQ4" s="349">
        <f t="shared" si="0"/>
        <v>2031</v>
      </c>
      <c r="AR4" s="349">
        <f t="shared" si="0"/>
        <v>2031</v>
      </c>
      <c r="AS4" s="349">
        <f t="shared" si="0"/>
        <v>2031</v>
      </c>
      <c r="AT4" s="349">
        <f t="shared" si="0"/>
        <v>2031</v>
      </c>
      <c r="AU4" s="349">
        <f t="shared" si="0"/>
        <v>2032</v>
      </c>
      <c r="AV4" s="345"/>
      <c r="AW4" s="345"/>
      <c r="AX4" s="345"/>
    </row>
    <row r="5" spans="1:66" ht="15.75" customHeight="1" x14ac:dyDescent="0.3">
      <c r="A5" s="13"/>
      <c r="B5" s="13"/>
      <c r="C5" s="13"/>
      <c r="D5" s="9" t="s">
        <v>17</v>
      </c>
      <c r="E5" s="8" t="s">
        <v>18</v>
      </c>
      <c r="F5" s="8"/>
      <c r="G5" s="30"/>
      <c r="H5" s="8"/>
      <c r="I5" s="32"/>
      <c r="J5" s="31"/>
      <c r="K5" s="323">
        <f>I6 + 1</f>
        <v>47119</v>
      </c>
      <c r="L5" s="323">
        <f xml:space="preserve"> K6 + 1</f>
        <v>47150</v>
      </c>
      <c r="M5" s="323">
        <f t="shared" ref="M5:AT5" si="1" xml:space="preserve"> L6 + 1</f>
        <v>47178</v>
      </c>
      <c r="N5" s="323">
        <f t="shared" si="1"/>
        <v>47209</v>
      </c>
      <c r="O5" s="323">
        <f t="shared" si="1"/>
        <v>47239</v>
      </c>
      <c r="P5" s="323">
        <f t="shared" si="1"/>
        <v>47270</v>
      </c>
      <c r="Q5" s="323">
        <f t="shared" si="1"/>
        <v>47300</v>
      </c>
      <c r="R5" s="323">
        <f t="shared" si="1"/>
        <v>47331</v>
      </c>
      <c r="S5" s="323">
        <f t="shared" si="1"/>
        <v>47362</v>
      </c>
      <c r="T5" s="323">
        <f t="shared" si="1"/>
        <v>47392</v>
      </c>
      <c r="U5" s="323">
        <f t="shared" si="1"/>
        <v>47423</v>
      </c>
      <c r="V5" s="323">
        <f t="shared" si="1"/>
        <v>47453</v>
      </c>
      <c r="W5" s="323">
        <f t="shared" si="1"/>
        <v>47484</v>
      </c>
      <c r="X5" s="323">
        <f t="shared" si="1"/>
        <v>47515</v>
      </c>
      <c r="Y5" s="323">
        <f t="shared" si="1"/>
        <v>47543</v>
      </c>
      <c r="Z5" s="323">
        <f t="shared" si="1"/>
        <v>47574</v>
      </c>
      <c r="AA5" s="323">
        <f t="shared" si="1"/>
        <v>47604</v>
      </c>
      <c r="AB5" s="323">
        <f t="shared" si="1"/>
        <v>47635</v>
      </c>
      <c r="AC5" s="323">
        <f t="shared" si="1"/>
        <v>47665</v>
      </c>
      <c r="AD5" s="323">
        <f t="shared" si="1"/>
        <v>47696</v>
      </c>
      <c r="AE5" s="323">
        <f t="shared" si="1"/>
        <v>47727</v>
      </c>
      <c r="AF5" s="323">
        <f t="shared" si="1"/>
        <v>47757</v>
      </c>
      <c r="AG5" s="323">
        <f t="shared" si="1"/>
        <v>47788</v>
      </c>
      <c r="AH5" s="323">
        <f t="shared" si="1"/>
        <v>47818</v>
      </c>
      <c r="AI5" s="323">
        <f t="shared" si="1"/>
        <v>47849</v>
      </c>
      <c r="AJ5" s="323">
        <f t="shared" si="1"/>
        <v>47880</v>
      </c>
      <c r="AK5" s="323">
        <f t="shared" si="1"/>
        <v>47908</v>
      </c>
      <c r="AL5" s="323">
        <f t="shared" si="1"/>
        <v>47939</v>
      </c>
      <c r="AM5" s="323">
        <f t="shared" si="1"/>
        <v>47969</v>
      </c>
      <c r="AN5" s="323">
        <f t="shared" si="1"/>
        <v>48000</v>
      </c>
      <c r="AO5" s="323">
        <f t="shared" si="1"/>
        <v>48030</v>
      </c>
      <c r="AP5" s="323">
        <f t="shared" si="1"/>
        <v>48061</v>
      </c>
      <c r="AQ5" s="323">
        <f t="shared" si="1"/>
        <v>48092</v>
      </c>
      <c r="AR5" s="323">
        <f t="shared" si="1"/>
        <v>48122</v>
      </c>
      <c r="AS5" s="323">
        <f t="shared" si="1"/>
        <v>48153</v>
      </c>
      <c r="AT5" s="323">
        <f t="shared" si="1"/>
        <v>48183</v>
      </c>
      <c r="AU5" s="32">
        <f t="shared" ref="AU5" si="2">AT6 + 1</f>
        <v>48214</v>
      </c>
      <c r="AV5" s="9"/>
      <c r="AW5" s="9"/>
      <c r="AX5" s="9"/>
    </row>
    <row r="6" spans="1:66" ht="15.75" customHeight="1" x14ac:dyDescent="0.3">
      <c r="A6" s="13"/>
      <c r="B6" s="13"/>
      <c r="C6" s="13"/>
      <c r="D6" s="9" t="s">
        <v>20</v>
      </c>
      <c r="E6" s="8" t="s">
        <v>18</v>
      </c>
      <c r="F6" s="8"/>
      <c r="G6" s="30"/>
      <c r="H6" s="8"/>
      <c r="I6" s="93">
        <f>'Assumptions and inputs'!I8</f>
        <v>47118</v>
      </c>
      <c r="J6" s="33"/>
      <c r="K6" s="323">
        <f>EOMONTH(K5, 0)</f>
        <v>47149</v>
      </c>
      <c r="L6" s="323">
        <f t="shared" ref="L6:AT6" si="3">EOMONTH(L5, 0)</f>
        <v>47177</v>
      </c>
      <c r="M6" s="323">
        <f t="shared" si="3"/>
        <v>47208</v>
      </c>
      <c r="N6" s="323">
        <f t="shared" si="3"/>
        <v>47238</v>
      </c>
      <c r="O6" s="323">
        <f t="shared" si="3"/>
        <v>47269</v>
      </c>
      <c r="P6" s="323">
        <f t="shared" si="3"/>
        <v>47299</v>
      </c>
      <c r="Q6" s="323">
        <f t="shared" si="3"/>
        <v>47330</v>
      </c>
      <c r="R6" s="323">
        <f t="shared" si="3"/>
        <v>47361</v>
      </c>
      <c r="S6" s="323">
        <f t="shared" si="3"/>
        <v>47391</v>
      </c>
      <c r="T6" s="323">
        <f t="shared" si="3"/>
        <v>47422</v>
      </c>
      <c r="U6" s="323">
        <f t="shared" si="3"/>
        <v>47452</v>
      </c>
      <c r="V6" s="323">
        <f t="shared" si="3"/>
        <v>47483</v>
      </c>
      <c r="W6" s="323">
        <f t="shared" si="3"/>
        <v>47514</v>
      </c>
      <c r="X6" s="323">
        <f t="shared" si="3"/>
        <v>47542</v>
      </c>
      <c r="Y6" s="323">
        <f t="shared" si="3"/>
        <v>47573</v>
      </c>
      <c r="Z6" s="323">
        <f t="shared" si="3"/>
        <v>47603</v>
      </c>
      <c r="AA6" s="323">
        <f t="shared" si="3"/>
        <v>47634</v>
      </c>
      <c r="AB6" s="323">
        <f t="shared" si="3"/>
        <v>47664</v>
      </c>
      <c r="AC6" s="323">
        <f t="shared" si="3"/>
        <v>47695</v>
      </c>
      <c r="AD6" s="323">
        <f t="shared" si="3"/>
        <v>47726</v>
      </c>
      <c r="AE6" s="323">
        <f t="shared" si="3"/>
        <v>47756</v>
      </c>
      <c r="AF6" s="323">
        <f t="shared" si="3"/>
        <v>47787</v>
      </c>
      <c r="AG6" s="323">
        <f t="shared" si="3"/>
        <v>47817</v>
      </c>
      <c r="AH6" s="323">
        <f t="shared" si="3"/>
        <v>47848</v>
      </c>
      <c r="AI6" s="323">
        <f t="shared" si="3"/>
        <v>47879</v>
      </c>
      <c r="AJ6" s="323">
        <f t="shared" si="3"/>
        <v>47907</v>
      </c>
      <c r="AK6" s="323">
        <f t="shared" si="3"/>
        <v>47938</v>
      </c>
      <c r="AL6" s="323">
        <f t="shared" si="3"/>
        <v>47968</v>
      </c>
      <c r="AM6" s="323">
        <f t="shared" si="3"/>
        <v>47999</v>
      </c>
      <c r="AN6" s="323">
        <f t="shared" si="3"/>
        <v>48029</v>
      </c>
      <c r="AO6" s="323">
        <f t="shared" si="3"/>
        <v>48060</v>
      </c>
      <c r="AP6" s="323">
        <f t="shared" si="3"/>
        <v>48091</v>
      </c>
      <c r="AQ6" s="323">
        <f t="shared" si="3"/>
        <v>48121</v>
      </c>
      <c r="AR6" s="323">
        <f t="shared" si="3"/>
        <v>48152</v>
      </c>
      <c r="AS6" s="323">
        <f t="shared" si="3"/>
        <v>48182</v>
      </c>
      <c r="AT6" s="323">
        <f t="shared" si="3"/>
        <v>48213</v>
      </c>
      <c r="AU6" s="32">
        <f t="shared" ref="AU6" si="4">EOMONTH(AU5, 0) + 1</f>
        <v>48245</v>
      </c>
      <c r="AV6" s="9"/>
      <c r="AW6" s="9"/>
      <c r="AX6" s="9"/>
    </row>
    <row r="7" spans="1:66" ht="15.75" customHeight="1" x14ac:dyDescent="0.3">
      <c r="A7" s="13"/>
      <c r="B7" s="13"/>
      <c r="C7" s="13"/>
      <c r="D7" s="9" t="s">
        <v>21</v>
      </c>
      <c r="E7" s="8"/>
      <c r="F7" s="8"/>
      <c r="G7" s="30"/>
      <c r="H7" s="8"/>
      <c r="I7" s="8">
        <v>0</v>
      </c>
      <c r="J7" s="34"/>
      <c r="K7" s="337">
        <f>I7 + 1</f>
        <v>1</v>
      </c>
      <c r="L7" s="337">
        <f t="shared" ref="L7:AT7" si="5">K7 + 1</f>
        <v>2</v>
      </c>
      <c r="M7" s="337">
        <f t="shared" si="5"/>
        <v>3</v>
      </c>
      <c r="N7" s="337">
        <f t="shared" si="5"/>
        <v>4</v>
      </c>
      <c r="O7" s="90">
        <f t="shared" si="5"/>
        <v>5</v>
      </c>
      <c r="P7" s="90">
        <f t="shared" si="5"/>
        <v>6</v>
      </c>
      <c r="Q7" s="90">
        <f t="shared" si="5"/>
        <v>7</v>
      </c>
      <c r="R7" s="90">
        <f t="shared" si="5"/>
        <v>8</v>
      </c>
      <c r="S7" s="90">
        <f t="shared" si="5"/>
        <v>9</v>
      </c>
      <c r="T7" s="90">
        <f t="shared" si="5"/>
        <v>10</v>
      </c>
      <c r="U7" s="90">
        <f t="shared" si="5"/>
        <v>11</v>
      </c>
      <c r="V7" s="90">
        <f t="shared" si="5"/>
        <v>12</v>
      </c>
      <c r="W7" s="90">
        <f t="shared" si="5"/>
        <v>13</v>
      </c>
      <c r="X7" s="90">
        <f t="shared" si="5"/>
        <v>14</v>
      </c>
      <c r="Y7" s="90">
        <f t="shared" si="5"/>
        <v>15</v>
      </c>
      <c r="Z7" s="90">
        <f t="shared" si="5"/>
        <v>16</v>
      </c>
      <c r="AA7" s="90">
        <f t="shared" si="5"/>
        <v>17</v>
      </c>
      <c r="AB7" s="90">
        <f t="shared" si="5"/>
        <v>18</v>
      </c>
      <c r="AC7" s="90">
        <f t="shared" si="5"/>
        <v>19</v>
      </c>
      <c r="AD7" s="90">
        <f t="shared" si="5"/>
        <v>20</v>
      </c>
      <c r="AE7" s="90">
        <f t="shared" si="5"/>
        <v>21</v>
      </c>
      <c r="AF7" s="90">
        <f t="shared" si="5"/>
        <v>22</v>
      </c>
      <c r="AG7" s="90">
        <f t="shared" si="5"/>
        <v>23</v>
      </c>
      <c r="AH7" s="90">
        <f t="shared" si="5"/>
        <v>24</v>
      </c>
      <c r="AI7" s="90">
        <f t="shared" si="5"/>
        <v>25</v>
      </c>
      <c r="AJ7" s="90">
        <f t="shared" si="5"/>
        <v>26</v>
      </c>
      <c r="AK7" s="90">
        <f t="shared" si="5"/>
        <v>27</v>
      </c>
      <c r="AL7" s="90">
        <f t="shared" si="5"/>
        <v>28</v>
      </c>
      <c r="AM7" s="90">
        <f t="shared" si="5"/>
        <v>29</v>
      </c>
      <c r="AN7" s="90">
        <f t="shared" si="5"/>
        <v>30</v>
      </c>
      <c r="AO7" s="90">
        <f t="shared" si="5"/>
        <v>31</v>
      </c>
      <c r="AP7" s="90">
        <f t="shared" si="5"/>
        <v>32</v>
      </c>
      <c r="AQ7" s="90">
        <f t="shared" si="5"/>
        <v>33</v>
      </c>
      <c r="AR7" s="90">
        <f t="shared" si="5"/>
        <v>34</v>
      </c>
      <c r="AS7" s="90">
        <f t="shared" si="5"/>
        <v>35</v>
      </c>
      <c r="AT7" s="90">
        <f t="shared" si="5"/>
        <v>36</v>
      </c>
      <c r="AU7" s="92">
        <f t="shared" ref="AU7" si="6">AT7 + 1</f>
        <v>37</v>
      </c>
      <c r="AV7" s="9"/>
      <c r="AW7" s="9"/>
      <c r="AX7" s="9"/>
    </row>
    <row r="8" spans="1:66" ht="15.75" customHeight="1" x14ac:dyDescent="0.3">
      <c r="A8" s="13"/>
      <c r="B8" s="13"/>
      <c r="C8" s="13"/>
      <c r="D8" s="95" t="s">
        <v>22</v>
      </c>
      <c r="E8" s="94"/>
      <c r="F8" s="100"/>
      <c r="G8" s="97"/>
      <c r="H8" s="94"/>
      <c r="I8" s="94"/>
      <c r="J8" s="7"/>
      <c r="K8" s="338">
        <f>(K6 - K5 + 1)/ (DATE(YEAR(K6), 12, 31) - DATE(YEAR(K6), 1, 1) + 1)</f>
        <v>8.4931506849315067E-2</v>
      </c>
      <c r="L8" s="338">
        <f t="shared" ref="L8:AT8" si="7">(L6 - L5 + 1)/ (DATE(YEAR(L6), 12, 31) - DATE(YEAR(L6), 1, 1) + 1)</f>
        <v>7.6712328767123292E-2</v>
      </c>
      <c r="M8" s="338">
        <f t="shared" si="7"/>
        <v>8.4931506849315067E-2</v>
      </c>
      <c r="N8" s="338">
        <f t="shared" si="7"/>
        <v>8.2191780821917804E-2</v>
      </c>
      <c r="O8" s="338">
        <f t="shared" si="7"/>
        <v>8.4931506849315067E-2</v>
      </c>
      <c r="P8" s="338">
        <f t="shared" si="7"/>
        <v>8.2191780821917804E-2</v>
      </c>
      <c r="Q8" s="338">
        <f t="shared" si="7"/>
        <v>8.4931506849315067E-2</v>
      </c>
      <c r="R8" s="338">
        <f t="shared" si="7"/>
        <v>8.4931506849315067E-2</v>
      </c>
      <c r="S8" s="338">
        <f t="shared" si="7"/>
        <v>8.2191780821917804E-2</v>
      </c>
      <c r="T8" s="338">
        <f t="shared" si="7"/>
        <v>8.4931506849315067E-2</v>
      </c>
      <c r="U8" s="338">
        <f t="shared" si="7"/>
        <v>8.2191780821917804E-2</v>
      </c>
      <c r="V8" s="338">
        <f t="shared" si="7"/>
        <v>8.4931506849315067E-2</v>
      </c>
      <c r="W8" s="338">
        <f t="shared" si="7"/>
        <v>8.4931506849315067E-2</v>
      </c>
      <c r="X8" s="338">
        <f t="shared" si="7"/>
        <v>7.6712328767123292E-2</v>
      </c>
      <c r="Y8" s="338">
        <f t="shared" si="7"/>
        <v>8.4931506849315067E-2</v>
      </c>
      <c r="Z8" s="338">
        <f t="shared" si="7"/>
        <v>8.2191780821917804E-2</v>
      </c>
      <c r="AA8" s="338">
        <f t="shared" si="7"/>
        <v>8.4931506849315067E-2</v>
      </c>
      <c r="AB8" s="338">
        <f t="shared" si="7"/>
        <v>8.2191780821917804E-2</v>
      </c>
      <c r="AC8" s="338">
        <f t="shared" si="7"/>
        <v>8.4931506849315067E-2</v>
      </c>
      <c r="AD8" s="338">
        <f t="shared" si="7"/>
        <v>8.4931506849315067E-2</v>
      </c>
      <c r="AE8" s="338">
        <f t="shared" si="7"/>
        <v>8.2191780821917804E-2</v>
      </c>
      <c r="AF8" s="338">
        <f t="shared" si="7"/>
        <v>8.4931506849315067E-2</v>
      </c>
      <c r="AG8" s="338">
        <f t="shared" si="7"/>
        <v>8.2191780821917804E-2</v>
      </c>
      <c r="AH8" s="338">
        <f t="shared" si="7"/>
        <v>8.4931506849315067E-2</v>
      </c>
      <c r="AI8" s="338">
        <f t="shared" si="7"/>
        <v>8.4931506849315067E-2</v>
      </c>
      <c r="AJ8" s="338">
        <f t="shared" si="7"/>
        <v>7.6712328767123292E-2</v>
      </c>
      <c r="AK8" s="338">
        <f t="shared" si="7"/>
        <v>8.4931506849315067E-2</v>
      </c>
      <c r="AL8" s="338">
        <f t="shared" si="7"/>
        <v>8.2191780821917804E-2</v>
      </c>
      <c r="AM8" s="338">
        <f t="shared" si="7"/>
        <v>8.4931506849315067E-2</v>
      </c>
      <c r="AN8" s="338">
        <f t="shared" si="7"/>
        <v>8.2191780821917804E-2</v>
      </c>
      <c r="AO8" s="338">
        <f t="shared" si="7"/>
        <v>8.4931506849315067E-2</v>
      </c>
      <c r="AP8" s="338">
        <f t="shared" si="7"/>
        <v>8.4931506849315067E-2</v>
      </c>
      <c r="AQ8" s="338">
        <f t="shared" si="7"/>
        <v>8.2191780821917804E-2</v>
      </c>
      <c r="AR8" s="338">
        <f t="shared" si="7"/>
        <v>8.4931506849315067E-2</v>
      </c>
      <c r="AS8" s="338">
        <f t="shared" si="7"/>
        <v>8.2191780821917804E-2</v>
      </c>
      <c r="AT8" s="338">
        <f t="shared" si="7"/>
        <v>8.4931506849315067E-2</v>
      </c>
      <c r="AU8" s="99">
        <f t="shared" ref="AU8" si="8">(AU6-AU5)/365</f>
        <v>8.4931506849315067E-2</v>
      </c>
      <c r="AV8" s="95"/>
      <c r="AW8" s="95"/>
      <c r="AX8" s="95"/>
    </row>
    <row r="9" spans="1:66" ht="15.75" customHeight="1" x14ac:dyDescent="0.3">
      <c r="A9" s="13"/>
      <c r="B9" s="13"/>
      <c r="C9" s="13"/>
      <c r="D9" s="9"/>
      <c r="E9" s="8"/>
      <c r="F9" s="8"/>
      <c r="G9" s="30"/>
      <c r="H9" s="8"/>
      <c r="I9" s="9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66" ht="15.75" customHeight="1" x14ac:dyDescent="0.3">
      <c r="A10" s="13"/>
      <c r="B10" s="13"/>
      <c r="C10" s="13"/>
      <c r="D10" s="104" t="s">
        <v>74</v>
      </c>
      <c r="E10" s="105"/>
      <c r="F10" s="105"/>
      <c r="G10" s="106"/>
      <c r="H10" s="105"/>
      <c r="I10" s="105"/>
      <c r="J10" s="8"/>
      <c r="K10" s="48"/>
      <c r="L10" s="48"/>
      <c r="M10" s="48"/>
      <c r="N10" s="4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66" ht="15.75" customHeight="1" outlineLevel="1" x14ac:dyDescent="0.3">
      <c r="A11" s="13"/>
      <c r="B11" s="13"/>
      <c r="C11" s="13"/>
      <c r="D11" s="57" t="s">
        <v>76</v>
      </c>
      <c r="E11" s="58"/>
      <c r="F11" s="58"/>
      <c r="G11" s="60"/>
      <c r="H11" s="58"/>
      <c r="I11" s="58"/>
      <c r="J11" s="42"/>
      <c r="K11" s="48"/>
      <c r="L11" s="48"/>
      <c r="M11" s="48"/>
      <c r="N11" s="4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66" ht="12.45" outlineLevel="2" x14ac:dyDescent="0.3">
      <c r="A12" s="13"/>
      <c r="B12" s="13"/>
      <c r="C12" s="13"/>
      <c r="D12" s="108" t="s">
        <v>48</v>
      </c>
      <c r="E12" s="110"/>
      <c r="F12" s="112"/>
      <c r="G12" s="112"/>
      <c r="H12" s="113"/>
      <c r="I12" s="114"/>
      <c r="J12" s="47"/>
      <c r="K12" s="48"/>
      <c r="L12" s="48"/>
      <c r="M12" s="48"/>
      <c r="N12" s="4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66" ht="12.45" outlineLevel="2" x14ac:dyDescent="0.3">
      <c r="A13" s="13"/>
      <c r="B13" s="13"/>
      <c r="C13" s="13"/>
      <c r="D13" s="6" t="s">
        <v>49</v>
      </c>
      <c r="E13" s="7" t="s">
        <v>50</v>
      </c>
      <c r="F13" s="67"/>
      <c r="G13" s="40"/>
      <c r="H13" s="67"/>
      <c r="I13" s="42">
        <f>'Assumptions and inputs'!I45</f>
        <v>380</v>
      </c>
      <c r="J13" s="49"/>
      <c r="K13" s="45"/>
      <c r="L13" s="48"/>
      <c r="M13" s="48"/>
      <c r="N13" s="6"/>
      <c r="O13" s="4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66" ht="12.45" outlineLevel="2" x14ac:dyDescent="0.3">
      <c r="A14" s="13"/>
      <c r="B14" s="13"/>
      <c r="C14" s="13"/>
      <c r="D14" s="6" t="s">
        <v>51</v>
      </c>
      <c r="E14" s="7" t="s">
        <v>50</v>
      </c>
      <c r="F14" s="67"/>
      <c r="G14" s="40"/>
      <c r="H14" s="67"/>
      <c r="I14" s="42">
        <f>'Assumptions and inputs'!I46</f>
        <v>75</v>
      </c>
      <c r="J14" s="49"/>
      <c r="K14" s="45"/>
      <c r="L14" s="48"/>
      <c r="M14" s="48"/>
      <c r="N14" s="6"/>
      <c r="O14" s="4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66" ht="12.45" outlineLevel="2" x14ac:dyDescent="0.3">
      <c r="A15" s="13"/>
      <c r="B15" s="13"/>
      <c r="C15" s="13"/>
      <c r="D15" s="6" t="s">
        <v>52</v>
      </c>
      <c r="E15" s="7" t="s">
        <v>50</v>
      </c>
      <c r="F15" s="67"/>
      <c r="G15" s="40"/>
      <c r="H15" s="67"/>
      <c r="I15" s="42">
        <f>'Assumptions and inputs'!I47</f>
        <v>4500</v>
      </c>
      <c r="J15" s="47"/>
      <c r="K15" s="45"/>
      <c r="L15" s="48"/>
      <c r="M15" s="48"/>
      <c r="N15" s="6"/>
      <c r="O15" s="4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66" ht="12.45" outlineLevel="2" x14ac:dyDescent="0.3">
      <c r="A16" s="13"/>
      <c r="B16" s="13"/>
      <c r="C16" s="13"/>
      <c r="D16" s="6" t="s">
        <v>53</v>
      </c>
      <c r="E16" s="7" t="s">
        <v>50</v>
      </c>
      <c r="F16" s="68"/>
      <c r="G16" s="40"/>
      <c r="H16" s="68"/>
      <c r="I16" s="116">
        <f>'Assumptions and inputs'!I48</f>
        <v>1500</v>
      </c>
      <c r="J16" s="47"/>
      <c r="K16" s="45"/>
      <c r="L16" s="45"/>
      <c r="M16" s="45"/>
      <c r="N16" s="4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2.45" outlineLevel="2" x14ac:dyDescent="0.3">
      <c r="A17" s="13"/>
      <c r="B17" s="13"/>
      <c r="C17" s="13"/>
      <c r="D17" s="6" t="s">
        <v>54</v>
      </c>
      <c r="E17" s="7" t="s">
        <v>50</v>
      </c>
      <c r="F17" s="67"/>
      <c r="G17" s="40"/>
      <c r="H17" s="67"/>
      <c r="I17" s="42">
        <f>'Assumptions and inputs'!I49</f>
        <v>234</v>
      </c>
      <c r="J17" s="7"/>
      <c r="K17" s="45"/>
      <c r="L17" s="45"/>
      <c r="M17" s="45"/>
      <c r="N17" s="4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ht="6.75" customHeight="1" outlineLevel="2" x14ac:dyDescent="0.3">
      <c r="A18" s="13"/>
      <c r="B18" s="13"/>
      <c r="C18" s="13"/>
      <c r="D18" s="107"/>
      <c r="E18" s="39"/>
      <c r="F18" s="40"/>
      <c r="G18" s="40"/>
      <c r="H18" s="61"/>
      <c r="I18" s="61"/>
      <c r="J18" s="7"/>
      <c r="K18" s="45"/>
      <c r="L18" s="45"/>
      <c r="M18" s="45"/>
      <c r="N18" s="4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2.45" outlineLevel="2" x14ac:dyDescent="0.3">
      <c r="A19" s="13"/>
      <c r="B19" s="13"/>
      <c r="C19" s="13"/>
      <c r="D19" s="108" t="s">
        <v>55</v>
      </c>
      <c r="E19" s="110"/>
      <c r="F19" s="112"/>
      <c r="G19" s="112"/>
      <c r="H19" s="113"/>
      <c r="I19" s="113"/>
      <c r="J19" s="7"/>
      <c r="K19" s="45"/>
      <c r="L19" s="45"/>
      <c r="M19" s="45"/>
      <c r="N19" s="4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ht="12.45" outlineLevel="2" x14ac:dyDescent="0.3">
      <c r="A20" s="13"/>
      <c r="B20" s="13"/>
      <c r="C20" s="13"/>
      <c r="D20" s="6" t="s">
        <v>56</v>
      </c>
      <c r="E20" s="7" t="s">
        <v>36</v>
      </c>
      <c r="F20" s="69"/>
      <c r="G20" s="40"/>
      <c r="H20" s="69"/>
      <c r="I20" s="70">
        <f>'Assumptions and inputs'!I51</f>
        <v>0.17</v>
      </c>
      <c r="J20" s="8"/>
      <c r="K20" s="45"/>
      <c r="L20" s="45"/>
      <c r="M20" s="45"/>
      <c r="N20" s="4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2.45" outlineLevel="2" x14ac:dyDescent="0.3">
      <c r="A21" s="13"/>
      <c r="B21" s="13"/>
      <c r="C21" s="13"/>
      <c r="D21" s="6" t="s">
        <v>57</v>
      </c>
      <c r="E21" s="7" t="s">
        <v>36</v>
      </c>
      <c r="F21" s="69"/>
      <c r="G21" s="40"/>
      <c r="H21" s="69"/>
      <c r="I21" s="70">
        <f>'Assumptions and inputs'!I52</f>
        <v>0.01</v>
      </c>
      <c r="J21" s="7"/>
      <c r="K21" s="45"/>
      <c r="L21" s="45"/>
      <c r="M21" s="45"/>
      <c r="N21" s="4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ht="12.45" outlineLevel="2" x14ac:dyDescent="0.3">
      <c r="A22" s="13"/>
      <c r="B22" s="13"/>
      <c r="C22" s="13"/>
      <c r="D22" s="6" t="s">
        <v>52</v>
      </c>
      <c r="E22" s="7" t="s">
        <v>36</v>
      </c>
      <c r="F22" s="69"/>
      <c r="G22" s="40"/>
      <c r="H22" s="69"/>
      <c r="I22" s="70">
        <f>'Assumptions and inputs'!I53</f>
        <v>7.0000000000000001E-3</v>
      </c>
      <c r="J22" s="47"/>
      <c r="K22" s="45"/>
      <c r="L22" s="45"/>
      <c r="M22" s="45"/>
      <c r="N22" s="45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12.45" outlineLevel="2" x14ac:dyDescent="0.3">
      <c r="A23" s="13"/>
      <c r="B23" s="13"/>
      <c r="C23" s="13"/>
      <c r="D23" s="6" t="s">
        <v>58</v>
      </c>
      <c r="E23" s="7" t="s">
        <v>36</v>
      </c>
      <c r="F23" s="69"/>
      <c r="G23" s="40"/>
      <c r="H23" s="69"/>
      <c r="I23" s="70">
        <f>'Assumptions and inputs'!I54</f>
        <v>8.0000000000000002E-3</v>
      </c>
      <c r="J23" s="47"/>
      <c r="K23" s="45"/>
      <c r="L23" s="45"/>
      <c r="M23" s="45"/>
      <c r="N23" s="4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ht="12.45" outlineLevel="2" x14ac:dyDescent="0.3">
      <c r="A24" s="13"/>
      <c r="B24" s="13"/>
      <c r="C24" s="13"/>
      <c r="D24" s="6" t="s">
        <v>59</v>
      </c>
      <c r="E24" s="7" t="s">
        <v>36</v>
      </c>
      <c r="F24" s="69"/>
      <c r="G24" s="40"/>
      <c r="H24" s="69"/>
      <c r="I24" s="70">
        <f>'Assumptions and inputs'!I55</f>
        <v>5.0000000000000001E-3</v>
      </c>
      <c r="J24" s="49"/>
      <c r="K24" s="45"/>
      <c r="L24" s="45"/>
      <c r="M24" s="45"/>
      <c r="N24" s="4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12.45" outlineLevel="2" x14ac:dyDescent="0.3">
      <c r="A25" s="13"/>
      <c r="B25" s="13"/>
      <c r="C25" s="13"/>
      <c r="D25" s="6" t="s">
        <v>60</v>
      </c>
      <c r="E25" s="7" t="s">
        <v>36</v>
      </c>
      <c r="F25" s="69"/>
      <c r="G25" s="40"/>
      <c r="H25" s="69"/>
      <c r="I25" s="70">
        <f>'Assumptions and inputs'!I56</f>
        <v>0.8</v>
      </c>
      <c r="J25" s="52"/>
      <c r="K25" s="45"/>
      <c r="L25" s="45"/>
      <c r="M25" s="45"/>
      <c r="N25" s="4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7.5" customHeight="1" outlineLevel="2" x14ac:dyDescent="0.3">
      <c r="A26" s="13"/>
      <c r="B26" s="13"/>
      <c r="C26" s="13"/>
      <c r="D26" s="107"/>
      <c r="E26" s="111"/>
      <c r="F26" s="65"/>
      <c r="G26" s="65"/>
      <c r="H26" s="76"/>
      <c r="I26" s="76"/>
      <c r="J26" s="52"/>
      <c r="K26" s="45"/>
      <c r="L26" s="45"/>
      <c r="M26" s="45"/>
      <c r="N26" s="4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ht="24.9" outlineLevel="2" x14ac:dyDescent="0.3">
      <c r="A27" s="13"/>
      <c r="B27" s="13"/>
      <c r="C27" s="13"/>
      <c r="D27" s="108" t="s">
        <v>81</v>
      </c>
      <c r="E27" s="117" t="s">
        <v>50</v>
      </c>
      <c r="F27" s="118" t="s">
        <v>82</v>
      </c>
      <c r="G27" s="119"/>
      <c r="H27" s="120"/>
      <c r="I27" s="120">
        <f>I28+I34+I35</f>
        <v>135.02000000000001</v>
      </c>
      <c r="J27" s="52"/>
      <c r="K27" s="45"/>
      <c r="L27" s="45"/>
      <c r="M27" s="45"/>
      <c r="N27" s="4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t="12.45" outlineLevel="2" x14ac:dyDescent="0.3">
      <c r="A28" s="13"/>
      <c r="B28" s="13"/>
      <c r="C28" s="13"/>
      <c r="D28" s="107" t="s">
        <v>84</v>
      </c>
      <c r="E28" s="111" t="s">
        <v>63</v>
      </c>
      <c r="F28" s="65"/>
      <c r="G28" s="65"/>
      <c r="H28" s="76"/>
      <c r="I28" s="121">
        <f>SUM(I29:I33)</f>
        <v>110.02000000000001</v>
      </c>
      <c r="J28" s="42"/>
      <c r="K28" s="45"/>
      <c r="L28" s="45"/>
      <c r="M28" s="45"/>
      <c r="N28" s="4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12.45" outlineLevel="2" x14ac:dyDescent="0.3">
      <c r="A29" s="13"/>
      <c r="B29" s="13"/>
      <c r="C29" s="13"/>
      <c r="D29" s="9" t="str">
        <f t="shared" ref="D29:D33" si="9">D13</f>
        <v xml:space="preserve">  Кокосовая паста</v>
      </c>
      <c r="E29" s="39" t="s">
        <v>63</v>
      </c>
      <c r="F29" s="40"/>
      <c r="G29" s="40"/>
      <c r="H29" s="35"/>
      <c r="I29" s="123">
        <f t="shared" ref="I29:I33" si="10">I13*I20</f>
        <v>64.600000000000009</v>
      </c>
      <c r="J29" s="8"/>
      <c r="K29" s="45"/>
      <c r="L29" s="45"/>
      <c r="M29" s="45"/>
      <c r="N29" s="4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12.45" outlineLevel="2" x14ac:dyDescent="0.3">
      <c r="A30" s="13"/>
      <c r="B30" s="13"/>
      <c r="C30" s="13"/>
      <c r="D30" s="9" t="str">
        <f t="shared" si="9"/>
        <v xml:space="preserve">  Карбонат кальция</v>
      </c>
      <c r="E30" s="39" t="s">
        <v>63</v>
      </c>
      <c r="F30" s="40"/>
      <c r="G30" s="40"/>
      <c r="H30" s="35"/>
      <c r="I30" s="123">
        <f t="shared" si="10"/>
        <v>0.75</v>
      </c>
      <c r="J30" s="8"/>
      <c r="K30" s="45"/>
      <c r="L30" s="45"/>
      <c r="M30" s="45"/>
      <c r="N30" s="4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2.45" outlineLevel="2" x14ac:dyDescent="0.3">
      <c r="A31" s="13"/>
      <c r="B31" s="13"/>
      <c r="C31" s="13"/>
      <c r="D31" s="9" t="str">
        <f t="shared" si="9"/>
        <v xml:space="preserve">  Витамины</v>
      </c>
      <c r="E31" s="39" t="s">
        <v>63</v>
      </c>
      <c r="F31" s="40"/>
      <c r="G31" s="40"/>
      <c r="H31" s="35"/>
      <c r="I31" s="123">
        <f t="shared" si="10"/>
        <v>31.5</v>
      </c>
      <c r="J31" s="7"/>
      <c r="K31" s="45"/>
      <c r="L31" s="45"/>
      <c r="M31" s="45"/>
      <c r="N31" s="4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12.45" outlineLevel="2" x14ac:dyDescent="0.3">
      <c r="A32" s="13"/>
      <c r="B32" s="13"/>
      <c r="C32" s="13"/>
      <c r="D32" s="9" t="str">
        <f t="shared" si="9"/>
        <v xml:space="preserve">  Камедь рожкового дерева</v>
      </c>
      <c r="E32" s="39" t="s">
        <v>63</v>
      </c>
      <c r="F32" s="40"/>
      <c r="G32" s="40"/>
      <c r="H32" s="35"/>
      <c r="I32" s="123">
        <f t="shared" si="10"/>
        <v>12</v>
      </c>
      <c r="J32" s="7"/>
      <c r="K32" s="45"/>
      <c r="L32" s="45"/>
      <c r="M32" s="45"/>
      <c r="N32" s="4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2.45" outlineLevel="2" x14ac:dyDescent="0.3">
      <c r="A33" s="13"/>
      <c r="B33" s="13"/>
      <c r="C33" s="13"/>
      <c r="D33" s="9" t="str">
        <f t="shared" si="9"/>
        <v xml:space="preserve">  Лецитин подсолнечный</v>
      </c>
      <c r="E33" s="39" t="s">
        <v>63</v>
      </c>
      <c r="F33" s="40"/>
      <c r="G33" s="40"/>
      <c r="H33" s="35"/>
      <c r="I33" s="123">
        <f t="shared" si="10"/>
        <v>1.17</v>
      </c>
      <c r="J33" s="7"/>
      <c r="K33" s="45"/>
      <c r="L33" s="45"/>
      <c r="M33" s="45"/>
      <c r="N33" s="4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12.45" outlineLevel="2" x14ac:dyDescent="0.3">
      <c r="A34" s="13"/>
      <c r="B34" s="13"/>
      <c r="C34" s="13"/>
      <c r="D34" s="107" t="s">
        <v>62</v>
      </c>
      <c r="E34" s="39" t="s">
        <v>63</v>
      </c>
      <c r="F34" s="40"/>
      <c r="G34" s="40"/>
      <c r="H34" s="125"/>
      <c r="I34" s="121">
        <f>'Assumptions and inputs'!I59</f>
        <v>20</v>
      </c>
      <c r="J34" s="7"/>
      <c r="K34" s="45"/>
      <c r="L34" s="45"/>
      <c r="M34" s="45"/>
      <c r="N34" s="4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2.45" outlineLevel="2" x14ac:dyDescent="0.3">
      <c r="A35" s="13"/>
      <c r="B35" s="13"/>
      <c r="C35" s="13"/>
      <c r="D35" s="107" t="s">
        <v>64</v>
      </c>
      <c r="E35" s="39" t="s">
        <v>63</v>
      </c>
      <c r="F35" s="40"/>
      <c r="G35" s="40"/>
      <c r="H35" s="125"/>
      <c r="I35" s="121">
        <f>'Assumptions and inputs'!I60</f>
        <v>5</v>
      </c>
      <c r="J35" s="7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</row>
    <row r="36" spans="1:50" ht="12.45" outlineLevel="2" x14ac:dyDescent="0.3">
      <c r="A36" s="13"/>
      <c r="B36" s="13"/>
      <c r="C36" s="13"/>
      <c r="D36" s="9"/>
      <c r="E36" s="39"/>
      <c r="F36" s="40"/>
      <c r="G36" s="40"/>
      <c r="H36" s="46"/>
      <c r="I36" s="46"/>
      <c r="J36" s="8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</row>
    <row r="37" spans="1:50" ht="15.75" customHeight="1" outlineLevel="1" x14ac:dyDescent="0.3">
      <c r="A37" s="13"/>
      <c r="B37" s="13"/>
      <c r="C37" s="13"/>
      <c r="D37" s="57" t="s">
        <v>86</v>
      </c>
      <c r="E37" s="79"/>
      <c r="F37" s="79"/>
      <c r="G37" s="80"/>
      <c r="H37" s="79"/>
      <c r="I37" s="81">
        <f>SUM(I38:I39)</f>
        <v>8500000</v>
      </c>
      <c r="J37" s="6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</row>
    <row r="38" spans="1:50" ht="12.45" outlineLevel="2" x14ac:dyDescent="0.3">
      <c r="A38" s="13"/>
      <c r="B38" s="13"/>
      <c r="C38" s="13"/>
      <c r="D38" s="9" t="s">
        <v>66</v>
      </c>
      <c r="E38" s="39" t="s">
        <v>63</v>
      </c>
      <c r="F38" s="40"/>
      <c r="G38" s="40"/>
      <c r="H38" s="61"/>
      <c r="I38" s="35">
        <f>'Assumptions and inputs'!I63</f>
        <v>4500000</v>
      </c>
      <c r="J38" s="67"/>
      <c r="K38" s="43"/>
      <c r="L38" s="43"/>
      <c r="M38" s="43"/>
      <c r="N38" s="4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2.45" outlineLevel="2" x14ac:dyDescent="0.3">
      <c r="A39" s="13"/>
      <c r="B39" s="13"/>
      <c r="C39" s="13"/>
      <c r="D39" s="9" t="s">
        <v>67</v>
      </c>
      <c r="E39" s="39" t="s">
        <v>63</v>
      </c>
      <c r="F39" s="40"/>
      <c r="G39" s="40"/>
      <c r="H39" s="61"/>
      <c r="I39" s="35">
        <f>'Assumptions and inputs'!I64</f>
        <v>4000000</v>
      </c>
      <c r="J39" s="67"/>
      <c r="K39" s="43"/>
      <c r="L39" s="43"/>
      <c r="M39" s="43"/>
      <c r="N39" s="43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12.45" outlineLevel="2" x14ac:dyDescent="0.3">
      <c r="A40" s="13"/>
      <c r="B40" s="13"/>
      <c r="C40" s="13"/>
      <c r="D40" s="9"/>
      <c r="E40" s="8"/>
      <c r="F40" s="9"/>
      <c r="G40" s="40"/>
      <c r="H40" s="61"/>
      <c r="I40" s="46"/>
      <c r="J40" s="67"/>
      <c r="K40" s="43"/>
      <c r="L40" s="43"/>
      <c r="M40" s="43"/>
      <c r="N40" s="4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5.75" customHeight="1" outlineLevel="2" x14ac:dyDescent="0.3">
      <c r="A41" s="13"/>
      <c r="B41" s="13"/>
      <c r="C41" s="13"/>
      <c r="D41" s="57" t="s">
        <v>87</v>
      </c>
      <c r="E41" s="79"/>
      <c r="F41" s="79"/>
      <c r="G41" s="80"/>
      <c r="H41" s="79"/>
      <c r="I41" s="81">
        <f>SUM(I42)</f>
        <v>8000000</v>
      </c>
      <c r="J41" s="68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</row>
    <row r="42" spans="1:50" ht="12.45" outlineLevel="2" x14ac:dyDescent="0.3">
      <c r="A42" s="13"/>
      <c r="B42" s="13"/>
      <c r="C42" s="13"/>
      <c r="D42" s="9" t="s">
        <v>68</v>
      </c>
      <c r="E42" s="8" t="s">
        <v>63</v>
      </c>
      <c r="F42" s="40"/>
      <c r="G42" s="40"/>
      <c r="H42" s="61"/>
      <c r="I42" s="35">
        <f>'Assumptions and inputs'!I65</f>
        <v>8000000</v>
      </c>
      <c r="J42" s="67"/>
      <c r="K42" s="43"/>
      <c r="L42" s="43"/>
      <c r="M42" s="43"/>
      <c r="N42" s="43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12.45" x14ac:dyDescent="0.3">
      <c r="A43" s="13"/>
      <c r="B43" s="13"/>
      <c r="C43" s="13"/>
      <c r="D43" s="9"/>
      <c r="E43" s="39"/>
      <c r="F43" s="40"/>
      <c r="G43" s="40"/>
      <c r="H43" s="46"/>
      <c r="I43" s="46"/>
      <c r="J43" s="64"/>
      <c r="K43" s="43"/>
      <c r="L43" s="43"/>
      <c r="M43" s="43"/>
      <c r="N43" s="43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15.75" customHeight="1" x14ac:dyDescent="0.3">
      <c r="A44" s="13"/>
      <c r="B44" s="13"/>
      <c r="C44" s="13"/>
      <c r="D44" s="104" t="s">
        <v>89</v>
      </c>
      <c r="E44" s="105"/>
      <c r="F44" s="105"/>
      <c r="G44" s="106"/>
      <c r="H44" s="105"/>
      <c r="I44" s="105"/>
      <c r="J44" s="6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ht="19.5" customHeight="1" outlineLevel="1" x14ac:dyDescent="0.3">
      <c r="A45" s="13"/>
      <c r="B45" s="13"/>
      <c r="C45" s="13"/>
      <c r="D45" s="57" t="s">
        <v>93</v>
      </c>
      <c r="E45" s="79"/>
      <c r="F45" s="132" t="s">
        <v>94</v>
      </c>
      <c r="G45" s="80"/>
      <c r="H45" s="81"/>
      <c r="I45" s="79"/>
      <c r="J45" s="6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ht="19.5" customHeight="1" outlineLevel="1" x14ac:dyDescent="0.3">
      <c r="A46" s="13"/>
      <c r="B46" s="13"/>
      <c r="C46" s="13"/>
      <c r="D46" s="133" t="s">
        <v>96</v>
      </c>
      <c r="E46" s="8"/>
      <c r="F46" s="50" t="s">
        <v>98</v>
      </c>
      <c r="G46" s="30"/>
      <c r="H46" s="8"/>
      <c r="I46" s="8"/>
      <c r="J46" s="6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ht="19.5" customHeight="1" outlineLevel="1" x14ac:dyDescent="0.3">
      <c r="A47" s="13"/>
      <c r="B47" s="13"/>
      <c r="C47" s="13"/>
      <c r="D47" s="19" t="s">
        <v>100</v>
      </c>
      <c r="E47" s="8"/>
      <c r="F47" s="50" t="s">
        <v>101</v>
      </c>
      <c r="G47" s="30"/>
      <c r="H47" s="8"/>
      <c r="I47" s="8"/>
      <c r="J47" s="6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ht="19.5" customHeight="1" outlineLevel="1" x14ac:dyDescent="0.3">
      <c r="A48" s="13"/>
      <c r="B48" s="13"/>
      <c r="C48" s="13"/>
      <c r="D48" s="19" t="s">
        <v>103</v>
      </c>
      <c r="E48" s="8"/>
      <c r="F48" s="50" t="s">
        <v>104</v>
      </c>
      <c r="G48" s="30"/>
      <c r="H48" s="8"/>
      <c r="I48" s="8"/>
      <c r="J48" s="6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ht="15.75" customHeight="1" x14ac:dyDescent="0.3">
      <c r="A49" s="13"/>
      <c r="B49" s="13"/>
      <c r="C49" s="13"/>
      <c r="D49" s="56"/>
      <c r="E49" s="8"/>
      <c r="F49" s="8"/>
      <c r="G49" s="30"/>
      <c r="H49" s="8"/>
      <c r="I49" s="8"/>
      <c r="J49" s="6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ht="15.75" customHeight="1" x14ac:dyDescent="0.3">
      <c r="A50" s="13"/>
      <c r="B50" s="13"/>
      <c r="C50" s="13"/>
      <c r="D50" s="104" t="s">
        <v>106</v>
      </c>
      <c r="E50" s="105"/>
      <c r="F50" s="105"/>
      <c r="G50" s="106"/>
      <c r="H50" s="105"/>
      <c r="I50" s="134">
        <f>YEAR(I6)</f>
        <v>2028</v>
      </c>
      <c r="J50" s="69"/>
      <c r="K50" s="134">
        <f>I50 + 1</f>
        <v>2029</v>
      </c>
      <c r="L50" s="134">
        <f t="shared" ref="L50:M50" si="11">K50 + 1</f>
        <v>2030</v>
      </c>
      <c r="M50" s="134">
        <f t="shared" si="11"/>
        <v>2031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ht="15.75" customHeight="1" outlineLevel="1" x14ac:dyDescent="0.3">
      <c r="A51" s="13"/>
      <c r="B51" s="13"/>
      <c r="C51" s="13"/>
      <c r="D51" s="136" t="s">
        <v>107</v>
      </c>
      <c r="E51" s="137" t="s">
        <v>36</v>
      </c>
      <c r="F51" s="138"/>
      <c r="G51" s="139"/>
      <c r="H51" s="140"/>
      <c r="I51" s="138"/>
      <c r="J51" s="76"/>
      <c r="K51" s="142">
        <f xml:space="preserve"> Прогнозы!K15</f>
        <v>5000000</v>
      </c>
      <c r="L51" s="142">
        <f xml:space="preserve"> Прогнозы!L15</f>
        <v>10750000</v>
      </c>
      <c r="M51" s="142">
        <f xml:space="preserve"> Прогнозы!M15</f>
        <v>12900000</v>
      </c>
      <c r="N51" s="143"/>
      <c r="O51" s="143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</row>
    <row r="52" spans="1:50" ht="15.75" customHeight="1" x14ac:dyDescent="0.3">
      <c r="A52" s="13"/>
      <c r="B52" s="13"/>
      <c r="C52" s="13"/>
      <c r="D52" s="56"/>
      <c r="E52" s="39"/>
      <c r="F52" s="39"/>
      <c r="G52" s="87"/>
      <c r="H52" s="39"/>
      <c r="I52" s="39"/>
      <c r="J52" s="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ht="15.75" customHeight="1" x14ac:dyDescent="0.3">
      <c r="A53" s="13"/>
      <c r="B53" s="13"/>
      <c r="C53" s="13"/>
      <c r="D53" s="104" t="s">
        <v>121</v>
      </c>
      <c r="E53" s="105"/>
      <c r="F53" s="105" t="s">
        <v>122</v>
      </c>
      <c r="G53" s="106"/>
      <c r="H53" s="105"/>
      <c r="I53" s="105"/>
      <c r="J53" s="7"/>
      <c r="K53" s="134">
        <f>K50</f>
        <v>2029</v>
      </c>
      <c r="L53" s="134">
        <f>L50</f>
        <v>2030</v>
      </c>
      <c r="M53" s="134">
        <f>M50</f>
        <v>2031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ht="15.75" customHeight="1" outlineLevel="1" x14ac:dyDescent="0.3">
      <c r="A54" s="13"/>
      <c r="B54" s="13"/>
      <c r="C54" s="13"/>
      <c r="D54" s="150" t="s">
        <v>123</v>
      </c>
      <c r="E54" s="151"/>
      <c r="F54" s="151"/>
      <c r="G54" s="155"/>
      <c r="H54" s="151"/>
      <c r="I54" s="151"/>
      <c r="J54" s="7"/>
      <c r="K54" s="157"/>
      <c r="L54" s="157"/>
      <c r="M54" s="157"/>
      <c r="N54" s="159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</row>
    <row r="55" spans="1:50" ht="15.75" customHeight="1" outlineLevel="1" x14ac:dyDescent="0.3">
      <c r="A55" s="13"/>
      <c r="B55" s="13"/>
      <c r="C55" s="13"/>
      <c r="D55" s="19" t="str">
        <f>D46</f>
        <v>Управление цехом</v>
      </c>
      <c r="E55" s="8" t="s">
        <v>50</v>
      </c>
      <c r="F55" s="8"/>
      <c r="G55" s="30"/>
      <c r="H55" s="8"/>
      <c r="I55" s="8"/>
      <c r="J55" s="7"/>
      <c r="K55" s="158">
        <f xml:space="preserve"> $I$38 / K51</f>
        <v>0.9</v>
      </c>
      <c r="L55" s="158">
        <f xml:space="preserve"> $I$38 / L51</f>
        <v>0.41860465116279072</v>
      </c>
      <c r="M55" s="158">
        <f xml:space="preserve"> $I$38 / M51</f>
        <v>0.34883720930232559</v>
      </c>
      <c r="N55" s="160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ht="15.75" customHeight="1" outlineLevel="1" x14ac:dyDescent="0.3">
      <c r="A56" s="13"/>
      <c r="B56" s="13"/>
      <c r="C56" s="13"/>
      <c r="D56" s="19" t="str">
        <f>D47</f>
        <v>Наладка оборудования</v>
      </c>
      <c r="E56" s="8" t="s">
        <v>50</v>
      </c>
      <c r="F56" s="8"/>
      <c r="G56" s="30"/>
      <c r="H56" s="8"/>
      <c r="I56" s="8"/>
      <c r="J56" s="7"/>
      <c r="K56" s="158">
        <f xml:space="preserve"> $I$39 / K51</f>
        <v>0.8</v>
      </c>
      <c r="L56" s="158">
        <f xml:space="preserve"> $I$39 / L51</f>
        <v>0.37209302325581395</v>
      </c>
      <c r="M56" s="158">
        <f xml:space="preserve"> $I$39 / M51</f>
        <v>0.31007751937984496</v>
      </c>
      <c r="N56" s="160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ht="15.75" customHeight="1" outlineLevel="1" x14ac:dyDescent="0.3">
      <c r="A57" s="13"/>
      <c r="B57" s="13"/>
      <c r="C57" s="13"/>
      <c r="D57" s="19" t="str">
        <f>D48</f>
        <v>Администрирование</v>
      </c>
      <c r="E57" s="8" t="s">
        <v>50</v>
      </c>
      <c r="F57" s="8"/>
      <c r="G57" s="30"/>
      <c r="H57" s="8"/>
      <c r="I57" s="8"/>
      <c r="J57" s="7"/>
      <c r="K57" s="158">
        <f>$I$42/K51</f>
        <v>1.6</v>
      </c>
      <c r="L57" s="158">
        <f t="shared" ref="L57:M57" si="12">$I$42/L51</f>
        <v>0.7441860465116279</v>
      </c>
      <c r="M57" s="158">
        <f t="shared" si="12"/>
        <v>0.62015503875968991</v>
      </c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</row>
    <row r="58" spans="1:50" ht="15.75" customHeight="1" x14ac:dyDescent="0.3">
      <c r="A58" s="13"/>
      <c r="B58" s="13"/>
      <c r="C58" s="13"/>
      <c r="D58" s="56"/>
      <c r="E58" s="8"/>
      <c r="F58" s="8"/>
      <c r="G58" s="30"/>
      <c r="H58" s="8"/>
      <c r="I58" s="8"/>
      <c r="J58" s="7"/>
      <c r="K58" s="9"/>
      <c r="L58" s="9"/>
      <c r="M58" s="9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</row>
    <row r="59" spans="1:50" ht="15.75" customHeight="1" x14ac:dyDescent="0.3">
      <c r="A59" s="13"/>
      <c r="B59" s="13"/>
      <c r="C59" s="13"/>
      <c r="D59" s="104" t="s">
        <v>127</v>
      </c>
      <c r="E59" s="105"/>
      <c r="F59" s="105"/>
      <c r="G59" s="106"/>
      <c r="H59" s="105"/>
      <c r="I59" s="105"/>
      <c r="J59" s="41"/>
      <c r="K59" s="134">
        <f>K50</f>
        <v>2029</v>
      </c>
      <c r="L59" s="134">
        <f>L50</f>
        <v>2030</v>
      </c>
      <c r="M59" s="134">
        <f>M50</f>
        <v>2031</v>
      </c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</row>
    <row r="60" spans="1:50" ht="12.45" outlineLevel="1" x14ac:dyDescent="0.3">
      <c r="A60" s="13"/>
      <c r="B60" s="13"/>
      <c r="C60" s="13"/>
      <c r="D60" s="107" t="str">
        <f>D27</f>
        <v>Прямые затраты на производство 1 кг продукта</v>
      </c>
      <c r="E60" s="8" t="s">
        <v>63</v>
      </c>
      <c r="F60" s="107"/>
      <c r="G60" s="107"/>
      <c r="H60" s="82"/>
      <c r="I60" s="82">
        <f>I27</f>
        <v>135.02000000000001</v>
      </c>
      <c r="J60" s="7"/>
      <c r="K60" s="76">
        <f t="shared" ref="K60:K63" si="13">$I60</f>
        <v>135.02000000000001</v>
      </c>
      <c r="L60" s="76">
        <f t="shared" ref="L60:M60" si="14">K60</f>
        <v>135.02000000000001</v>
      </c>
      <c r="M60" s="76">
        <f t="shared" si="14"/>
        <v>135.02000000000001</v>
      </c>
      <c r="N60" s="111"/>
      <c r="O60" s="111"/>
      <c r="P60" s="111"/>
      <c r="Q60" s="111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</row>
    <row r="61" spans="1:50" ht="12.45" outlineLevel="1" x14ac:dyDescent="0.3">
      <c r="A61" s="13"/>
      <c r="B61" s="13"/>
      <c r="C61" s="13"/>
      <c r="D61" s="9" t="str">
        <f>D28</f>
        <v>Сырье</v>
      </c>
      <c r="E61" s="8" t="str">
        <f>E28</f>
        <v>руб</v>
      </c>
      <c r="F61" s="9"/>
      <c r="G61" s="9"/>
      <c r="H61" s="36"/>
      <c r="I61" s="161">
        <f>I28</f>
        <v>110.02000000000001</v>
      </c>
      <c r="J61" s="7"/>
      <c r="K61" s="123">
        <f>$I61</f>
        <v>110.02000000000001</v>
      </c>
      <c r="L61" s="123">
        <f t="shared" ref="L61:M61" si="15">K61</f>
        <v>110.02000000000001</v>
      </c>
      <c r="M61" s="123">
        <f t="shared" si="15"/>
        <v>110.02000000000001</v>
      </c>
      <c r="N61" s="35"/>
      <c r="O61" s="35"/>
      <c r="P61" s="35"/>
      <c r="Q61" s="35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12.45" outlineLevel="1" x14ac:dyDescent="0.3">
      <c r="A62" s="13"/>
      <c r="B62" s="13"/>
      <c r="C62" s="13"/>
      <c r="D62" s="9" t="str">
        <f>D34</f>
        <v>Заработная плата производственным рабочим</v>
      </c>
      <c r="E62" s="8" t="str">
        <f>E34</f>
        <v>руб</v>
      </c>
      <c r="F62" s="9"/>
      <c r="G62" s="9"/>
      <c r="H62" s="36"/>
      <c r="I62" s="161">
        <f>I34</f>
        <v>20</v>
      </c>
      <c r="J62" s="7"/>
      <c r="K62" s="123">
        <f t="shared" si="13"/>
        <v>20</v>
      </c>
      <c r="L62" s="123">
        <f t="shared" ref="L62:M62" si="16">K62</f>
        <v>20</v>
      </c>
      <c r="M62" s="123">
        <f t="shared" si="16"/>
        <v>20</v>
      </c>
      <c r="N62" s="43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ht="12.45" outlineLevel="1" x14ac:dyDescent="0.3">
      <c r="A63" s="13"/>
      <c r="B63" s="13"/>
      <c r="C63" s="13"/>
      <c r="D63" s="9" t="str">
        <f>D35</f>
        <v>Прочие прямые затраты</v>
      </c>
      <c r="E63" s="8" t="str">
        <f>E35</f>
        <v>руб</v>
      </c>
      <c r="F63" s="9"/>
      <c r="G63" s="9"/>
      <c r="H63" s="36"/>
      <c r="I63" s="161">
        <f>I35</f>
        <v>5</v>
      </c>
      <c r="J63" s="7"/>
      <c r="K63" s="123">
        <f t="shared" si="13"/>
        <v>5</v>
      </c>
      <c r="L63" s="123">
        <f t="shared" ref="L63:M63" si="17">K63</f>
        <v>5</v>
      </c>
      <c r="M63" s="123">
        <f t="shared" si="17"/>
        <v>5</v>
      </c>
      <c r="N63" s="36"/>
      <c r="O63" s="36"/>
      <c r="P63" s="36"/>
      <c r="Q63" s="3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ht="12.45" outlineLevel="1" x14ac:dyDescent="0.3">
      <c r="A64" s="13"/>
      <c r="B64" s="13"/>
      <c r="C64" s="13"/>
      <c r="D64" s="107"/>
      <c r="E64" s="111"/>
      <c r="F64" s="65"/>
      <c r="G64" s="65"/>
      <c r="H64" s="61"/>
      <c r="I64" s="162"/>
      <c r="J64" s="7"/>
      <c r="K64" s="82"/>
      <c r="L64" s="82"/>
      <c r="M64" s="82"/>
      <c r="N64" s="82"/>
      <c r="O64" s="82"/>
      <c r="P64" s="82"/>
      <c r="Q64" s="8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</row>
    <row r="65" spans="1:50" ht="12.45" outlineLevel="1" x14ac:dyDescent="0.3">
      <c r="A65" s="13"/>
      <c r="B65" s="13"/>
      <c r="C65" s="13"/>
      <c r="D65" s="107" t="s">
        <v>128</v>
      </c>
      <c r="E65" s="111"/>
      <c r="F65" s="65"/>
      <c r="G65" s="65"/>
      <c r="H65" s="61"/>
      <c r="I65" s="162"/>
      <c r="J65" s="7"/>
      <c r="K65" s="512">
        <f t="shared" ref="K65:M65" si="18">SUM(K66:K68)</f>
        <v>3.3000000000000003</v>
      </c>
      <c r="L65" s="512">
        <f>SUM(L66:L68)</f>
        <v>1.5348837209302326</v>
      </c>
      <c r="M65" s="512">
        <f t="shared" si="18"/>
        <v>1.2790697674418605</v>
      </c>
      <c r="N65" s="82"/>
      <c r="O65" s="82"/>
      <c r="P65" s="82"/>
      <c r="Q65" s="8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</row>
    <row r="66" spans="1:50" ht="12.45" outlineLevel="1" x14ac:dyDescent="0.3">
      <c r="A66" s="13"/>
      <c r="B66" s="13"/>
      <c r="C66" s="13"/>
      <c r="D66" s="9" t="str">
        <f>D38</f>
        <v xml:space="preserve">Общие затраты по управлению цехом </v>
      </c>
      <c r="E66" s="8" t="str">
        <f>E38</f>
        <v>руб</v>
      </c>
      <c r="F66" s="40"/>
      <c r="G66" s="40"/>
      <c r="H66" s="61"/>
      <c r="I66" s="46"/>
      <c r="J66" s="7"/>
      <c r="K66" s="513">
        <f t="shared" ref="K66:M66" si="19">K55</f>
        <v>0.9</v>
      </c>
      <c r="L66" s="513">
        <f t="shared" si="19"/>
        <v>0.41860465116279072</v>
      </c>
      <c r="M66" s="513">
        <f t="shared" si="19"/>
        <v>0.34883720930232559</v>
      </c>
      <c r="N66" s="511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ht="12.45" outlineLevel="1" x14ac:dyDescent="0.3">
      <c r="A67" s="13"/>
      <c r="B67" s="13"/>
      <c r="C67" s="13"/>
      <c r="D67" s="9" t="str">
        <f>D39</f>
        <v xml:space="preserve">Затраты на наладку оборудования </v>
      </c>
      <c r="E67" s="8" t="str">
        <f>E39</f>
        <v>руб</v>
      </c>
      <c r="F67" s="40"/>
      <c r="G67" s="40"/>
      <c r="H67" s="61"/>
      <c r="I67" s="46"/>
      <c r="J67" s="7"/>
      <c r="K67" s="513">
        <f t="shared" ref="K67:M67" si="20">K56</f>
        <v>0.8</v>
      </c>
      <c r="L67" s="513">
        <f t="shared" si="20"/>
        <v>0.37209302325581395</v>
      </c>
      <c r="M67" s="513">
        <f t="shared" si="20"/>
        <v>0.31007751937984496</v>
      </c>
      <c r="N67" s="511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ht="12.45" outlineLevel="1" x14ac:dyDescent="0.3">
      <c r="A68" s="13"/>
      <c r="B68" s="13"/>
      <c r="C68" s="13"/>
      <c r="D68" s="9" t="str">
        <f>D42</f>
        <v>Административные расходы</v>
      </c>
      <c r="E68" s="8" t="str">
        <f>E42</f>
        <v>руб</v>
      </c>
      <c r="F68" s="40"/>
      <c r="G68" s="40"/>
      <c r="H68" s="61"/>
      <c r="I68" s="46"/>
      <c r="J68" s="7"/>
      <c r="K68" s="513">
        <f>K57</f>
        <v>1.6</v>
      </c>
      <c r="L68" s="513">
        <f t="shared" ref="L68:M68" si="21">L57</f>
        <v>0.7441860465116279</v>
      </c>
      <c r="M68" s="513">
        <f t="shared" si="21"/>
        <v>0.62015503875968991</v>
      </c>
      <c r="N68" s="511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ht="12.45" outlineLevel="1" x14ac:dyDescent="0.3">
      <c r="A69" s="13"/>
      <c r="B69" s="13"/>
      <c r="C69" s="13"/>
      <c r="D69" s="9"/>
      <c r="E69" s="39"/>
      <c r="F69" s="40"/>
      <c r="G69" s="40"/>
      <c r="H69" s="46"/>
      <c r="I69" s="46"/>
      <c r="J69" s="7"/>
      <c r="K69" s="43"/>
      <c r="L69" s="43"/>
      <c r="M69" s="43"/>
      <c r="N69" s="43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ht="18.75" customHeight="1" outlineLevel="1" x14ac:dyDescent="0.3">
      <c r="A70" s="19"/>
      <c r="B70" s="19"/>
      <c r="C70" s="19"/>
      <c r="D70" s="163" t="s">
        <v>129</v>
      </c>
      <c r="E70" s="164"/>
      <c r="F70" s="165" t="s">
        <v>130</v>
      </c>
      <c r="G70" s="166"/>
      <c r="H70" s="167"/>
      <c r="I70" s="167"/>
      <c r="J70" s="8"/>
      <c r="K70" s="168">
        <f t="shared" ref="K70" si="22">K60+K65</f>
        <v>138.32000000000002</v>
      </c>
      <c r="L70" s="168">
        <f>L60+L65</f>
        <v>136.55488372093023</v>
      </c>
      <c r="M70" s="168">
        <f>M60+M65</f>
        <v>136.29906976744186</v>
      </c>
      <c r="N70" s="169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</row>
    <row r="71" spans="1:50" ht="12.45" x14ac:dyDescent="0.3">
      <c r="A71" s="13"/>
      <c r="B71" s="13"/>
      <c r="C71" s="13"/>
      <c r="D71" s="9"/>
      <c r="E71" s="39"/>
      <c r="F71" s="40"/>
      <c r="G71" s="40"/>
      <c r="H71" s="8"/>
      <c r="I71" s="8"/>
      <c r="J71" s="7"/>
      <c r="K71" s="43"/>
      <c r="L71" s="43"/>
      <c r="M71" s="43"/>
      <c r="N71" s="43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ht="12.45" x14ac:dyDescent="0.3">
      <c r="A72" s="13"/>
      <c r="B72" s="13"/>
      <c r="C72" s="13"/>
      <c r="D72" s="635" t="s">
        <v>131</v>
      </c>
      <c r="E72" s="636"/>
      <c r="F72" s="636"/>
      <c r="G72" s="636"/>
      <c r="H72" s="636"/>
      <c r="I72" s="637"/>
      <c r="J72" s="7"/>
      <c r="K72" s="43"/>
      <c r="L72" s="135"/>
      <c r="M72" s="43"/>
      <c r="N72" s="43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2.9" outlineLevel="1" x14ac:dyDescent="0.35">
      <c r="A73" s="13"/>
      <c r="B73" s="13"/>
      <c r="C73" s="13"/>
      <c r="D73" s="144" t="str">
        <f>'Assumptions and inputs'!D41</f>
        <v xml:space="preserve">Рентабельность аналогичных продуктов в компании </v>
      </c>
      <c r="E73" s="143"/>
      <c r="F73" s="143"/>
      <c r="G73" s="143"/>
      <c r="H73" s="170">
        <f>'Assumptions and inputs'!H41</f>
        <v>0.45</v>
      </c>
      <c r="I73" s="171"/>
      <c r="J73" s="7"/>
      <c r="K73" s="142"/>
      <c r="L73" s="172"/>
      <c r="M73" s="142"/>
      <c r="N73" s="142"/>
      <c r="O73" s="142"/>
      <c r="P73" s="142"/>
      <c r="Q73" s="142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</row>
    <row r="74" spans="1:50" ht="12.45" outlineLevel="1" x14ac:dyDescent="0.3">
      <c r="A74" s="13"/>
      <c r="B74" s="13"/>
      <c r="C74" s="13"/>
      <c r="D74" s="9" t="s">
        <v>132</v>
      </c>
      <c r="E74" s="39" t="s">
        <v>63</v>
      </c>
      <c r="F74" s="40"/>
      <c r="G74" s="40"/>
      <c r="H74" s="46"/>
      <c r="I74" s="35">
        <f>M70</f>
        <v>136.29906976744186</v>
      </c>
      <c r="J74" s="8"/>
      <c r="K74" s="36"/>
      <c r="L74" s="135"/>
      <c r="M74" s="36"/>
      <c r="N74" s="36"/>
      <c r="O74" s="36"/>
      <c r="P74" s="36"/>
      <c r="Q74" s="3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ht="12.45" outlineLevel="1" x14ac:dyDescent="0.3">
      <c r="A75" s="13"/>
      <c r="B75" s="13"/>
      <c r="C75" s="13"/>
      <c r="D75" s="9" t="s">
        <v>133</v>
      </c>
      <c r="E75" s="39" t="s">
        <v>63</v>
      </c>
      <c r="F75" s="40"/>
      <c r="G75" s="40"/>
      <c r="H75" s="46"/>
      <c r="I75" s="35">
        <f xml:space="preserve"> I74 * H73 / (1 - H73)</f>
        <v>111.51742071881607</v>
      </c>
      <c r="J75" s="7"/>
      <c r="K75" s="43"/>
      <c r="L75" s="43"/>
      <c r="M75" s="43"/>
      <c r="N75" s="43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ht="12.45" outlineLevel="1" x14ac:dyDescent="0.3">
      <c r="A76" s="13"/>
      <c r="B76" s="13"/>
      <c r="C76" s="13"/>
      <c r="D76" s="163" t="s">
        <v>134</v>
      </c>
      <c r="E76" s="164" t="s">
        <v>63</v>
      </c>
      <c r="F76" s="166"/>
      <c r="G76" s="166"/>
      <c r="H76" s="173"/>
      <c r="I76" s="174">
        <f>I75+I74</f>
        <v>247.81649048625792</v>
      </c>
      <c r="J76" s="7"/>
      <c r="K76" s="43"/>
      <c r="L76" s="43"/>
      <c r="M76" s="43"/>
      <c r="N76" s="43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ht="12.45" outlineLevel="1" x14ac:dyDescent="0.3">
      <c r="A77" s="13"/>
      <c r="B77" s="13"/>
      <c r="C77" s="13"/>
      <c r="D77" s="9"/>
      <c r="E77" s="39"/>
      <c r="F77" s="40"/>
      <c r="G77" s="40"/>
      <c r="H77" s="46"/>
      <c r="I77" s="46"/>
      <c r="J77" s="7"/>
      <c r="K77" s="43"/>
      <c r="L77" s="43"/>
      <c r="M77" s="43"/>
      <c r="N77" s="43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ht="12.45" x14ac:dyDescent="0.3">
      <c r="A78" s="13"/>
      <c r="B78" s="13"/>
      <c r="C78" s="13"/>
      <c r="D78" s="9"/>
      <c r="E78" s="39"/>
      <c r="F78" s="40"/>
      <c r="G78" s="40"/>
      <c r="H78" s="46"/>
      <c r="I78" s="541"/>
      <c r="J78" s="7"/>
      <c r="K78" s="43"/>
      <c r="L78" s="43"/>
      <c r="M78" s="43"/>
      <c r="N78" s="4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2.45" x14ac:dyDescent="0.3">
      <c r="A79" s="13"/>
      <c r="B79" s="13"/>
      <c r="C79" s="13"/>
      <c r="D79" s="9"/>
      <c r="E79" s="39"/>
      <c r="F79" s="40"/>
      <c r="G79" s="40"/>
      <c r="H79" s="46"/>
      <c r="I79" s="541"/>
      <c r="J79" s="8"/>
      <c r="K79" s="43"/>
      <c r="L79" s="43"/>
      <c r="M79" s="43"/>
      <c r="N79" s="43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ht="12.45" x14ac:dyDescent="0.3">
      <c r="A80" s="13"/>
      <c r="B80" s="13"/>
      <c r="C80" s="13"/>
      <c r="D80" s="9"/>
      <c r="E80" s="39"/>
      <c r="F80" s="40"/>
      <c r="G80" s="40"/>
      <c r="H80" s="46"/>
      <c r="I80" s="46"/>
      <c r="J80" s="7"/>
      <c r="K80" s="43"/>
      <c r="L80" s="43"/>
      <c r="M80" s="43"/>
      <c r="N80" s="4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ht="12.45" x14ac:dyDescent="0.3">
      <c r="A81" s="13"/>
      <c r="B81" s="13"/>
      <c r="C81" s="13"/>
      <c r="D81" s="9"/>
      <c r="E81" s="39"/>
      <c r="F81" s="40"/>
      <c r="G81" s="40"/>
      <c r="H81" s="46"/>
      <c r="I81" s="46"/>
      <c r="J81" s="7"/>
      <c r="K81" s="43"/>
      <c r="L81" s="43"/>
      <c r="M81" s="43"/>
      <c r="N81" s="43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ht="12.45" x14ac:dyDescent="0.3">
      <c r="A82" s="13"/>
      <c r="B82" s="13"/>
      <c r="C82" s="13"/>
      <c r="D82" s="9"/>
      <c r="E82" s="39"/>
      <c r="F82" s="40"/>
      <c r="G82" s="40"/>
      <c r="H82" s="46"/>
      <c r="I82" s="46"/>
      <c r="J82" s="7"/>
      <c r="K82" s="43"/>
      <c r="L82" s="43"/>
      <c r="M82" s="43"/>
      <c r="N82" s="4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12.45" x14ac:dyDescent="0.3">
      <c r="A83" s="13"/>
      <c r="B83" s="13"/>
      <c r="C83" s="13"/>
      <c r="D83" s="9"/>
      <c r="E83" s="39"/>
      <c r="F83" s="40"/>
      <c r="G83" s="40"/>
      <c r="H83" s="46"/>
      <c r="I83" s="46"/>
      <c r="J83" s="7"/>
      <c r="K83" s="43"/>
      <c r="L83" s="43"/>
      <c r="M83" s="43"/>
      <c r="N83" s="43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ht="12.45" x14ac:dyDescent="0.3">
      <c r="A84" s="13"/>
      <c r="B84" s="13"/>
      <c r="C84" s="13"/>
      <c r="D84" s="9"/>
      <c r="E84" s="39"/>
      <c r="F84" s="40"/>
      <c r="G84" s="40"/>
      <c r="H84" s="46"/>
      <c r="I84" s="46"/>
      <c r="J84" s="7"/>
      <c r="K84" s="43"/>
      <c r="L84" s="43"/>
      <c r="M84" s="43"/>
      <c r="N84" s="43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ht="12.45" x14ac:dyDescent="0.3">
      <c r="A85" s="13"/>
      <c r="B85" s="13"/>
      <c r="C85" s="13"/>
      <c r="D85" s="9"/>
      <c r="E85" s="39"/>
      <c r="F85" s="40"/>
      <c r="G85" s="40"/>
      <c r="H85" s="46"/>
      <c r="I85" s="46"/>
      <c r="J85" s="7"/>
      <c r="K85" s="43"/>
      <c r="L85" s="43"/>
      <c r="M85" s="43"/>
      <c r="N85" s="43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ht="12.45" x14ac:dyDescent="0.3">
      <c r="A86" s="13"/>
      <c r="B86" s="13"/>
      <c r="C86" s="13"/>
      <c r="D86" s="9"/>
      <c r="E86" s="39"/>
      <c r="F86" s="40"/>
      <c r="G86" s="40"/>
      <c r="H86" s="46"/>
      <c r="I86" s="46"/>
      <c r="J86" s="7"/>
      <c r="K86" s="43"/>
      <c r="L86" s="43"/>
      <c r="M86" s="43"/>
      <c r="N86" s="43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ht="12.45" x14ac:dyDescent="0.3">
      <c r="A87" s="13"/>
      <c r="B87" s="13"/>
      <c r="C87" s="13"/>
      <c r="D87" s="9"/>
      <c r="E87" s="39"/>
      <c r="F87" s="40"/>
      <c r="G87" s="40"/>
      <c r="H87" s="46"/>
      <c r="I87" s="46"/>
      <c r="J87" s="7"/>
      <c r="K87" s="43"/>
      <c r="L87" s="43"/>
      <c r="M87" s="43"/>
      <c r="N87" s="43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ht="12.45" x14ac:dyDescent="0.3">
      <c r="A88" s="13"/>
      <c r="B88" s="13"/>
      <c r="C88" s="13"/>
      <c r="D88" s="9"/>
      <c r="E88" s="39"/>
      <c r="F88" s="40"/>
      <c r="G88" s="40"/>
      <c r="H88" s="46"/>
      <c r="I88" s="46"/>
      <c r="J88" s="8"/>
      <c r="K88" s="43"/>
      <c r="L88" s="43"/>
      <c r="M88" s="43"/>
      <c r="N88" s="43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ht="12.45" x14ac:dyDescent="0.3">
      <c r="A89" s="13"/>
      <c r="B89" s="13"/>
      <c r="C89" s="13"/>
      <c r="D89" s="9"/>
      <c r="E89" s="39"/>
      <c r="F89" s="40"/>
      <c r="G89" s="40"/>
      <c r="H89" s="46"/>
      <c r="I89" s="46"/>
      <c r="J89" s="7"/>
      <c r="K89" s="43"/>
      <c r="L89" s="43"/>
      <c r="M89" s="43"/>
      <c r="N89" s="43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ht="12.45" x14ac:dyDescent="0.3">
      <c r="A90" s="13"/>
      <c r="B90" s="13"/>
      <c r="C90" s="13"/>
      <c r="D90" s="9"/>
      <c r="E90" s="39"/>
      <c r="F90" s="40"/>
      <c r="G90" s="40"/>
      <c r="H90" s="46"/>
      <c r="I90" s="46"/>
      <c r="J90" s="7"/>
      <c r="K90" s="43"/>
      <c r="L90" s="43"/>
      <c r="M90" s="43"/>
      <c r="N90" s="4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12.45" x14ac:dyDescent="0.3">
      <c r="A91" s="13"/>
      <c r="B91" s="13"/>
      <c r="C91" s="13"/>
      <c r="D91" s="9"/>
      <c r="E91" s="39"/>
      <c r="F91" s="40"/>
      <c r="G91" s="40"/>
      <c r="H91" s="46"/>
      <c r="I91" s="46"/>
      <c r="J91" s="7"/>
      <c r="K91" s="43"/>
      <c r="L91" s="43"/>
      <c r="M91" s="43"/>
      <c r="N91" s="43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ht="12.45" x14ac:dyDescent="0.3">
      <c r="A92" s="13"/>
      <c r="B92" s="13"/>
      <c r="C92" s="13"/>
      <c r="D92" s="9"/>
      <c r="E92" s="39"/>
      <c r="F92" s="40"/>
      <c r="G92" s="40"/>
      <c r="H92" s="46"/>
      <c r="I92" s="46"/>
      <c r="J92" s="7"/>
      <c r="K92" s="43"/>
      <c r="L92" s="43"/>
      <c r="M92" s="43"/>
      <c r="N92" s="43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12.45" x14ac:dyDescent="0.3">
      <c r="A93" s="13"/>
      <c r="B93" s="13"/>
      <c r="C93" s="13"/>
      <c r="D93" s="9"/>
      <c r="E93" s="39"/>
      <c r="F93" s="40"/>
      <c r="G93" s="40"/>
      <c r="H93" s="46"/>
      <c r="I93" s="46"/>
      <c r="J93" s="7"/>
      <c r="K93" s="43"/>
      <c r="L93" s="43"/>
      <c r="M93" s="43"/>
      <c r="N93" s="43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ht="12.45" x14ac:dyDescent="0.3">
      <c r="A94" s="13"/>
      <c r="B94" s="13"/>
      <c r="C94" s="13"/>
      <c r="D94" s="9"/>
      <c r="E94" s="39"/>
      <c r="F94" s="40"/>
      <c r="G94" s="40"/>
      <c r="H94" s="46"/>
      <c r="I94" s="46"/>
      <c r="J94" s="7"/>
      <c r="K94" s="43"/>
      <c r="L94" s="43"/>
      <c r="M94" s="43"/>
      <c r="N94" s="43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12.45" x14ac:dyDescent="0.3">
      <c r="A95" s="13"/>
      <c r="B95" s="13"/>
      <c r="C95" s="13"/>
      <c r="D95" s="9"/>
      <c r="E95" s="39"/>
      <c r="F95" s="40"/>
      <c r="G95" s="40"/>
      <c r="H95" s="46"/>
      <c r="I95" s="46"/>
      <c r="J95" s="7"/>
      <c r="K95" s="43"/>
      <c r="L95" s="43"/>
      <c r="M95" s="43"/>
      <c r="N95" s="4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ht="12.45" x14ac:dyDescent="0.3">
      <c r="A96" s="13"/>
      <c r="B96" s="13"/>
      <c r="C96" s="13"/>
      <c r="D96" s="9"/>
      <c r="E96" s="39"/>
      <c r="F96" s="40"/>
      <c r="G96" s="40"/>
      <c r="H96" s="46"/>
      <c r="I96" s="46"/>
      <c r="J96" s="7"/>
      <c r="K96" s="43"/>
      <c r="L96" s="43"/>
      <c r="M96" s="43"/>
      <c r="N96" s="4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ht="12.45" x14ac:dyDescent="0.3">
      <c r="A97" s="13"/>
      <c r="B97" s="13"/>
      <c r="C97" s="13"/>
      <c r="D97" s="9"/>
      <c r="E97" s="39"/>
      <c r="F97" s="40"/>
      <c r="G97" s="40"/>
      <c r="H97" s="46"/>
      <c r="I97" s="46"/>
      <c r="J97" s="7"/>
      <c r="K97" s="43"/>
      <c r="L97" s="43"/>
      <c r="M97" s="43"/>
      <c r="N97" s="43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ht="12.45" x14ac:dyDescent="0.3">
      <c r="A98" s="13"/>
      <c r="B98" s="13"/>
      <c r="C98" s="13"/>
      <c r="D98" s="9"/>
      <c r="E98" s="39"/>
      <c r="F98" s="40"/>
      <c r="G98" s="40"/>
      <c r="H98" s="46"/>
      <c r="I98" s="46"/>
      <c r="J98" s="7"/>
      <c r="K98" s="43"/>
      <c r="L98" s="43"/>
      <c r="M98" s="43"/>
      <c r="N98" s="4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ht="12.45" x14ac:dyDescent="0.3">
      <c r="A99" s="13"/>
      <c r="B99" s="13"/>
      <c r="C99" s="13"/>
      <c r="D99" s="9"/>
      <c r="E99" s="39"/>
      <c r="F99" s="40"/>
      <c r="G99" s="40"/>
      <c r="H99" s="46"/>
      <c r="I99" s="46"/>
      <c r="J99" s="7"/>
      <c r="K99" s="43"/>
      <c r="L99" s="43"/>
      <c r="M99" s="43"/>
      <c r="N99" s="43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ht="12.45" x14ac:dyDescent="0.3">
      <c r="A100" s="13"/>
      <c r="B100" s="13"/>
      <c r="C100" s="13"/>
      <c r="D100" s="9"/>
      <c r="E100" s="39"/>
      <c r="F100" s="40"/>
      <c r="G100" s="40"/>
      <c r="H100" s="46"/>
      <c r="I100" s="46"/>
      <c r="J100" s="7"/>
      <c r="K100" s="43"/>
      <c r="L100" s="43"/>
      <c r="M100" s="43"/>
      <c r="N100" s="4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ht="12.45" x14ac:dyDescent="0.3">
      <c r="A101" s="13"/>
      <c r="B101" s="13"/>
      <c r="C101" s="13"/>
      <c r="D101" s="9"/>
      <c r="E101" s="39"/>
      <c r="F101" s="40"/>
      <c r="G101" s="40"/>
      <c r="H101" s="46"/>
      <c r="I101" s="46"/>
      <c r="J101" s="7"/>
      <c r="K101" s="43"/>
      <c r="L101" s="43"/>
      <c r="M101" s="43"/>
      <c r="N101" s="43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ht="12.45" x14ac:dyDescent="0.3">
      <c r="A102" s="13"/>
      <c r="B102" s="13"/>
      <c r="C102" s="13"/>
      <c r="D102" s="9"/>
      <c r="E102" s="39"/>
      <c r="F102" s="40"/>
      <c r="G102" s="40"/>
      <c r="H102" s="46"/>
      <c r="I102" s="46"/>
      <c r="J102" s="7"/>
      <c r="K102" s="43"/>
      <c r="L102" s="43"/>
      <c r="M102" s="43"/>
      <c r="N102" s="43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ht="12.45" x14ac:dyDescent="0.3">
      <c r="A103" s="13"/>
      <c r="B103" s="13"/>
      <c r="C103" s="13"/>
      <c r="D103" s="9"/>
      <c r="E103" s="39"/>
      <c r="F103" s="40"/>
      <c r="G103" s="40"/>
      <c r="H103" s="46"/>
      <c r="I103" s="46"/>
      <c r="J103" s="7"/>
      <c r="K103" s="43"/>
      <c r="L103" s="43"/>
      <c r="M103" s="43"/>
      <c r="N103" s="43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ht="12.45" x14ac:dyDescent="0.3">
      <c r="A104" s="13"/>
      <c r="B104" s="13"/>
      <c r="C104" s="13"/>
      <c r="D104" s="9"/>
      <c r="E104" s="39"/>
      <c r="F104" s="40"/>
      <c r="G104" s="40"/>
      <c r="H104" s="46"/>
      <c r="I104" s="46"/>
      <c r="J104" s="7"/>
      <c r="K104" s="43"/>
      <c r="L104" s="43"/>
      <c r="M104" s="43"/>
      <c r="N104" s="4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ht="12.45" x14ac:dyDescent="0.3">
      <c r="A105" s="13"/>
      <c r="B105" s="13"/>
      <c r="C105" s="13"/>
      <c r="D105" s="9"/>
      <c r="E105" s="39"/>
      <c r="F105" s="40"/>
      <c r="G105" s="40"/>
      <c r="H105" s="46"/>
      <c r="I105" s="46"/>
      <c r="J105" s="7"/>
      <c r="K105" s="43"/>
      <c r="L105" s="43"/>
      <c r="M105" s="43"/>
      <c r="N105" s="43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ht="12.45" x14ac:dyDescent="0.3">
      <c r="A106" s="13"/>
      <c r="B106" s="13"/>
      <c r="C106" s="13"/>
      <c r="D106" s="9"/>
      <c r="E106" s="39"/>
      <c r="F106" s="40"/>
      <c r="G106" s="40"/>
      <c r="H106" s="46"/>
      <c r="I106" s="46"/>
      <c r="J106" s="7"/>
      <c r="K106" s="43"/>
      <c r="L106" s="43"/>
      <c r="M106" s="43"/>
      <c r="N106" s="4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ht="12.45" x14ac:dyDescent="0.3">
      <c r="A107" s="13"/>
      <c r="B107" s="13"/>
      <c r="C107" s="13"/>
      <c r="D107" s="9"/>
      <c r="E107" s="39"/>
      <c r="F107" s="40"/>
      <c r="G107" s="40"/>
      <c r="H107" s="46"/>
      <c r="I107" s="46"/>
      <c r="J107" s="7"/>
      <c r="K107" s="43"/>
      <c r="L107" s="43"/>
      <c r="M107" s="43"/>
      <c r="N107" s="43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ht="12.45" x14ac:dyDescent="0.3">
      <c r="A108" s="13"/>
      <c r="B108" s="13"/>
      <c r="C108" s="13"/>
      <c r="D108" s="9"/>
      <c r="E108" s="39"/>
      <c r="F108" s="40"/>
      <c r="G108" s="40"/>
      <c r="H108" s="46"/>
      <c r="I108" s="46"/>
      <c r="J108" s="7"/>
      <c r="K108" s="43"/>
      <c r="L108" s="43"/>
      <c r="M108" s="43"/>
      <c r="N108" s="4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ht="12.45" x14ac:dyDescent="0.3">
      <c r="A109" s="13"/>
      <c r="B109" s="13"/>
      <c r="C109" s="13"/>
      <c r="D109" s="9"/>
      <c r="E109" s="39"/>
      <c r="F109" s="40"/>
      <c r="G109" s="40"/>
      <c r="H109" s="46"/>
      <c r="I109" s="46"/>
      <c r="J109" s="7"/>
      <c r="K109" s="43"/>
      <c r="L109" s="43"/>
      <c r="M109" s="43"/>
      <c r="N109" s="43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ht="12.45" x14ac:dyDescent="0.3">
      <c r="A110" s="13"/>
      <c r="B110" s="13"/>
      <c r="C110" s="13"/>
      <c r="D110" s="9"/>
      <c r="E110" s="39"/>
      <c r="F110" s="40"/>
      <c r="G110" s="40"/>
      <c r="H110" s="46"/>
      <c r="I110" s="46"/>
      <c r="J110" s="7"/>
      <c r="K110" s="43"/>
      <c r="L110" s="43"/>
      <c r="M110" s="43"/>
      <c r="N110" s="4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ht="12.45" x14ac:dyDescent="0.3">
      <c r="A111" s="13"/>
      <c r="B111" s="13"/>
      <c r="C111" s="13"/>
      <c r="D111" s="9"/>
      <c r="E111" s="39"/>
      <c r="F111" s="40"/>
      <c r="G111" s="40"/>
      <c r="H111" s="46"/>
      <c r="I111" s="46"/>
      <c r="J111" s="7"/>
      <c r="K111" s="43"/>
      <c r="L111" s="43"/>
      <c r="M111" s="43"/>
      <c r="N111" s="43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ht="12.45" x14ac:dyDescent="0.3">
      <c r="A112" s="13"/>
      <c r="B112" s="13"/>
      <c r="C112" s="13"/>
      <c r="D112" s="9"/>
      <c r="E112" s="39"/>
      <c r="F112" s="40"/>
      <c r="G112" s="40"/>
      <c r="H112" s="46"/>
      <c r="I112" s="46"/>
      <c r="J112" s="7"/>
      <c r="K112" s="43"/>
      <c r="L112" s="43"/>
      <c r="M112" s="43"/>
      <c r="N112" s="4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ht="12.45" x14ac:dyDescent="0.3">
      <c r="A113" s="13"/>
      <c r="B113" s="13"/>
      <c r="C113" s="13"/>
      <c r="D113" s="9"/>
      <c r="E113" s="39"/>
      <c r="F113" s="40"/>
      <c r="G113" s="40"/>
      <c r="H113" s="46"/>
      <c r="I113" s="46"/>
      <c r="J113" s="7"/>
      <c r="K113" s="43"/>
      <c r="L113" s="43"/>
      <c r="M113" s="43"/>
      <c r="N113" s="43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ht="12.45" x14ac:dyDescent="0.3">
      <c r="A114" s="13"/>
      <c r="B114" s="13"/>
      <c r="C114" s="13"/>
      <c r="D114" s="9"/>
      <c r="E114" s="39"/>
      <c r="F114" s="40"/>
      <c r="G114" s="40"/>
      <c r="H114" s="46"/>
      <c r="I114" s="46"/>
      <c r="J114" s="7"/>
      <c r="K114" s="43"/>
      <c r="L114" s="43"/>
      <c r="M114" s="43"/>
      <c r="N114" s="4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ht="12.45" x14ac:dyDescent="0.3">
      <c r="A115" s="13"/>
      <c r="B115" s="13"/>
      <c r="C115" s="13"/>
      <c r="D115" s="9"/>
      <c r="E115" s="39"/>
      <c r="F115" s="40"/>
      <c r="G115" s="40"/>
      <c r="H115" s="46"/>
      <c r="I115" s="46"/>
      <c r="J115" s="7"/>
      <c r="K115" s="43"/>
      <c r="L115" s="43"/>
      <c r="M115" s="43"/>
      <c r="N115" s="43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ht="12.45" x14ac:dyDescent="0.3">
      <c r="A116" s="13"/>
      <c r="B116" s="13"/>
      <c r="C116" s="13"/>
      <c r="D116" s="9"/>
      <c r="E116" s="39"/>
      <c r="F116" s="40"/>
      <c r="G116" s="40"/>
      <c r="H116" s="46"/>
      <c r="I116" s="46"/>
      <c r="J116" s="7"/>
      <c r="K116" s="43"/>
      <c r="L116" s="43"/>
      <c r="M116" s="43"/>
      <c r="N116" s="4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ht="12.45" x14ac:dyDescent="0.3">
      <c r="A117" s="13"/>
      <c r="B117" s="13"/>
      <c r="C117" s="13"/>
      <c r="D117" s="9"/>
      <c r="E117" s="39"/>
      <c r="F117" s="40"/>
      <c r="G117" s="40"/>
      <c r="H117" s="46"/>
      <c r="I117" s="46"/>
      <c r="J117" s="7"/>
      <c r="K117" s="43"/>
      <c r="L117" s="43"/>
      <c r="M117" s="43"/>
      <c r="N117" s="4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ht="12.45" x14ac:dyDescent="0.3">
      <c r="A118" s="13"/>
      <c r="B118" s="13"/>
      <c r="C118" s="13"/>
      <c r="D118" s="9"/>
      <c r="E118" s="39"/>
      <c r="F118" s="40"/>
      <c r="G118" s="40"/>
      <c r="H118" s="46"/>
      <c r="I118" s="46"/>
      <c r="J118" s="7"/>
      <c r="K118" s="43"/>
      <c r="L118" s="43"/>
      <c r="M118" s="43"/>
      <c r="N118" s="4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12.45" x14ac:dyDescent="0.3">
      <c r="A119" s="13"/>
      <c r="B119" s="13"/>
      <c r="C119" s="13"/>
      <c r="D119" s="9"/>
      <c r="E119" s="39"/>
      <c r="F119" s="40"/>
      <c r="G119" s="40"/>
      <c r="H119" s="46"/>
      <c r="I119" s="46"/>
      <c r="J119" s="7"/>
      <c r="K119" s="43"/>
      <c r="L119" s="43"/>
      <c r="M119" s="43"/>
      <c r="N119" s="43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ht="12.45" x14ac:dyDescent="0.3">
      <c r="A120" s="13"/>
      <c r="B120" s="13"/>
      <c r="C120" s="13"/>
      <c r="D120" s="9"/>
      <c r="E120" s="39"/>
      <c r="F120" s="40"/>
      <c r="G120" s="40"/>
      <c r="H120" s="46"/>
      <c r="I120" s="46"/>
      <c r="J120" s="7"/>
      <c r="K120" s="43"/>
      <c r="L120" s="43"/>
      <c r="M120" s="43"/>
      <c r="N120" s="4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ht="12.45" x14ac:dyDescent="0.3">
      <c r="A121" s="13"/>
      <c r="B121" s="13"/>
      <c r="C121" s="13"/>
      <c r="D121" s="9"/>
      <c r="E121" s="39"/>
      <c r="F121" s="40"/>
      <c r="G121" s="40"/>
      <c r="H121" s="46"/>
      <c r="I121" s="46"/>
      <c r="J121" s="7"/>
      <c r="K121" s="43"/>
      <c r="L121" s="43"/>
      <c r="M121" s="43"/>
      <c r="N121" s="43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ht="12.45" x14ac:dyDescent="0.3">
      <c r="A122" s="13"/>
      <c r="B122" s="13"/>
      <c r="C122" s="13"/>
      <c r="D122" s="9"/>
      <c r="E122" s="39"/>
      <c r="F122" s="40"/>
      <c r="G122" s="40"/>
      <c r="H122" s="46"/>
      <c r="I122" s="46"/>
      <c r="J122" s="7"/>
      <c r="K122" s="43"/>
      <c r="L122" s="43"/>
      <c r="M122" s="43"/>
      <c r="N122" s="43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ht="12.45" x14ac:dyDescent="0.3">
      <c r="A123" s="13"/>
      <c r="B123" s="13"/>
      <c r="C123" s="13"/>
      <c r="D123" s="9"/>
      <c r="E123" s="39"/>
      <c r="F123" s="40"/>
      <c r="G123" s="40"/>
      <c r="H123" s="46"/>
      <c r="I123" s="46"/>
      <c r="J123" s="7"/>
      <c r="K123" s="43"/>
      <c r="L123" s="43"/>
      <c r="M123" s="43"/>
      <c r="N123" s="43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ht="12.45" x14ac:dyDescent="0.3">
      <c r="A124" s="13"/>
      <c r="B124" s="13"/>
      <c r="C124" s="13"/>
      <c r="D124" s="9"/>
      <c r="E124" s="39"/>
      <c r="F124" s="40"/>
      <c r="G124" s="40"/>
      <c r="H124" s="46"/>
      <c r="I124" s="46"/>
      <c r="J124" s="7"/>
      <c r="K124" s="43"/>
      <c r="L124" s="43"/>
      <c r="M124" s="43"/>
      <c r="N124" s="4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ht="12.45" x14ac:dyDescent="0.3">
      <c r="A125" s="13"/>
      <c r="B125" s="13"/>
      <c r="C125" s="13"/>
      <c r="D125" s="9"/>
      <c r="E125" s="39"/>
      <c r="F125" s="40"/>
      <c r="G125" s="40"/>
      <c r="H125" s="46"/>
      <c r="I125" s="46"/>
      <c r="J125" s="7"/>
      <c r="K125" s="43"/>
      <c r="L125" s="43"/>
      <c r="M125" s="43"/>
      <c r="N125" s="43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ht="12.45" x14ac:dyDescent="0.3">
      <c r="A126" s="13"/>
      <c r="B126" s="13"/>
      <c r="C126" s="13"/>
      <c r="D126" s="9"/>
      <c r="E126" s="39"/>
      <c r="F126" s="40"/>
      <c r="G126" s="40"/>
      <c r="H126" s="46"/>
      <c r="I126" s="46"/>
      <c r="J126" s="7"/>
      <c r="K126" s="43"/>
      <c r="L126" s="43"/>
      <c r="M126" s="43"/>
      <c r="N126" s="43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ht="12.45" x14ac:dyDescent="0.3">
      <c r="A127" s="13"/>
      <c r="B127" s="13"/>
      <c r="C127" s="13"/>
      <c r="D127" s="9"/>
      <c r="E127" s="39"/>
      <c r="F127" s="40"/>
      <c r="G127" s="40"/>
      <c r="H127" s="46"/>
      <c r="I127" s="46"/>
      <c r="J127" s="7"/>
      <c r="K127" s="43"/>
      <c r="L127" s="43"/>
      <c r="M127" s="43"/>
      <c r="N127" s="43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ht="12.45" x14ac:dyDescent="0.3">
      <c r="A128" s="13"/>
      <c r="B128" s="13"/>
      <c r="C128" s="13"/>
      <c r="D128" s="9"/>
      <c r="E128" s="39"/>
      <c r="F128" s="40"/>
      <c r="G128" s="40"/>
      <c r="H128" s="46"/>
      <c r="I128" s="46"/>
      <c r="J128" s="7"/>
      <c r="K128" s="43"/>
      <c r="L128" s="43"/>
      <c r="M128" s="43"/>
      <c r="N128" s="43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ht="12.45" x14ac:dyDescent="0.3">
      <c r="A129" s="13"/>
      <c r="B129" s="13"/>
      <c r="C129" s="13"/>
      <c r="D129" s="9"/>
      <c r="E129" s="39"/>
      <c r="F129" s="40"/>
      <c r="G129" s="40"/>
      <c r="H129" s="46"/>
      <c r="I129" s="46"/>
      <c r="J129" s="7"/>
      <c r="K129" s="43"/>
      <c r="L129" s="43"/>
      <c r="M129" s="43"/>
      <c r="N129" s="43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ht="12.45" x14ac:dyDescent="0.3">
      <c r="A130" s="13"/>
      <c r="B130" s="13"/>
      <c r="C130" s="13"/>
      <c r="D130" s="9"/>
      <c r="E130" s="39"/>
      <c r="F130" s="40"/>
      <c r="G130" s="40"/>
      <c r="H130" s="46"/>
      <c r="I130" s="46"/>
      <c r="J130" s="7"/>
      <c r="K130" s="43"/>
      <c r="L130" s="43"/>
      <c r="M130" s="43"/>
      <c r="N130" s="43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ht="12.45" x14ac:dyDescent="0.3">
      <c r="A131" s="13"/>
      <c r="B131" s="13"/>
      <c r="C131" s="13"/>
      <c r="D131" s="9"/>
      <c r="E131" s="39"/>
      <c r="F131" s="40"/>
      <c r="G131" s="40"/>
      <c r="H131" s="46"/>
      <c r="I131" s="46"/>
      <c r="J131" s="7"/>
      <c r="K131" s="43"/>
      <c r="L131" s="43"/>
      <c r="M131" s="43"/>
      <c r="N131" s="43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ht="12.45" x14ac:dyDescent="0.3">
      <c r="A132" s="13"/>
      <c r="B132" s="13"/>
      <c r="C132" s="13"/>
      <c r="D132" s="9"/>
      <c r="E132" s="39"/>
      <c r="F132" s="40"/>
      <c r="G132" s="40"/>
      <c r="H132" s="46"/>
      <c r="I132" s="46"/>
      <c r="J132" s="7"/>
      <c r="K132" s="43"/>
      <c r="L132" s="43"/>
      <c r="M132" s="43"/>
      <c r="N132" s="43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ht="12.45" x14ac:dyDescent="0.3">
      <c r="A133" s="13"/>
      <c r="B133" s="13"/>
      <c r="C133" s="13"/>
      <c r="D133" s="9"/>
      <c r="E133" s="39"/>
      <c r="F133" s="40"/>
      <c r="G133" s="40"/>
      <c r="H133" s="46"/>
      <c r="I133" s="46"/>
      <c r="J133" s="7"/>
      <c r="K133" s="43"/>
      <c r="L133" s="43"/>
      <c r="M133" s="43"/>
      <c r="N133" s="43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2.45" x14ac:dyDescent="0.3">
      <c r="A134" s="13"/>
      <c r="B134" s="13"/>
      <c r="C134" s="13"/>
      <c r="D134" s="9"/>
      <c r="E134" s="39"/>
      <c r="F134" s="40"/>
      <c r="G134" s="40"/>
      <c r="H134" s="46"/>
      <c r="I134" s="46"/>
      <c r="J134" s="7"/>
      <c r="K134" s="43"/>
      <c r="L134" s="43"/>
      <c r="M134" s="43"/>
      <c r="N134" s="43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ht="12.45" x14ac:dyDescent="0.3">
      <c r="A135" s="13"/>
      <c r="B135" s="13"/>
      <c r="C135" s="13"/>
      <c r="D135" s="9"/>
      <c r="E135" s="39"/>
      <c r="F135" s="40"/>
      <c r="G135" s="40"/>
      <c r="H135" s="46"/>
      <c r="I135" s="46"/>
      <c r="J135" s="7"/>
      <c r="K135" s="43"/>
      <c r="L135" s="43"/>
      <c r="M135" s="43"/>
      <c r="N135" s="43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ht="12.45" x14ac:dyDescent="0.3">
      <c r="A136" s="13"/>
      <c r="B136" s="13"/>
      <c r="C136" s="13"/>
      <c r="D136" s="9"/>
      <c r="E136" s="39"/>
      <c r="F136" s="40"/>
      <c r="G136" s="40"/>
      <c r="H136" s="46"/>
      <c r="I136" s="46"/>
      <c r="J136" s="7"/>
      <c r="K136" s="43"/>
      <c r="L136" s="43"/>
      <c r="M136" s="43"/>
      <c r="N136" s="43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ht="12.45" x14ac:dyDescent="0.3">
      <c r="A137" s="13"/>
      <c r="B137" s="13"/>
      <c r="C137" s="13"/>
      <c r="D137" s="9"/>
      <c r="E137" s="39"/>
      <c r="F137" s="40"/>
      <c r="G137" s="40"/>
      <c r="H137" s="46"/>
      <c r="I137" s="46"/>
      <c r="J137" s="7"/>
      <c r="K137" s="43"/>
      <c r="L137" s="43"/>
      <c r="M137" s="43"/>
      <c r="N137" s="43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ht="12.45" x14ac:dyDescent="0.3">
      <c r="A138" s="13"/>
      <c r="B138" s="13"/>
      <c r="C138" s="13"/>
      <c r="D138" s="9"/>
      <c r="E138" s="39"/>
      <c r="F138" s="40"/>
      <c r="G138" s="40"/>
      <c r="H138" s="46"/>
      <c r="I138" s="46"/>
      <c r="J138" s="7"/>
      <c r="K138" s="43"/>
      <c r="L138" s="43"/>
      <c r="M138" s="43"/>
      <c r="N138" s="43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ht="12.45" x14ac:dyDescent="0.3">
      <c r="A139" s="13"/>
      <c r="B139" s="13"/>
      <c r="C139" s="13"/>
      <c r="D139" s="9"/>
      <c r="E139" s="39"/>
      <c r="F139" s="40"/>
      <c r="G139" s="40"/>
      <c r="H139" s="46"/>
      <c r="I139" s="46"/>
      <c r="J139" s="7"/>
      <c r="K139" s="43"/>
      <c r="L139" s="43"/>
      <c r="M139" s="43"/>
      <c r="N139" s="43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ht="12.45" x14ac:dyDescent="0.3">
      <c r="A140" s="13"/>
      <c r="B140" s="13"/>
      <c r="C140" s="13"/>
      <c r="D140" s="9"/>
      <c r="E140" s="39"/>
      <c r="F140" s="40"/>
      <c r="G140" s="40"/>
      <c r="H140" s="46"/>
      <c r="I140" s="46"/>
      <c r="J140" s="7"/>
      <c r="K140" s="43"/>
      <c r="L140" s="43"/>
      <c r="M140" s="43"/>
      <c r="N140" s="43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ht="12.45" x14ac:dyDescent="0.3">
      <c r="A141" s="13"/>
      <c r="B141" s="13"/>
      <c r="C141" s="13"/>
      <c r="D141" s="9"/>
      <c r="E141" s="39"/>
      <c r="F141" s="40"/>
      <c r="G141" s="40"/>
      <c r="H141" s="46"/>
      <c r="I141" s="46"/>
      <c r="J141" s="7"/>
      <c r="K141" s="43"/>
      <c r="L141" s="43"/>
      <c r="M141" s="43"/>
      <c r="N141" s="43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ht="12.45" x14ac:dyDescent="0.3">
      <c r="A142" s="13"/>
      <c r="B142" s="13"/>
      <c r="C142" s="13"/>
      <c r="D142" s="9"/>
      <c r="E142" s="39"/>
      <c r="F142" s="40"/>
      <c r="G142" s="40"/>
      <c r="H142" s="46"/>
      <c r="I142" s="46"/>
      <c r="J142" s="7"/>
      <c r="K142" s="43"/>
      <c r="L142" s="43"/>
      <c r="M142" s="43"/>
      <c r="N142" s="43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ht="12.45" x14ac:dyDescent="0.3">
      <c r="A143" s="13"/>
      <c r="B143" s="13"/>
      <c r="C143" s="13"/>
      <c r="D143" s="9"/>
      <c r="E143" s="39"/>
      <c r="F143" s="40"/>
      <c r="G143" s="40"/>
      <c r="H143" s="46"/>
      <c r="I143" s="46"/>
      <c r="J143" s="7"/>
      <c r="K143" s="43"/>
      <c r="L143" s="43"/>
      <c r="M143" s="43"/>
      <c r="N143" s="43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ht="12.45" x14ac:dyDescent="0.3">
      <c r="A144" s="13"/>
      <c r="B144" s="13"/>
      <c r="C144" s="13"/>
      <c r="D144" s="9"/>
      <c r="E144" s="39"/>
      <c r="F144" s="40"/>
      <c r="G144" s="40"/>
      <c r="H144" s="46"/>
      <c r="I144" s="46"/>
      <c r="J144" s="7"/>
      <c r="K144" s="43"/>
      <c r="L144" s="43"/>
      <c r="M144" s="43"/>
      <c r="N144" s="43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ht="12.45" x14ac:dyDescent="0.3">
      <c r="A145" s="13"/>
      <c r="B145" s="13"/>
      <c r="C145" s="13"/>
      <c r="D145" s="9"/>
      <c r="E145" s="39"/>
      <c r="F145" s="40"/>
      <c r="G145" s="40"/>
      <c r="H145" s="46"/>
      <c r="I145" s="46"/>
      <c r="J145" s="7"/>
      <c r="K145" s="43"/>
      <c r="L145" s="43"/>
      <c r="M145" s="43"/>
      <c r="N145" s="43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ht="12.45" x14ac:dyDescent="0.3">
      <c r="A146" s="13"/>
      <c r="B146" s="13"/>
      <c r="C146" s="13"/>
      <c r="D146" s="9"/>
      <c r="E146" s="39"/>
      <c r="F146" s="40"/>
      <c r="G146" s="40"/>
      <c r="H146" s="46"/>
      <c r="I146" s="46"/>
      <c r="J146" s="7"/>
      <c r="K146" s="43"/>
      <c r="L146" s="43"/>
      <c r="M146" s="43"/>
      <c r="N146" s="4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ht="12.45" x14ac:dyDescent="0.3">
      <c r="A147" s="13"/>
      <c r="B147" s="13"/>
      <c r="C147" s="13"/>
      <c r="D147" s="9"/>
      <c r="E147" s="39"/>
      <c r="F147" s="40"/>
      <c r="G147" s="40"/>
      <c r="H147" s="46"/>
      <c r="I147" s="46"/>
      <c r="J147" s="7"/>
      <c r="K147" s="43"/>
      <c r="L147" s="43"/>
      <c r="M147" s="43"/>
      <c r="N147" s="43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ht="12.45" x14ac:dyDescent="0.3">
      <c r="A148" s="13"/>
      <c r="B148" s="13"/>
      <c r="C148" s="13"/>
      <c r="D148" s="9"/>
      <c r="E148" s="39"/>
      <c r="F148" s="40"/>
      <c r="G148" s="40"/>
      <c r="H148" s="46"/>
      <c r="I148" s="46"/>
      <c r="J148" s="7"/>
      <c r="K148" s="43"/>
      <c r="L148" s="43"/>
      <c r="M148" s="43"/>
      <c r="N148" s="4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ht="12.45" x14ac:dyDescent="0.3">
      <c r="A149" s="13"/>
      <c r="B149" s="13"/>
      <c r="C149" s="13"/>
      <c r="D149" s="9"/>
      <c r="E149" s="39"/>
      <c r="F149" s="40"/>
      <c r="G149" s="40"/>
      <c r="H149" s="46"/>
      <c r="I149" s="46"/>
      <c r="J149" s="7"/>
      <c r="K149" s="43"/>
      <c r="L149" s="43"/>
      <c r="M149" s="43"/>
      <c r="N149" s="43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ht="12.45" x14ac:dyDescent="0.3">
      <c r="A150" s="13"/>
      <c r="B150" s="13"/>
      <c r="C150" s="13"/>
      <c r="D150" s="9"/>
      <c r="E150" s="39"/>
      <c r="F150" s="40"/>
      <c r="G150" s="40"/>
      <c r="H150" s="46"/>
      <c r="I150" s="46"/>
      <c r="J150" s="7"/>
      <c r="K150" s="43"/>
      <c r="L150" s="43"/>
      <c r="M150" s="43"/>
      <c r="N150" s="4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ht="12.45" x14ac:dyDescent="0.3">
      <c r="A151" s="13"/>
      <c r="B151" s="13"/>
      <c r="C151" s="13"/>
      <c r="D151" s="9"/>
      <c r="E151" s="39"/>
      <c r="F151" s="40"/>
      <c r="G151" s="40"/>
      <c r="H151" s="46"/>
      <c r="I151" s="46"/>
      <c r="J151" s="7"/>
      <c r="K151" s="43"/>
      <c r="L151" s="43"/>
      <c r="M151" s="43"/>
      <c r="N151" s="43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ht="12.45" x14ac:dyDescent="0.3">
      <c r="A152" s="13"/>
      <c r="B152" s="13"/>
      <c r="C152" s="13"/>
      <c r="D152" s="9"/>
      <c r="E152" s="39"/>
      <c r="F152" s="40"/>
      <c r="G152" s="40"/>
      <c r="H152" s="46"/>
      <c r="I152" s="46"/>
      <c r="J152" s="7"/>
      <c r="K152" s="43"/>
      <c r="L152" s="43"/>
      <c r="M152" s="43"/>
      <c r="N152" s="43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ht="12.45" x14ac:dyDescent="0.3">
      <c r="A153" s="13"/>
      <c r="B153" s="13"/>
      <c r="C153" s="13"/>
      <c r="D153" s="9"/>
      <c r="E153" s="39"/>
      <c r="F153" s="40"/>
      <c r="G153" s="40"/>
      <c r="H153" s="46"/>
      <c r="I153" s="46"/>
      <c r="J153" s="7"/>
      <c r="K153" s="43"/>
      <c r="L153" s="43"/>
      <c r="M153" s="43"/>
      <c r="N153" s="4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ht="12.45" x14ac:dyDescent="0.3">
      <c r="A154" s="13"/>
      <c r="B154" s="13"/>
      <c r="C154" s="13"/>
      <c r="D154" s="9"/>
      <c r="E154" s="39"/>
      <c r="F154" s="40"/>
      <c r="G154" s="40"/>
      <c r="H154" s="46"/>
      <c r="I154" s="46"/>
      <c r="J154" s="7"/>
      <c r="K154" s="43"/>
      <c r="L154" s="43"/>
      <c r="M154" s="43"/>
      <c r="N154" s="4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ht="12.45" x14ac:dyDescent="0.3">
      <c r="A155" s="13"/>
      <c r="B155" s="13"/>
      <c r="C155" s="13"/>
      <c r="D155" s="9"/>
      <c r="E155" s="39"/>
      <c r="F155" s="40"/>
      <c r="G155" s="40"/>
      <c r="H155" s="46"/>
      <c r="I155" s="46"/>
      <c r="J155" s="7"/>
      <c r="K155" s="43"/>
      <c r="L155" s="43"/>
      <c r="M155" s="43"/>
      <c r="N155" s="43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ht="12.45" x14ac:dyDescent="0.3">
      <c r="A156" s="13"/>
      <c r="B156" s="13"/>
      <c r="C156" s="13"/>
      <c r="D156" s="9"/>
      <c r="E156" s="39"/>
      <c r="F156" s="40"/>
      <c r="G156" s="40"/>
      <c r="H156" s="46"/>
      <c r="I156" s="46"/>
      <c r="J156" s="7"/>
      <c r="K156" s="43"/>
      <c r="L156" s="43"/>
      <c r="M156" s="43"/>
      <c r="N156" s="43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ht="12.45" x14ac:dyDescent="0.3">
      <c r="A157" s="13"/>
      <c r="B157" s="13"/>
      <c r="C157" s="13"/>
      <c r="D157" s="9"/>
      <c r="E157" s="39"/>
      <c r="F157" s="40"/>
      <c r="G157" s="40"/>
      <c r="H157" s="46"/>
      <c r="I157" s="46"/>
      <c r="J157" s="7"/>
      <c r="K157" s="43"/>
      <c r="L157" s="43"/>
      <c r="M157" s="43"/>
      <c r="N157" s="4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ht="12.45" x14ac:dyDescent="0.3">
      <c r="A158" s="13"/>
      <c r="B158" s="13"/>
      <c r="C158" s="13"/>
      <c r="D158" s="9"/>
      <c r="E158" s="39"/>
      <c r="F158" s="40"/>
      <c r="G158" s="40"/>
      <c r="H158" s="46"/>
      <c r="I158" s="46"/>
      <c r="J158" s="7"/>
      <c r="K158" s="43"/>
      <c r="L158" s="43"/>
      <c r="M158" s="43"/>
      <c r="N158" s="4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ht="12.45" x14ac:dyDescent="0.3">
      <c r="A159" s="13"/>
      <c r="B159" s="13"/>
      <c r="C159" s="13"/>
      <c r="D159" s="9"/>
      <c r="E159" s="39"/>
      <c r="F159" s="40"/>
      <c r="G159" s="40"/>
      <c r="H159" s="46"/>
      <c r="I159" s="46"/>
      <c r="J159" s="7"/>
      <c r="K159" s="43"/>
      <c r="L159" s="43"/>
      <c r="M159" s="43"/>
      <c r="N159" s="4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ht="12.45" x14ac:dyDescent="0.3">
      <c r="A160" s="13"/>
      <c r="B160" s="13"/>
      <c r="C160" s="13"/>
      <c r="D160" s="9"/>
      <c r="E160" s="39"/>
      <c r="F160" s="40"/>
      <c r="G160" s="40"/>
      <c r="H160" s="46"/>
      <c r="I160" s="46"/>
      <c r="J160" s="7"/>
      <c r="K160" s="43"/>
      <c r="L160" s="43"/>
      <c r="M160" s="43"/>
      <c r="N160" s="4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ht="12.45" x14ac:dyDescent="0.3">
      <c r="A161" s="13"/>
      <c r="B161" s="13"/>
      <c r="C161" s="13"/>
      <c r="D161" s="9"/>
      <c r="E161" s="39"/>
      <c r="F161" s="40"/>
      <c r="G161" s="40"/>
      <c r="H161" s="46"/>
      <c r="I161" s="46"/>
      <c r="J161" s="7"/>
      <c r="K161" s="43"/>
      <c r="L161" s="43"/>
      <c r="M161" s="43"/>
      <c r="N161" s="4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ht="12.45" x14ac:dyDescent="0.3">
      <c r="A162" s="13"/>
      <c r="B162" s="13"/>
      <c r="C162" s="13"/>
      <c r="D162" s="9"/>
      <c r="E162" s="39"/>
      <c r="F162" s="40"/>
      <c r="G162" s="40"/>
      <c r="H162" s="46"/>
      <c r="I162" s="46"/>
      <c r="J162" s="7"/>
      <c r="K162" s="43"/>
      <c r="L162" s="43"/>
      <c r="M162" s="43"/>
      <c r="N162" s="4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ht="12.45" x14ac:dyDescent="0.3">
      <c r="A163" s="13"/>
      <c r="B163" s="13"/>
      <c r="C163" s="13"/>
      <c r="D163" s="9"/>
      <c r="E163" s="39"/>
      <c r="F163" s="40"/>
      <c r="G163" s="40"/>
      <c r="H163" s="46"/>
      <c r="I163" s="46"/>
      <c r="J163" s="7"/>
      <c r="K163" s="43"/>
      <c r="L163" s="43"/>
      <c r="M163" s="43"/>
      <c r="N163" s="4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ht="12.45" x14ac:dyDescent="0.3">
      <c r="A164" s="13"/>
      <c r="B164" s="13"/>
      <c r="C164" s="13"/>
      <c r="D164" s="9"/>
      <c r="E164" s="39"/>
      <c r="F164" s="40"/>
      <c r="G164" s="40"/>
      <c r="H164" s="46"/>
      <c r="I164" s="46"/>
      <c r="J164" s="7"/>
      <c r="K164" s="43"/>
      <c r="L164" s="43"/>
      <c r="M164" s="43"/>
      <c r="N164" s="4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ht="12.45" x14ac:dyDescent="0.3">
      <c r="A165" s="13"/>
      <c r="B165" s="13"/>
      <c r="C165" s="13"/>
      <c r="D165" s="9"/>
      <c r="E165" s="39"/>
      <c r="F165" s="40"/>
      <c r="G165" s="40"/>
      <c r="H165" s="46"/>
      <c r="I165" s="46"/>
      <c r="J165" s="7"/>
      <c r="K165" s="43"/>
      <c r="L165" s="43"/>
      <c r="M165" s="43"/>
      <c r="N165" s="4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ht="12.45" x14ac:dyDescent="0.3">
      <c r="A166" s="13"/>
      <c r="B166" s="13"/>
      <c r="C166" s="13"/>
      <c r="D166" s="9"/>
      <c r="E166" s="39"/>
      <c r="F166" s="40"/>
      <c r="G166" s="40"/>
      <c r="H166" s="46"/>
      <c r="I166" s="46"/>
      <c r="J166" s="7"/>
      <c r="K166" s="43"/>
      <c r="L166" s="43"/>
      <c r="M166" s="43"/>
      <c r="N166" s="4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ht="12.45" x14ac:dyDescent="0.3">
      <c r="A167" s="13"/>
      <c r="B167" s="13"/>
      <c r="C167" s="13"/>
      <c r="D167" s="9"/>
      <c r="E167" s="39"/>
      <c r="F167" s="40"/>
      <c r="G167" s="40"/>
      <c r="H167" s="46"/>
      <c r="I167" s="46"/>
      <c r="J167" s="7"/>
      <c r="K167" s="43"/>
      <c r="L167" s="43"/>
      <c r="M167" s="43"/>
      <c r="N167" s="4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ht="12.45" x14ac:dyDescent="0.3">
      <c r="A168" s="13"/>
      <c r="B168" s="13"/>
      <c r="C168" s="13"/>
      <c r="D168" s="9"/>
      <c r="E168" s="39"/>
      <c r="F168" s="40"/>
      <c r="G168" s="40"/>
      <c r="H168" s="46"/>
      <c r="I168" s="46"/>
      <c r="J168" s="7"/>
      <c r="K168" s="43"/>
      <c r="L168" s="43"/>
      <c r="M168" s="43"/>
      <c r="N168" s="4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ht="12.45" x14ac:dyDescent="0.3">
      <c r="A169" s="13"/>
      <c r="B169" s="13"/>
      <c r="C169" s="13"/>
      <c r="D169" s="9"/>
      <c r="E169" s="39"/>
      <c r="F169" s="40"/>
      <c r="G169" s="40"/>
      <c r="H169" s="46"/>
      <c r="I169" s="46"/>
      <c r="J169" s="7"/>
      <c r="K169" s="43"/>
      <c r="L169" s="43"/>
      <c r="M169" s="43"/>
      <c r="N169" s="4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ht="12.45" x14ac:dyDescent="0.3">
      <c r="A170" s="13"/>
      <c r="B170" s="13"/>
      <c r="C170" s="13"/>
      <c r="D170" s="9"/>
      <c r="E170" s="39"/>
      <c r="F170" s="40"/>
      <c r="G170" s="40"/>
      <c r="H170" s="46"/>
      <c r="I170" s="46"/>
      <c r="J170" s="7"/>
      <c r="K170" s="43"/>
      <c r="L170" s="43"/>
      <c r="M170" s="43"/>
      <c r="N170" s="4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ht="12.45" x14ac:dyDescent="0.3">
      <c r="A171" s="13"/>
      <c r="B171" s="13"/>
      <c r="C171" s="13"/>
      <c r="D171" s="9"/>
      <c r="E171" s="39"/>
      <c r="F171" s="40"/>
      <c r="G171" s="40"/>
      <c r="H171" s="46"/>
      <c r="I171" s="46"/>
      <c r="J171" s="7"/>
      <c r="K171" s="43"/>
      <c r="L171" s="43"/>
      <c r="M171" s="43"/>
      <c r="N171" s="4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ht="12.45" x14ac:dyDescent="0.3">
      <c r="A172" s="13"/>
      <c r="B172" s="13"/>
      <c r="C172" s="13"/>
      <c r="D172" s="9"/>
      <c r="E172" s="39"/>
      <c r="F172" s="40"/>
      <c r="G172" s="40"/>
      <c r="H172" s="46"/>
      <c r="I172" s="46"/>
      <c r="J172" s="7"/>
      <c r="K172" s="43"/>
      <c r="L172" s="43"/>
      <c r="M172" s="43"/>
      <c r="N172" s="4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ht="12.45" x14ac:dyDescent="0.3">
      <c r="A173" s="13"/>
      <c r="B173" s="13"/>
      <c r="C173" s="13"/>
      <c r="D173" s="9"/>
      <c r="E173" s="39"/>
      <c r="F173" s="40"/>
      <c r="G173" s="40"/>
      <c r="H173" s="46"/>
      <c r="I173" s="46"/>
      <c r="J173" s="7"/>
      <c r="K173" s="43"/>
      <c r="L173" s="43"/>
      <c r="M173" s="43"/>
      <c r="N173" s="4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ht="12.45" x14ac:dyDescent="0.3">
      <c r="A174" s="13"/>
      <c r="B174" s="13"/>
      <c r="C174" s="13"/>
      <c r="D174" s="9"/>
      <c r="E174" s="39"/>
      <c r="F174" s="40"/>
      <c r="G174" s="40"/>
      <c r="H174" s="46"/>
      <c r="I174" s="46"/>
      <c r="J174" s="7"/>
      <c r="K174" s="43"/>
      <c r="L174" s="43"/>
      <c r="M174" s="43"/>
      <c r="N174" s="4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ht="12.45" x14ac:dyDescent="0.3">
      <c r="A175" s="13"/>
      <c r="B175" s="13"/>
      <c r="C175" s="13"/>
      <c r="D175" s="9"/>
      <c r="E175" s="39"/>
      <c r="F175" s="40"/>
      <c r="G175" s="40"/>
      <c r="H175" s="46"/>
      <c r="I175" s="46"/>
      <c r="J175" s="7"/>
      <c r="K175" s="43"/>
      <c r="L175" s="43"/>
      <c r="M175" s="43"/>
      <c r="N175" s="4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ht="12.45" x14ac:dyDescent="0.3">
      <c r="A176" s="13"/>
      <c r="B176" s="13"/>
      <c r="C176" s="13"/>
      <c r="D176" s="9"/>
      <c r="E176" s="39"/>
      <c r="F176" s="40"/>
      <c r="G176" s="40"/>
      <c r="H176" s="46"/>
      <c r="I176" s="46"/>
      <c r="J176" s="7"/>
      <c r="K176" s="43"/>
      <c r="L176" s="43"/>
      <c r="M176" s="43"/>
      <c r="N176" s="4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ht="12.45" x14ac:dyDescent="0.3">
      <c r="A177" s="13"/>
      <c r="B177" s="13"/>
      <c r="C177" s="13"/>
      <c r="D177" s="6"/>
      <c r="E177" s="8"/>
      <c r="F177" s="8"/>
      <c r="G177" s="8"/>
      <c r="H177" s="8"/>
      <c r="I177" s="8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ht="12.45" x14ac:dyDescent="0.3">
      <c r="A178" s="13"/>
      <c r="B178" s="13"/>
      <c r="C178" s="13"/>
      <c r="D178" s="6"/>
      <c r="E178" s="8"/>
      <c r="F178" s="8"/>
      <c r="G178" s="8"/>
      <c r="H178" s="8"/>
      <c r="I178" s="8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ht="12.45" x14ac:dyDescent="0.3">
      <c r="A179" s="13"/>
      <c r="B179" s="13"/>
      <c r="C179" s="13"/>
      <c r="D179" s="6"/>
      <c r="E179" s="8"/>
      <c r="F179" s="8"/>
      <c r="G179" s="8"/>
      <c r="H179" s="8"/>
      <c r="I179" s="8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ht="12.45" x14ac:dyDescent="0.3">
      <c r="A180" s="13"/>
      <c r="B180" s="13"/>
      <c r="C180" s="13"/>
      <c r="D180" s="6"/>
      <c r="E180" s="8"/>
      <c r="F180" s="8"/>
      <c r="G180" s="8"/>
      <c r="H180" s="8"/>
      <c r="I180" s="8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ht="12.45" x14ac:dyDescent="0.3">
      <c r="A181" s="13"/>
      <c r="B181" s="13"/>
      <c r="C181" s="13"/>
      <c r="D181" s="6"/>
      <c r="E181" s="8"/>
      <c r="F181" s="8"/>
      <c r="G181" s="8"/>
      <c r="H181" s="8"/>
      <c r="I181" s="8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ht="12.45" x14ac:dyDescent="0.3">
      <c r="A182" s="13"/>
      <c r="B182" s="13"/>
      <c r="C182" s="13"/>
      <c r="D182" s="6"/>
      <c r="E182" s="8"/>
      <c r="F182" s="8"/>
      <c r="G182" s="8"/>
      <c r="H182" s="8"/>
      <c r="I182" s="8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ht="12.45" x14ac:dyDescent="0.3">
      <c r="A183" s="13"/>
      <c r="B183" s="13"/>
      <c r="C183" s="13"/>
      <c r="D183" s="6"/>
      <c r="E183" s="8"/>
      <c r="F183" s="8"/>
      <c r="G183" s="8"/>
      <c r="H183" s="8"/>
      <c r="I183" s="8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ht="12.45" x14ac:dyDescent="0.3">
      <c r="A184" s="13"/>
      <c r="B184" s="13"/>
      <c r="C184" s="13"/>
      <c r="D184" s="6"/>
      <c r="E184" s="8"/>
      <c r="F184" s="8"/>
      <c r="G184" s="8"/>
      <c r="H184" s="8"/>
      <c r="I184" s="8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ht="12.45" x14ac:dyDescent="0.3">
      <c r="A185" s="13"/>
      <c r="B185" s="13"/>
      <c r="C185" s="13"/>
      <c r="D185" s="6"/>
      <c r="E185" s="8"/>
      <c r="F185" s="8"/>
      <c r="G185" s="8"/>
      <c r="H185" s="8"/>
      <c r="I185" s="8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ht="12.45" x14ac:dyDescent="0.3">
      <c r="A186" s="13"/>
      <c r="B186" s="13"/>
      <c r="C186" s="13"/>
      <c r="D186" s="6"/>
      <c r="E186" s="8"/>
      <c r="F186" s="8"/>
      <c r="G186" s="8"/>
      <c r="H186" s="8"/>
      <c r="I186" s="8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ht="12.45" x14ac:dyDescent="0.3">
      <c r="A187" s="13"/>
      <c r="B187" s="13"/>
      <c r="C187" s="13"/>
      <c r="D187" s="6"/>
      <c r="E187" s="8"/>
      <c r="F187" s="8"/>
      <c r="G187" s="8"/>
      <c r="H187" s="8"/>
      <c r="I187" s="8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ht="12.45" x14ac:dyDescent="0.3">
      <c r="A188" s="13"/>
      <c r="B188" s="13"/>
      <c r="C188" s="13"/>
      <c r="D188" s="6"/>
      <c r="E188" s="8"/>
      <c r="F188" s="8"/>
      <c r="G188" s="8"/>
      <c r="H188" s="8"/>
      <c r="I188" s="8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ht="12.45" x14ac:dyDescent="0.3">
      <c r="A189" s="13"/>
      <c r="B189" s="13"/>
      <c r="C189" s="13"/>
      <c r="D189" s="6"/>
      <c r="E189" s="8"/>
      <c r="F189" s="8"/>
      <c r="G189" s="8"/>
      <c r="H189" s="8"/>
      <c r="I189" s="8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ht="12.45" x14ac:dyDescent="0.3">
      <c r="A190" s="13"/>
      <c r="B190" s="13"/>
      <c r="C190" s="13"/>
      <c r="D190" s="6"/>
      <c r="E190" s="8"/>
      <c r="F190" s="8"/>
      <c r="G190" s="8"/>
      <c r="H190" s="8"/>
      <c r="I190" s="8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ht="12.45" x14ac:dyDescent="0.3">
      <c r="A191" s="13"/>
      <c r="B191" s="13"/>
      <c r="C191" s="13"/>
      <c r="D191" s="6"/>
      <c r="E191" s="8"/>
      <c r="F191" s="8"/>
      <c r="G191" s="8"/>
      <c r="H191" s="8"/>
      <c r="I191" s="8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ht="12.45" x14ac:dyDescent="0.3">
      <c r="A192" s="13"/>
      <c r="B192" s="13"/>
      <c r="C192" s="13"/>
      <c r="D192" s="6"/>
      <c r="E192" s="8"/>
      <c r="F192" s="8"/>
      <c r="G192" s="8"/>
      <c r="H192" s="8"/>
      <c r="I192" s="8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ht="12.45" x14ac:dyDescent="0.3">
      <c r="A193" s="13"/>
      <c r="B193" s="13"/>
      <c r="C193" s="13"/>
      <c r="D193" s="6"/>
      <c r="E193" s="8"/>
      <c r="F193" s="8"/>
      <c r="G193" s="8"/>
      <c r="H193" s="8"/>
      <c r="I193" s="8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ht="12.45" x14ac:dyDescent="0.3">
      <c r="A194" s="13"/>
      <c r="B194" s="13"/>
      <c r="C194" s="13"/>
      <c r="D194" s="6"/>
      <c r="E194" s="8"/>
      <c r="F194" s="8"/>
      <c r="G194" s="8"/>
      <c r="H194" s="8"/>
      <c r="I194" s="8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ht="12.45" x14ac:dyDescent="0.3">
      <c r="A195" s="13"/>
      <c r="B195" s="13"/>
      <c r="C195" s="13"/>
      <c r="D195" s="6"/>
      <c r="E195" s="8"/>
      <c r="F195" s="8"/>
      <c r="G195" s="8"/>
      <c r="H195" s="8"/>
      <c r="I195" s="8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ht="12.45" x14ac:dyDescent="0.3">
      <c r="A196" s="13"/>
      <c r="B196" s="13"/>
      <c r="C196" s="13"/>
      <c r="D196" s="6"/>
      <c r="E196" s="8"/>
      <c r="F196" s="8"/>
      <c r="G196" s="8"/>
      <c r="H196" s="8"/>
      <c r="I196" s="8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ht="12.45" x14ac:dyDescent="0.3">
      <c r="A197" s="13"/>
      <c r="B197" s="13"/>
      <c r="C197" s="13"/>
      <c r="D197" s="6"/>
      <c r="E197" s="8"/>
      <c r="F197" s="8"/>
      <c r="G197" s="8"/>
      <c r="H197" s="8"/>
      <c r="I197" s="8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ht="12.45" x14ac:dyDescent="0.3">
      <c r="A198" s="13"/>
      <c r="B198" s="13"/>
      <c r="C198" s="13"/>
      <c r="D198" s="6"/>
      <c r="E198" s="8"/>
      <c r="F198" s="8"/>
      <c r="G198" s="8"/>
      <c r="H198" s="8"/>
      <c r="I198" s="8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ht="12.45" x14ac:dyDescent="0.3">
      <c r="A199" s="13"/>
      <c r="B199" s="13"/>
      <c r="C199" s="13"/>
      <c r="D199" s="6"/>
      <c r="E199" s="8"/>
      <c r="F199" s="8"/>
      <c r="G199" s="8"/>
      <c r="H199" s="8"/>
      <c r="I199" s="8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ht="12.45" x14ac:dyDescent="0.3">
      <c r="A200" s="13"/>
      <c r="B200" s="13"/>
      <c r="C200" s="13"/>
      <c r="D200" s="6"/>
      <c r="E200" s="8"/>
      <c r="F200" s="8"/>
      <c r="G200" s="8"/>
      <c r="H200" s="8"/>
      <c r="I200" s="8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ht="12.45" x14ac:dyDescent="0.3">
      <c r="A201" s="13"/>
      <c r="B201" s="13"/>
      <c r="C201" s="13"/>
      <c r="D201" s="6"/>
      <c r="E201" s="8"/>
      <c r="F201" s="8"/>
      <c r="G201" s="8"/>
      <c r="H201" s="8"/>
      <c r="I201" s="8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ht="12.45" x14ac:dyDescent="0.3">
      <c r="A202" s="13"/>
      <c r="B202" s="13"/>
      <c r="C202" s="13"/>
      <c r="D202" s="6"/>
      <c r="E202" s="8"/>
      <c r="F202" s="8"/>
      <c r="G202" s="8"/>
      <c r="H202" s="8"/>
      <c r="I202" s="8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ht="12.45" x14ac:dyDescent="0.3">
      <c r="A203" s="13"/>
      <c r="B203" s="13"/>
      <c r="C203" s="13"/>
      <c r="D203" s="6"/>
      <c r="E203" s="8"/>
      <c r="F203" s="8"/>
      <c r="G203" s="8"/>
      <c r="H203" s="8"/>
      <c r="I203" s="8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ht="12.45" x14ac:dyDescent="0.3">
      <c r="A204" s="13"/>
      <c r="B204" s="13"/>
      <c r="C204" s="13"/>
      <c r="D204" s="6"/>
      <c r="E204" s="8"/>
      <c r="F204" s="8"/>
      <c r="G204" s="8"/>
      <c r="H204" s="8"/>
      <c r="I204" s="8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ht="12.45" x14ac:dyDescent="0.3">
      <c r="A205" s="13"/>
      <c r="B205" s="13"/>
      <c r="C205" s="13"/>
      <c r="D205" s="6"/>
      <c r="E205" s="8"/>
      <c r="F205" s="8"/>
      <c r="G205" s="8"/>
      <c r="H205" s="8"/>
      <c r="I205" s="8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ht="12.45" x14ac:dyDescent="0.3">
      <c r="A206" s="13"/>
      <c r="B206" s="13"/>
      <c r="C206" s="13"/>
      <c r="D206" s="6"/>
      <c r="E206" s="8"/>
      <c r="F206" s="8"/>
      <c r="G206" s="8"/>
      <c r="H206" s="8"/>
      <c r="I206" s="8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ht="12.45" x14ac:dyDescent="0.3">
      <c r="A207" s="13"/>
      <c r="B207" s="13"/>
      <c r="C207" s="13"/>
      <c r="D207" s="6"/>
      <c r="E207" s="8"/>
      <c r="F207" s="8"/>
      <c r="G207" s="8"/>
      <c r="H207" s="8"/>
      <c r="I207" s="8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ht="12.45" x14ac:dyDescent="0.3">
      <c r="A208" s="13"/>
      <c r="B208" s="13"/>
      <c r="C208" s="13"/>
      <c r="D208" s="6"/>
      <c r="E208" s="8"/>
      <c r="F208" s="8"/>
      <c r="G208" s="8"/>
      <c r="H208" s="8"/>
      <c r="I208" s="8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ht="12.45" x14ac:dyDescent="0.3">
      <c r="A209" s="13"/>
      <c r="B209" s="13"/>
      <c r="C209" s="13"/>
      <c r="D209" s="6"/>
      <c r="E209" s="8"/>
      <c r="F209" s="8"/>
      <c r="G209" s="8"/>
      <c r="H209" s="8"/>
      <c r="I209" s="8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ht="12.45" x14ac:dyDescent="0.3">
      <c r="A210" s="13"/>
      <c r="B210" s="13"/>
      <c r="C210" s="13"/>
      <c r="D210" s="6"/>
      <c r="E210" s="8"/>
      <c r="F210" s="8"/>
      <c r="G210" s="8"/>
      <c r="H210" s="8"/>
      <c r="I210" s="8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ht="12.45" x14ac:dyDescent="0.3">
      <c r="A211" s="13"/>
      <c r="B211" s="13"/>
      <c r="C211" s="13"/>
      <c r="D211" s="6"/>
      <c r="E211" s="8"/>
      <c r="F211" s="8"/>
      <c r="G211" s="8"/>
      <c r="H211" s="8"/>
      <c r="I211" s="8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ht="12.45" x14ac:dyDescent="0.3">
      <c r="A212" s="13"/>
      <c r="B212" s="13"/>
      <c r="C212" s="13"/>
      <c r="D212" s="6"/>
      <c r="E212" s="8"/>
      <c r="F212" s="8"/>
      <c r="G212" s="8"/>
      <c r="H212" s="8"/>
      <c r="I212" s="8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ht="12.45" x14ac:dyDescent="0.3">
      <c r="A213" s="13"/>
      <c r="B213" s="13"/>
      <c r="C213" s="13"/>
      <c r="D213" s="6"/>
      <c r="E213" s="8"/>
      <c r="F213" s="8"/>
      <c r="G213" s="8"/>
      <c r="H213" s="8"/>
      <c r="I213" s="8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ht="12.45" x14ac:dyDescent="0.3">
      <c r="A214" s="13"/>
      <c r="B214" s="13"/>
      <c r="C214" s="13"/>
      <c r="D214" s="6"/>
      <c r="E214" s="8"/>
      <c r="F214" s="8"/>
      <c r="G214" s="8"/>
      <c r="H214" s="8"/>
      <c r="I214" s="8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ht="12.45" x14ac:dyDescent="0.3">
      <c r="A215" s="13"/>
      <c r="B215" s="13"/>
      <c r="C215" s="13"/>
      <c r="D215" s="6"/>
      <c r="E215" s="8"/>
      <c r="F215" s="8"/>
      <c r="G215" s="8"/>
      <c r="H215" s="8"/>
      <c r="I215" s="8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ht="12.45" x14ac:dyDescent="0.3">
      <c r="A216" s="13"/>
      <c r="B216" s="13"/>
      <c r="C216" s="13"/>
      <c r="D216" s="6"/>
      <c r="E216" s="8"/>
      <c r="F216" s="8"/>
      <c r="G216" s="8"/>
      <c r="H216" s="8"/>
      <c r="I216" s="8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ht="12.45" x14ac:dyDescent="0.3">
      <c r="A217" s="13"/>
      <c r="B217" s="13"/>
      <c r="C217" s="13"/>
      <c r="D217" s="6"/>
      <c r="E217" s="8"/>
      <c r="F217" s="8"/>
      <c r="G217" s="8"/>
      <c r="H217" s="8"/>
      <c r="I217" s="8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ht="12.45" x14ac:dyDescent="0.3">
      <c r="A218" s="13"/>
      <c r="B218" s="13"/>
      <c r="C218" s="13"/>
      <c r="D218" s="6"/>
      <c r="E218" s="8"/>
      <c r="F218" s="8"/>
      <c r="G218" s="8"/>
      <c r="H218" s="8"/>
      <c r="I218" s="8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ht="12.45" x14ac:dyDescent="0.3">
      <c r="A219" s="13"/>
      <c r="B219" s="13"/>
      <c r="C219" s="13"/>
      <c r="D219" s="6"/>
      <c r="E219" s="8"/>
      <c r="F219" s="8"/>
      <c r="G219" s="8"/>
      <c r="H219" s="8"/>
      <c r="I219" s="8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ht="12.45" x14ac:dyDescent="0.3">
      <c r="A220" s="13"/>
      <c r="B220" s="13"/>
      <c r="C220" s="13"/>
      <c r="D220" s="6"/>
      <c r="E220" s="8"/>
      <c r="F220" s="8"/>
      <c r="G220" s="8"/>
      <c r="H220" s="8"/>
      <c r="I220" s="8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ht="12.45" x14ac:dyDescent="0.3">
      <c r="A221" s="13"/>
      <c r="B221" s="13"/>
      <c r="C221" s="13"/>
      <c r="D221" s="6"/>
      <c r="E221" s="8"/>
      <c r="F221" s="8"/>
      <c r="G221" s="8"/>
      <c r="H221" s="8"/>
      <c r="I221" s="8"/>
      <c r="J221" s="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ht="12.45" x14ac:dyDescent="0.3">
      <c r="A222" s="13"/>
      <c r="B222" s="13"/>
      <c r="C222" s="13"/>
      <c r="D222" s="6"/>
      <c r="E222" s="8"/>
      <c r="F222" s="8"/>
      <c r="G222" s="8"/>
      <c r="H222" s="8"/>
      <c r="I222" s="8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ht="12.45" x14ac:dyDescent="0.3">
      <c r="A223" s="13"/>
      <c r="B223" s="13"/>
      <c r="C223" s="13"/>
      <c r="D223" s="6"/>
      <c r="E223" s="8"/>
      <c r="F223" s="8"/>
      <c r="G223" s="8"/>
      <c r="H223" s="8"/>
      <c r="I223" s="8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ht="12.45" x14ac:dyDescent="0.3">
      <c r="A224" s="13"/>
      <c r="B224" s="13"/>
      <c r="C224" s="13"/>
      <c r="D224" s="6"/>
      <c r="E224" s="8"/>
      <c r="F224" s="8"/>
      <c r="G224" s="8"/>
      <c r="H224" s="8"/>
      <c r="I224" s="8"/>
      <c r="J224" s="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ht="12.45" x14ac:dyDescent="0.3">
      <c r="A225" s="13"/>
      <c r="B225" s="13"/>
      <c r="C225" s="13"/>
      <c r="D225" s="6"/>
      <c r="E225" s="8"/>
      <c r="F225" s="8"/>
      <c r="G225" s="8"/>
      <c r="H225" s="8"/>
      <c r="I225" s="8"/>
      <c r="J225" s="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ht="12.45" x14ac:dyDescent="0.3">
      <c r="A226" s="13"/>
      <c r="B226" s="13"/>
      <c r="C226" s="13"/>
      <c r="D226" s="6"/>
      <c r="E226" s="8"/>
      <c r="F226" s="8"/>
      <c r="G226" s="8"/>
      <c r="H226" s="8"/>
      <c r="I226" s="8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ht="12.45" x14ac:dyDescent="0.3">
      <c r="A227" s="13"/>
      <c r="B227" s="13"/>
      <c r="C227" s="13"/>
      <c r="D227" s="6"/>
      <c r="E227" s="8"/>
      <c r="F227" s="8"/>
      <c r="G227" s="8"/>
      <c r="H227" s="8"/>
      <c r="I227" s="8"/>
      <c r="J227" s="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ht="12.45" x14ac:dyDescent="0.3">
      <c r="A228" s="13"/>
      <c r="B228" s="13"/>
      <c r="C228" s="13"/>
      <c r="D228" s="6"/>
      <c r="E228" s="8"/>
      <c r="F228" s="8"/>
      <c r="G228" s="8"/>
      <c r="H228" s="8"/>
      <c r="I228" s="8"/>
      <c r="J228" s="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ht="12.45" x14ac:dyDescent="0.3">
      <c r="A229" s="13"/>
      <c r="B229" s="13"/>
      <c r="C229" s="13"/>
      <c r="D229" s="6"/>
      <c r="E229" s="8"/>
      <c r="F229" s="8"/>
      <c r="G229" s="8"/>
      <c r="H229" s="8"/>
      <c r="I229" s="8"/>
      <c r="J229" s="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ht="12.45" x14ac:dyDescent="0.3">
      <c r="A230" s="13"/>
      <c r="B230" s="13"/>
      <c r="C230" s="13"/>
      <c r="D230" s="6"/>
      <c r="E230" s="8"/>
      <c r="F230" s="8"/>
      <c r="G230" s="8"/>
      <c r="H230" s="8"/>
      <c r="I230" s="8"/>
      <c r="J230" s="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ht="12.45" x14ac:dyDescent="0.3">
      <c r="A231" s="13"/>
      <c r="B231" s="13"/>
      <c r="C231" s="13"/>
      <c r="D231" s="6"/>
      <c r="E231" s="8"/>
      <c r="F231" s="8"/>
      <c r="G231" s="8"/>
      <c r="H231" s="8"/>
      <c r="I231" s="8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ht="12.45" x14ac:dyDescent="0.3">
      <c r="A232" s="13"/>
      <c r="B232" s="13"/>
      <c r="C232" s="13"/>
      <c r="D232" s="6"/>
      <c r="E232" s="8"/>
      <c r="F232" s="8"/>
      <c r="G232" s="8"/>
      <c r="H232" s="8"/>
      <c r="I232" s="8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ht="12.45" x14ac:dyDescent="0.3">
      <c r="A233" s="13"/>
      <c r="B233" s="13"/>
      <c r="C233" s="13"/>
      <c r="D233" s="6"/>
      <c r="E233" s="8"/>
      <c r="F233" s="8"/>
      <c r="G233" s="8"/>
      <c r="H233" s="8"/>
      <c r="I233" s="8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ht="12.45" x14ac:dyDescent="0.3">
      <c r="A234" s="13"/>
      <c r="B234" s="13"/>
      <c r="C234" s="13"/>
      <c r="D234" s="6"/>
      <c r="E234" s="8"/>
      <c r="F234" s="8"/>
      <c r="G234" s="8"/>
      <c r="H234" s="8"/>
      <c r="I234" s="8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ht="12.45" x14ac:dyDescent="0.3">
      <c r="A235" s="13"/>
      <c r="B235" s="13"/>
      <c r="C235" s="13"/>
      <c r="D235" s="6"/>
      <c r="E235" s="8"/>
      <c r="F235" s="8"/>
      <c r="G235" s="8"/>
      <c r="H235" s="8"/>
      <c r="I235" s="8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ht="12.45" x14ac:dyDescent="0.3">
      <c r="A236" s="13"/>
      <c r="B236" s="13"/>
      <c r="C236" s="13"/>
      <c r="D236" s="6"/>
      <c r="E236" s="8"/>
      <c r="F236" s="8"/>
      <c r="G236" s="8"/>
      <c r="H236" s="8"/>
      <c r="I236" s="8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ht="12.45" x14ac:dyDescent="0.3">
      <c r="A237" s="13"/>
      <c r="B237" s="13"/>
      <c r="C237" s="13"/>
      <c r="D237" s="6"/>
      <c r="E237" s="8"/>
      <c r="F237" s="8"/>
      <c r="G237" s="8"/>
      <c r="H237" s="8"/>
      <c r="I237" s="8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ht="12.45" x14ac:dyDescent="0.3">
      <c r="A238" s="13"/>
      <c r="B238" s="13"/>
      <c r="C238" s="13"/>
      <c r="D238" s="6"/>
      <c r="E238" s="8"/>
      <c r="F238" s="8"/>
      <c r="G238" s="8"/>
      <c r="H238" s="8"/>
      <c r="I238" s="8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ht="12.45" x14ac:dyDescent="0.3">
      <c r="A239" s="13"/>
      <c r="B239" s="13"/>
      <c r="C239" s="13"/>
      <c r="D239" s="6"/>
      <c r="E239" s="8"/>
      <c r="F239" s="8"/>
      <c r="G239" s="8"/>
      <c r="H239" s="8"/>
      <c r="I239" s="8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ht="12.45" x14ac:dyDescent="0.3">
      <c r="A240" s="13"/>
      <c r="B240" s="13"/>
      <c r="C240" s="13"/>
      <c r="D240" s="6"/>
      <c r="E240" s="8"/>
      <c r="F240" s="8"/>
      <c r="G240" s="8"/>
      <c r="H240" s="8"/>
      <c r="I240" s="8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ht="12.45" x14ac:dyDescent="0.3">
      <c r="A241" s="13"/>
      <c r="B241" s="13"/>
      <c r="C241" s="13"/>
      <c r="D241" s="6"/>
      <c r="E241" s="8"/>
      <c r="F241" s="8"/>
      <c r="G241" s="8"/>
      <c r="H241" s="8"/>
      <c r="I241" s="8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ht="12.45" x14ac:dyDescent="0.3">
      <c r="A242" s="13"/>
      <c r="B242" s="13"/>
      <c r="C242" s="13"/>
      <c r="D242" s="6"/>
      <c r="E242" s="8"/>
      <c r="F242" s="8"/>
      <c r="G242" s="8"/>
      <c r="H242" s="8"/>
      <c r="I242" s="8"/>
      <c r="J242" s="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ht="12.45" x14ac:dyDescent="0.3">
      <c r="A243" s="13"/>
      <c r="B243" s="13"/>
      <c r="C243" s="13"/>
      <c r="D243" s="6"/>
      <c r="E243" s="8"/>
      <c r="F243" s="8"/>
      <c r="G243" s="8"/>
      <c r="H243" s="8"/>
      <c r="I243" s="8"/>
      <c r="J243" s="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ht="12.45" x14ac:dyDescent="0.3">
      <c r="A244" s="13"/>
      <c r="B244" s="13"/>
      <c r="C244" s="13"/>
      <c r="D244" s="6"/>
      <c r="E244" s="8"/>
      <c r="F244" s="8"/>
      <c r="G244" s="8"/>
      <c r="H244" s="8"/>
      <c r="I244" s="8"/>
      <c r="J244" s="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ht="12.45" x14ac:dyDescent="0.3">
      <c r="A245" s="13"/>
      <c r="B245" s="13"/>
      <c r="C245" s="13"/>
      <c r="D245" s="6"/>
      <c r="E245" s="8"/>
      <c r="F245" s="8"/>
      <c r="G245" s="8"/>
      <c r="H245" s="8"/>
      <c r="I245" s="8"/>
      <c r="J245" s="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ht="12.45" x14ac:dyDescent="0.3">
      <c r="A246" s="13"/>
      <c r="B246" s="13"/>
      <c r="C246" s="13"/>
      <c r="D246" s="6"/>
      <c r="E246" s="8"/>
      <c r="F246" s="8"/>
      <c r="G246" s="8"/>
      <c r="H246" s="8"/>
      <c r="I246" s="8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ht="12.45" x14ac:dyDescent="0.3">
      <c r="A247" s="13"/>
      <c r="B247" s="13"/>
      <c r="C247" s="13"/>
      <c r="D247" s="6"/>
      <c r="E247" s="8"/>
      <c r="F247" s="8"/>
      <c r="G247" s="8"/>
      <c r="H247" s="8"/>
      <c r="I247" s="8"/>
      <c r="J247" s="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ht="12.45" x14ac:dyDescent="0.3">
      <c r="A248" s="13"/>
      <c r="B248" s="13"/>
      <c r="C248" s="13"/>
      <c r="D248" s="6"/>
      <c r="E248" s="8"/>
      <c r="F248" s="8"/>
      <c r="G248" s="8"/>
      <c r="H248" s="8"/>
      <c r="I248" s="8"/>
      <c r="J248" s="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ht="12.45" x14ac:dyDescent="0.3">
      <c r="A249" s="13"/>
      <c r="B249" s="13"/>
      <c r="C249" s="13"/>
      <c r="D249" s="6"/>
      <c r="E249" s="8"/>
      <c r="F249" s="8"/>
      <c r="G249" s="8"/>
      <c r="H249" s="8"/>
      <c r="I249" s="8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ht="12.45" x14ac:dyDescent="0.3">
      <c r="A250" s="13"/>
      <c r="B250" s="13"/>
      <c r="C250" s="13"/>
      <c r="D250" s="6"/>
      <c r="E250" s="8"/>
      <c r="F250" s="8"/>
      <c r="G250" s="8"/>
      <c r="H250" s="8"/>
      <c r="I250" s="8"/>
      <c r="J250" s="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ht="12.45" x14ac:dyDescent="0.3">
      <c r="A251" s="13"/>
      <c r="B251" s="13"/>
      <c r="C251" s="13"/>
      <c r="D251" s="6"/>
      <c r="E251" s="8"/>
      <c r="F251" s="8"/>
      <c r="G251" s="8"/>
      <c r="H251" s="8"/>
      <c r="I251" s="8"/>
      <c r="J251" s="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ht="12.45" x14ac:dyDescent="0.3">
      <c r="A252" s="13"/>
      <c r="B252" s="13"/>
      <c r="C252" s="13"/>
      <c r="D252" s="6"/>
      <c r="E252" s="8"/>
      <c r="F252" s="8"/>
      <c r="G252" s="8"/>
      <c r="H252" s="8"/>
      <c r="I252" s="8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ht="12.45" x14ac:dyDescent="0.3">
      <c r="A253" s="13"/>
      <c r="B253" s="13"/>
      <c r="C253" s="13"/>
      <c r="D253" s="6"/>
      <c r="E253" s="8"/>
      <c r="F253" s="8"/>
      <c r="G253" s="8"/>
      <c r="H253" s="8"/>
      <c r="I253" s="8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ht="12.45" x14ac:dyDescent="0.3">
      <c r="A254" s="13"/>
      <c r="B254" s="13"/>
      <c r="C254" s="13"/>
      <c r="D254" s="6"/>
      <c r="E254" s="8"/>
      <c r="F254" s="8"/>
      <c r="G254" s="8"/>
      <c r="H254" s="8"/>
      <c r="I254" s="8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ht="12.45" x14ac:dyDescent="0.3">
      <c r="A255" s="13"/>
      <c r="B255" s="13"/>
      <c r="C255" s="13"/>
      <c r="D255" s="6"/>
      <c r="E255" s="8"/>
      <c r="F255" s="8"/>
      <c r="G255" s="8"/>
      <c r="H255" s="8"/>
      <c r="I255" s="8"/>
      <c r="J255" s="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ht="12.45" x14ac:dyDescent="0.3">
      <c r="A256" s="13"/>
      <c r="B256" s="13"/>
      <c r="C256" s="13"/>
      <c r="D256" s="6"/>
      <c r="E256" s="8"/>
      <c r="F256" s="8"/>
      <c r="G256" s="8"/>
      <c r="H256" s="8"/>
      <c r="I256" s="8"/>
      <c r="J256" s="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ht="12.45" x14ac:dyDescent="0.3">
      <c r="A257" s="13"/>
      <c r="B257" s="13"/>
      <c r="C257" s="13"/>
      <c r="D257" s="6"/>
      <c r="E257" s="8"/>
      <c r="F257" s="8"/>
      <c r="G257" s="8"/>
      <c r="H257" s="8"/>
      <c r="I257" s="8"/>
      <c r="J257" s="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ht="12.45" x14ac:dyDescent="0.3">
      <c r="A258" s="13"/>
      <c r="B258" s="13"/>
      <c r="C258" s="13"/>
      <c r="D258" s="6"/>
      <c r="E258" s="8"/>
      <c r="F258" s="8"/>
      <c r="G258" s="8"/>
      <c r="H258" s="8"/>
      <c r="I258" s="8"/>
      <c r="J258" s="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ht="12.45" x14ac:dyDescent="0.3">
      <c r="A259" s="13"/>
      <c r="B259" s="13"/>
      <c r="C259" s="13"/>
      <c r="D259" s="6"/>
      <c r="E259" s="8"/>
      <c r="F259" s="8"/>
      <c r="G259" s="8"/>
      <c r="H259" s="8"/>
      <c r="I259" s="8"/>
      <c r="J259" s="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ht="12.45" x14ac:dyDescent="0.3">
      <c r="A260" s="13"/>
      <c r="B260" s="13"/>
      <c r="C260" s="13"/>
      <c r="D260" s="6"/>
      <c r="E260" s="8"/>
      <c r="F260" s="8"/>
      <c r="G260" s="8"/>
      <c r="H260" s="8"/>
      <c r="I260" s="8"/>
      <c r="J260" s="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ht="12.45" x14ac:dyDescent="0.3">
      <c r="A261" s="13"/>
      <c r="B261" s="13"/>
      <c r="C261" s="13"/>
      <c r="D261" s="6"/>
      <c r="E261" s="8"/>
      <c r="F261" s="8"/>
      <c r="G261" s="8"/>
      <c r="H261" s="8"/>
      <c r="I261" s="8"/>
      <c r="J261" s="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ht="12.45" x14ac:dyDescent="0.3">
      <c r="A262" s="13"/>
      <c r="B262" s="13"/>
      <c r="C262" s="13"/>
      <c r="D262" s="6"/>
      <c r="E262" s="8"/>
      <c r="F262" s="8"/>
      <c r="G262" s="8"/>
      <c r="H262" s="8"/>
      <c r="I262" s="8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ht="12.45" x14ac:dyDescent="0.3">
      <c r="A263" s="13"/>
      <c r="B263" s="13"/>
      <c r="C263" s="13"/>
      <c r="D263" s="6"/>
      <c r="E263" s="8"/>
      <c r="F263" s="8"/>
      <c r="G263" s="8"/>
      <c r="H263" s="8"/>
      <c r="I263" s="8"/>
      <c r="J263" s="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ht="12.45" x14ac:dyDescent="0.3">
      <c r="A264" s="13"/>
      <c r="B264" s="13"/>
      <c r="C264" s="13"/>
      <c r="D264" s="6"/>
      <c r="E264" s="8"/>
      <c r="F264" s="8"/>
      <c r="G264" s="8"/>
      <c r="H264" s="8"/>
      <c r="I264" s="8"/>
      <c r="J264" s="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ht="12.45" x14ac:dyDescent="0.3">
      <c r="A265" s="13"/>
      <c r="B265" s="13"/>
      <c r="C265" s="13"/>
      <c r="D265" s="6"/>
      <c r="E265" s="8"/>
      <c r="F265" s="8"/>
      <c r="G265" s="8"/>
      <c r="H265" s="8"/>
      <c r="I265" s="8"/>
      <c r="J265" s="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ht="12.45" x14ac:dyDescent="0.3">
      <c r="A266" s="13"/>
      <c r="B266" s="13"/>
      <c r="C266" s="13"/>
      <c r="D266" s="6"/>
      <c r="E266" s="8"/>
      <c r="F266" s="8"/>
      <c r="G266" s="8"/>
      <c r="H266" s="8"/>
      <c r="I266" s="8"/>
      <c r="J266" s="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ht="12.45" x14ac:dyDescent="0.3">
      <c r="A267" s="13"/>
      <c r="B267" s="13"/>
      <c r="C267" s="13"/>
      <c r="D267" s="6"/>
      <c r="E267" s="8"/>
      <c r="F267" s="8"/>
      <c r="G267" s="8"/>
      <c r="H267" s="8"/>
      <c r="I267" s="8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ht="12.45" x14ac:dyDescent="0.3">
      <c r="A268" s="13"/>
      <c r="B268" s="13"/>
      <c r="C268" s="13"/>
      <c r="D268" s="6"/>
      <c r="E268" s="8"/>
      <c r="F268" s="8"/>
      <c r="G268" s="8"/>
      <c r="H268" s="8"/>
      <c r="I268" s="8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ht="12.45" x14ac:dyDescent="0.3">
      <c r="A269" s="13"/>
      <c r="B269" s="13"/>
      <c r="C269" s="13"/>
      <c r="D269" s="6"/>
      <c r="E269" s="8"/>
      <c r="F269" s="8"/>
      <c r="G269" s="8"/>
      <c r="H269" s="8"/>
      <c r="I269" s="8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ht="12.45" x14ac:dyDescent="0.3">
      <c r="A270" s="13"/>
      <c r="B270" s="13"/>
      <c r="C270" s="13"/>
      <c r="D270" s="6"/>
      <c r="E270" s="8"/>
      <c r="F270" s="8"/>
      <c r="G270" s="8"/>
      <c r="H270" s="8"/>
      <c r="I270" s="8"/>
      <c r="J270" s="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ht="12.45" x14ac:dyDescent="0.3">
      <c r="A271" s="13"/>
      <c r="B271" s="13"/>
      <c r="C271" s="13"/>
      <c r="D271" s="6"/>
      <c r="E271" s="8"/>
      <c r="F271" s="8"/>
      <c r="G271" s="8"/>
      <c r="H271" s="8"/>
      <c r="I271" s="8"/>
      <c r="J271" s="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ht="12.45" x14ac:dyDescent="0.3">
      <c r="A272" s="13"/>
      <c r="B272" s="13"/>
      <c r="C272" s="13"/>
      <c r="D272" s="6"/>
      <c r="E272" s="8"/>
      <c r="F272" s="8"/>
      <c r="G272" s="8"/>
      <c r="H272" s="8"/>
      <c r="I272" s="8"/>
      <c r="J272" s="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ht="12.45" x14ac:dyDescent="0.3">
      <c r="A273" s="13"/>
      <c r="B273" s="13"/>
      <c r="C273" s="13"/>
      <c r="D273" s="6"/>
      <c r="E273" s="8"/>
      <c r="F273" s="8"/>
      <c r="G273" s="8"/>
      <c r="H273" s="8"/>
      <c r="I273" s="8"/>
      <c r="J273" s="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ht="12.45" x14ac:dyDescent="0.3">
      <c r="A274" s="13"/>
      <c r="B274" s="13"/>
      <c r="C274" s="13"/>
      <c r="D274" s="6"/>
      <c r="E274" s="8"/>
      <c r="F274" s="8"/>
      <c r="G274" s="8"/>
      <c r="H274" s="8"/>
      <c r="I274" s="8"/>
      <c r="J274" s="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ht="12.45" x14ac:dyDescent="0.3">
      <c r="A275" s="13"/>
      <c r="B275" s="13"/>
      <c r="C275" s="13"/>
      <c r="D275" s="6"/>
      <c r="E275" s="8"/>
      <c r="F275" s="8"/>
      <c r="G275" s="8"/>
      <c r="H275" s="8"/>
      <c r="I275" s="8"/>
      <c r="J275" s="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ht="12.45" x14ac:dyDescent="0.3">
      <c r="A276" s="13"/>
      <c r="B276" s="13"/>
      <c r="C276" s="13"/>
      <c r="D276" s="6"/>
      <c r="E276" s="8"/>
      <c r="F276" s="8"/>
      <c r="G276" s="8"/>
      <c r="H276" s="8"/>
      <c r="I276" s="8"/>
      <c r="J276" s="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ht="12.45" x14ac:dyDescent="0.3">
      <c r="A277" s="13"/>
      <c r="B277" s="13"/>
      <c r="C277" s="13"/>
      <c r="D277" s="6"/>
      <c r="E277" s="8"/>
      <c r="F277" s="8"/>
      <c r="G277" s="8"/>
      <c r="H277" s="8"/>
      <c r="I277" s="8"/>
      <c r="J277" s="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ht="12.45" x14ac:dyDescent="0.3">
      <c r="A278" s="13"/>
      <c r="B278" s="13"/>
      <c r="C278" s="13"/>
      <c r="D278" s="6"/>
      <c r="E278" s="8"/>
      <c r="F278" s="8"/>
      <c r="G278" s="8"/>
      <c r="H278" s="8"/>
      <c r="I278" s="8"/>
      <c r="J278" s="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ht="12.45" x14ac:dyDescent="0.3">
      <c r="A279" s="13"/>
      <c r="B279" s="13"/>
      <c r="C279" s="13"/>
      <c r="D279" s="6"/>
      <c r="E279" s="8"/>
      <c r="F279" s="8"/>
      <c r="G279" s="8"/>
      <c r="H279" s="8"/>
      <c r="I279" s="8"/>
      <c r="J279" s="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ht="12.45" x14ac:dyDescent="0.3">
      <c r="A280" s="13"/>
      <c r="B280" s="13"/>
      <c r="C280" s="13"/>
      <c r="D280" s="6"/>
      <c r="E280" s="8"/>
      <c r="F280" s="8"/>
      <c r="G280" s="8"/>
      <c r="H280" s="8"/>
      <c r="I280" s="8"/>
      <c r="J280" s="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ht="12.45" x14ac:dyDescent="0.3">
      <c r="A281" s="13"/>
      <c r="B281" s="13"/>
      <c r="C281" s="13"/>
      <c r="D281" s="6"/>
      <c r="E281" s="8"/>
      <c r="F281" s="8"/>
      <c r="G281" s="8"/>
      <c r="H281" s="8"/>
      <c r="I281" s="8"/>
      <c r="J281" s="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ht="12.45" x14ac:dyDescent="0.3">
      <c r="A282" s="13"/>
      <c r="B282" s="13"/>
      <c r="C282" s="13"/>
      <c r="D282" s="6"/>
      <c r="E282" s="8"/>
      <c r="F282" s="8"/>
      <c r="G282" s="8"/>
      <c r="H282" s="8"/>
      <c r="I282" s="8"/>
      <c r="J282" s="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ht="12.45" x14ac:dyDescent="0.3">
      <c r="A283" s="13"/>
      <c r="B283" s="13"/>
      <c r="C283" s="13"/>
      <c r="D283" s="6"/>
      <c r="E283" s="8"/>
      <c r="F283" s="8"/>
      <c r="G283" s="8"/>
      <c r="H283" s="8"/>
      <c r="I283" s="8"/>
      <c r="J283" s="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ht="12.45" x14ac:dyDescent="0.3">
      <c r="A284" s="13"/>
      <c r="B284" s="13"/>
      <c r="C284" s="13"/>
      <c r="D284" s="6"/>
      <c r="E284" s="8"/>
      <c r="F284" s="8"/>
      <c r="G284" s="8"/>
      <c r="H284" s="8"/>
      <c r="I284" s="8"/>
      <c r="J284" s="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ht="12.45" x14ac:dyDescent="0.3">
      <c r="A285" s="13"/>
      <c r="B285" s="13"/>
      <c r="C285" s="13"/>
      <c r="D285" s="6"/>
      <c r="E285" s="8"/>
      <c r="F285" s="8"/>
      <c r="G285" s="8"/>
      <c r="H285" s="8"/>
      <c r="I285" s="8"/>
      <c r="J285" s="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ht="12.45" x14ac:dyDescent="0.3">
      <c r="A286" s="13"/>
      <c r="B286" s="13"/>
      <c r="C286" s="13"/>
      <c r="D286" s="6"/>
      <c r="E286" s="8"/>
      <c r="F286" s="8"/>
      <c r="G286" s="8"/>
      <c r="H286" s="8"/>
      <c r="I286" s="8"/>
      <c r="J286" s="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ht="12.45" x14ac:dyDescent="0.3">
      <c r="A287" s="13"/>
      <c r="B287" s="13"/>
      <c r="C287" s="13"/>
      <c r="D287" s="6"/>
      <c r="E287" s="8"/>
      <c r="F287" s="8"/>
      <c r="G287" s="8"/>
      <c r="H287" s="8"/>
      <c r="I287" s="8"/>
      <c r="J287" s="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ht="12.45" x14ac:dyDescent="0.3">
      <c r="A288" s="13"/>
      <c r="B288" s="13"/>
      <c r="C288" s="13"/>
      <c r="D288" s="6"/>
      <c r="E288" s="8"/>
      <c r="F288" s="8"/>
      <c r="G288" s="8"/>
      <c r="H288" s="8"/>
      <c r="I288" s="8"/>
      <c r="J288" s="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ht="12.45" x14ac:dyDescent="0.3">
      <c r="A289" s="13"/>
      <c r="B289" s="13"/>
      <c r="C289" s="13"/>
      <c r="D289" s="6"/>
      <c r="E289" s="8"/>
      <c r="F289" s="8"/>
      <c r="G289" s="8"/>
      <c r="H289" s="8"/>
      <c r="I289" s="8"/>
      <c r="J289" s="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ht="12.45" x14ac:dyDescent="0.3">
      <c r="A290" s="13"/>
      <c r="B290" s="13"/>
      <c r="C290" s="13"/>
      <c r="D290" s="6"/>
      <c r="E290" s="8"/>
      <c r="F290" s="8"/>
      <c r="G290" s="8"/>
      <c r="H290" s="8"/>
      <c r="I290" s="8"/>
      <c r="J290" s="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ht="12.45" x14ac:dyDescent="0.3">
      <c r="A291" s="13"/>
      <c r="B291" s="13"/>
      <c r="C291" s="13"/>
      <c r="D291" s="6"/>
      <c r="E291" s="8"/>
      <c r="F291" s="8"/>
      <c r="G291" s="8"/>
      <c r="H291" s="8"/>
      <c r="I291" s="8"/>
      <c r="J291" s="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ht="12.45" x14ac:dyDescent="0.3">
      <c r="A292" s="13"/>
      <c r="B292" s="13"/>
      <c r="C292" s="13"/>
      <c r="D292" s="6"/>
      <c r="E292" s="8"/>
      <c r="F292" s="8"/>
      <c r="G292" s="8"/>
      <c r="H292" s="8"/>
      <c r="I292" s="8"/>
      <c r="J292" s="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ht="12.45" x14ac:dyDescent="0.3">
      <c r="A293" s="13"/>
      <c r="B293" s="13"/>
      <c r="C293" s="13"/>
      <c r="D293" s="6"/>
      <c r="E293" s="8"/>
      <c r="F293" s="8"/>
      <c r="G293" s="8"/>
      <c r="H293" s="8"/>
      <c r="I293" s="8"/>
      <c r="J293" s="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ht="12.45" x14ac:dyDescent="0.3">
      <c r="A294" s="13"/>
      <c r="B294" s="13"/>
      <c r="C294" s="13"/>
      <c r="D294" s="6"/>
      <c r="E294" s="8"/>
      <c r="F294" s="8"/>
      <c r="G294" s="8"/>
      <c r="H294" s="8"/>
      <c r="I294" s="8"/>
      <c r="J294" s="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ht="12.45" x14ac:dyDescent="0.3">
      <c r="A295" s="13"/>
      <c r="B295" s="13"/>
      <c r="C295" s="13"/>
      <c r="D295" s="6"/>
      <c r="E295" s="8"/>
      <c r="F295" s="8"/>
      <c r="G295" s="8"/>
      <c r="H295" s="8"/>
      <c r="I295" s="8"/>
      <c r="J295" s="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ht="12.45" x14ac:dyDescent="0.3">
      <c r="A296" s="13"/>
      <c r="B296" s="13"/>
      <c r="C296" s="13"/>
      <c r="D296" s="6"/>
      <c r="E296" s="8"/>
      <c r="F296" s="8"/>
      <c r="G296" s="8"/>
      <c r="H296" s="8"/>
      <c r="I296" s="8"/>
      <c r="J296" s="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ht="12.45" x14ac:dyDescent="0.3">
      <c r="A297" s="13"/>
      <c r="B297" s="13"/>
      <c r="C297" s="13"/>
      <c r="D297" s="6"/>
      <c r="E297" s="8"/>
      <c r="F297" s="8"/>
      <c r="G297" s="8"/>
      <c r="H297" s="8"/>
      <c r="I297" s="8"/>
      <c r="J297" s="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ht="12.45" x14ac:dyDescent="0.3">
      <c r="A298" s="13"/>
      <c r="B298" s="13"/>
      <c r="C298" s="13"/>
      <c r="D298" s="6"/>
      <c r="E298" s="8"/>
      <c r="F298" s="8"/>
      <c r="G298" s="8"/>
      <c r="H298" s="8"/>
      <c r="I298" s="8"/>
      <c r="J298" s="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ht="12.45" x14ac:dyDescent="0.3">
      <c r="A299" s="13"/>
      <c r="B299" s="13"/>
      <c r="C299" s="13"/>
      <c r="D299" s="6"/>
      <c r="E299" s="8"/>
      <c r="F299" s="8"/>
      <c r="G299" s="8"/>
      <c r="H299" s="8"/>
      <c r="I299" s="8"/>
      <c r="J299" s="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ht="12.45" x14ac:dyDescent="0.3">
      <c r="A300" s="13"/>
      <c r="B300" s="13"/>
      <c r="C300" s="13"/>
      <c r="D300" s="6"/>
      <c r="E300" s="8"/>
      <c r="F300" s="8"/>
      <c r="G300" s="8"/>
      <c r="H300" s="8"/>
      <c r="I300" s="8"/>
      <c r="J300" s="4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ht="12.45" x14ac:dyDescent="0.3">
      <c r="A301" s="13"/>
      <c r="B301" s="13"/>
      <c r="C301" s="13"/>
      <c r="D301" s="6"/>
      <c r="E301" s="8"/>
      <c r="F301" s="8"/>
      <c r="G301" s="8"/>
      <c r="H301" s="8"/>
      <c r="I301" s="8"/>
      <c r="J301" s="4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ht="12.45" x14ac:dyDescent="0.3">
      <c r="A302" s="13"/>
      <c r="B302" s="13"/>
      <c r="C302" s="13"/>
      <c r="D302" s="6"/>
      <c r="E302" s="8"/>
      <c r="F302" s="8"/>
      <c r="G302" s="8"/>
      <c r="H302" s="8"/>
      <c r="I302" s="8"/>
      <c r="J302" s="4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ht="12.45" x14ac:dyDescent="0.3">
      <c r="A303" s="13"/>
      <c r="B303" s="13"/>
      <c r="C303" s="13"/>
      <c r="D303" s="6"/>
      <c r="E303" s="8"/>
      <c r="F303" s="8"/>
      <c r="G303" s="8"/>
      <c r="H303" s="8"/>
      <c r="I303" s="8"/>
      <c r="J303" s="4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ht="12.45" x14ac:dyDescent="0.3">
      <c r="A304" s="13"/>
      <c r="B304" s="13"/>
      <c r="C304" s="13"/>
      <c r="D304" s="6"/>
      <c r="E304" s="8"/>
      <c r="F304" s="8"/>
      <c r="G304" s="8"/>
      <c r="H304" s="8"/>
      <c r="I304" s="8"/>
      <c r="J304" s="4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ht="12.45" x14ac:dyDescent="0.3">
      <c r="A305" s="13"/>
      <c r="B305" s="13"/>
      <c r="C305" s="13"/>
      <c r="D305" s="6"/>
      <c r="E305" s="8"/>
      <c r="F305" s="8"/>
      <c r="G305" s="8"/>
      <c r="H305" s="8"/>
      <c r="I305" s="8"/>
      <c r="J305" s="4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ht="12.45" x14ac:dyDescent="0.3">
      <c r="A306" s="13"/>
      <c r="B306" s="13"/>
      <c r="C306" s="13"/>
      <c r="D306" s="6"/>
      <c r="E306" s="8"/>
      <c r="F306" s="8"/>
      <c r="G306" s="8"/>
      <c r="H306" s="8"/>
      <c r="I306" s="8"/>
      <c r="J306" s="4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ht="12.45" x14ac:dyDescent="0.3">
      <c r="A307" s="13"/>
      <c r="B307" s="13"/>
      <c r="C307" s="13"/>
      <c r="D307" s="6"/>
      <c r="E307" s="8"/>
      <c r="F307" s="8"/>
      <c r="G307" s="8"/>
      <c r="H307" s="8"/>
      <c r="I307" s="8"/>
      <c r="J307" s="4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ht="12.45" x14ac:dyDescent="0.3">
      <c r="A308" s="13"/>
      <c r="B308" s="13"/>
      <c r="C308" s="13"/>
      <c r="D308" s="6"/>
      <c r="E308" s="8"/>
      <c r="F308" s="8"/>
      <c r="G308" s="8"/>
      <c r="H308" s="8"/>
      <c r="I308" s="8"/>
      <c r="J308" s="4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ht="12.45" x14ac:dyDescent="0.3">
      <c r="A309" s="13"/>
      <c r="B309" s="13"/>
      <c r="C309" s="13"/>
      <c r="D309" s="6"/>
      <c r="E309" s="8"/>
      <c r="F309" s="8"/>
      <c r="G309" s="8"/>
      <c r="H309" s="8"/>
      <c r="I309" s="8"/>
      <c r="J309" s="4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ht="12.45" x14ac:dyDescent="0.3">
      <c r="A310" s="13"/>
      <c r="B310" s="13"/>
      <c r="C310" s="13"/>
      <c r="D310" s="6"/>
      <c r="E310" s="8"/>
      <c r="F310" s="8"/>
      <c r="G310" s="8"/>
      <c r="H310" s="8"/>
      <c r="I310" s="8"/>
      <c r="J310" s="4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ht="12.45" x14ac:dyDescent="0.3">
      <c r="A311" s="13"/>
      <c r="B311" s="13"/>
      <c r="C311" s="13"/>
      <c r="D311" s="6"/>
      <c r="E311" s="8"/>
      <c r="F311" s="8"/>
      <c r="G311" s="8"/>
      <c r="H311" s="8"/>
      <c r="I311" s="8"/>
      <c r="J311" s="4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ht="12.45" x14ac:dyDescent="0.3">
      <c r="A312" s="13"/>
      <c r="B312" s="13"/>
      <c r="C312" s="13"/>
      <c r="D312" s="6"/>
      <c r="E312" s="8"/>
      <c r="F312" s="8"/>
      <c r="G312" s="8"/>
      <c r="H312" s="8"/>
      <c r="I312" s="8"/>
      <c r="J312" s="4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ht="12.45" x14ac:dyDescent="0.3">
      <c r="A313" s="13"/>
      <c r="B313" s="13"/>
      <c r="C313" s="13"/>
      <c r="D313" s="6"/>
      <c r="E313" s="8"/>
      <c r="F313" s="8"/>
      <c r="G313" s="8"/>
      <c r="H313" s="8"/>
      <c r="I313" s="8"/>
      <c r="J313" s="4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ht="12.45" x14ac:dyDescent="0.3">
      <c r="A314" s="13"/>
      <c r="B314" s="13"/>
      <c r="C314" s="13"/>
      <c r="D314" s="6"/>
      <c r="E314" s="8"/>
      <c r="F314" s="8"/>
      <c r="G314" s="8"/>
      <c r="H314" s="8"/>
      <c r="I314" s="8"/>
      <c r="J314" s="4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ht="12.45" x14ac:dyDescent="0.3">
      <c r="A315" s="13"/>
      <c r="B315" s="13"/>
      <c r="C315" s="13"/>
      <c r="D315" s="6"/>
      <c r="E315" s="8"/>
      <c r="F315" s="8"/>
      <c r="G315" s="8"/>
      <c r="H315" s="8"/>
      <c r="I315" s="8"/>
      <c r="J315" s="4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ht="12.45" x14ac:dyDescent="0.3">
      <c r="A316" s="13"/>
      <c r="B316" s="13"/>
      <c r="C316" s="13"/>
      <c r="D316" s="6"/>
      <c r="E316" s="8"/>
      <c r="F316" s="8"/>
      <c r="G316" s="8"/>
      <c r="H316" s="8"/>
      <c r="I316" s="8"/>
      <c r="J316" s="4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ht="12.45" x14ac:dyDescent="0.3">
      <c r="A317" s="13"/>
      <c r="B317" s="13"/>
      <c r="C317" s="13"/>
      <c r="D317" s="6"/>
      <c r="E317" s="8"/>
      <c r="F317" s="8"/>
      <c r="G317" s="8"/>
      <c r="H317" s="8"/>
      <c r="I317" s="8"/>
      <c r="J317" s="4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ht="12.45" x14ac:dyDescent="0.3">
      <c r="A318" s="13"/>
      <c r="B318" s="13"/>
      <c r="C318" s="13"/>
      <c r="D318" s="6"/>
      <c r="E318" s="8"/>
      <c r="F318" s="8"/>
      <c r="G318" s="8"/>
      <c r="H318" s="8"/>
      <c r="I318" s="8"/>
      <c r="J318" s="4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ht="12.45" x14ac:dyDescent="0.3">
      <c r="A319" s="13"/>
      <c r="B319" s="13"/>
      <c r="C319" s="13"/>
      <c r="D319" s="6"/>
      <c r="E319" s="8"/>
      <c r="F319" s="8"/>
      <c r="G319" s="8"/>
      <c r="H319" s="8"/>
      <c r="I319" s="8"/>
      <c r="J319" s="4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ht="12.45" x14ac:dyDescent="0.3">
      <c r="A320" s="13"/>
      <c r="B320" s="13"/>
      <c r="C320" s="13"/>
      <c r="D320" s="6"/>
      <c r="E320" s="8"/>
      <c r="F320" s="8"/>
      <c r="G320" s="8"/>
      <c r="H320" s="8"/>
      <c r="I320" s="8"/>
      <c r="J320" s="4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ht="12.45" x14ac:dyDescent="0.3">
      <c r="A321" s="13"/>
      <c r="B321" s="13"/>
      <c r="C321" s="13"/>
      <c r="D321" s="6"/>
      <c r="E321" s="8"/>
      <c r="F321" s="8"/>
      <c r="G321" s="8"/>
      <c r="H321" s="8"/>
      <c r="I321" s="8"/>
      <c r="J321" s="4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ht="12.45" x14ac:dyDescent="0.3">
      <c r="A322" s="13"/>
      <c r="B322" s="13"/>
      <c r="C322" s="13"/>
      <c r="D322" s="6"/>
      <c r="E322" s="8"/>
      <c r="F322" s="8"/>
      <c r="G322" s="8"/>
      <c r="H322" s="8"/>
      <c r="I322" s="8"/>
      <c r="J322" s="4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ht="12.45" x14ac:dyDescent="0.3">
      <c r="A323" s="13"/>
      <c r="B323" s="13"/>
      <c r="C323" s="13"/>
      <c r="D323" s="6"/>
      <c r="E323" s="8"/>
      <c r="F323" s="8"/>
      <c r="G323" s="8"/>
      <c r="H323" s="8"/>
      <c r="I323" s="8"/>
      <c r="J323" s="4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ht="12.45" x14ac:dyDescent="0.3">
      <c r="A324" s="13"/>
      <c r="B324" s="13"/>
      <c r="C324" s="13"/>
      <c r="D324" s="6"/>
      <c r="E324" s="8"/>
      <c r="F324" s="8"/>
      <c r="G324" s="8"/>
      <c r="H324" s="8"/>
      <c r="I324" s="8"/>
      <c r="J324" s="4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ht="12.45" x14ac:dyDescent="0.3">
      <c r="A325" s="13"/>
      <c r="B325" s="13"/>
      <c r="C325" s="13"/>
      <c r="D325" s="6"/>
      <c r="E325" s="8"/>
      <c r="F325" s="8"/>
      <c r="G325" s="8"/>
      <c r="H325" s="8"/>
      <c r="I325" s="8"/>
      <c r="J325" s="4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ht="12.45" x14ac:dyDescent="0.3">
      <c r="A326" s="13"/>
      <c r="B326" s="13"/>
      <c r="C326" s="13"/>
      <c r="D326" s="6"/>
      <c r="E326" s="8"/>
      <c r="F326" s="8"/>
      <c r="G326" s="8"/>
      <c r="H326" s="8"/>
      <c r="I326" s="8"/>
      <c r="J326" s="4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ht="12.45" x14ac:dyDescent="0.3">
      <c r="A327" s="13"/>
      <c r="B327" s="13"/>
      <c r="C327" s="13"/>
      <c r="D327" s="6"/>
      <c r="E327" s="8"/>
      <c r="F327" s="8"/>
      <c r="G327" s="8"/>
      <c r="H327" s="8"/>
      <c r="I327" s="8"/>
      <c r="J327" s="4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ht="12.45" x14ac:dyDescent="0.3">
      <c r="A328" s="13"/>
      <c r="B328" s="13"/>
      <c r="C328" s="13"/>
      <c r="D328" s="6"/>
      <c r="E328" s="8"/>
      <c r="F328" s="8"/>
      <c r="G328" s="8"/>
      <c r="H328" s="8"/>
      <c r="I328" s="8"/>
      <c r="J328" s="4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ht="12.45" x14ac:dyDescent="0.3">
      <c r="A329" s="13"/>
      <c r="B329" s="13"/>
      <c r="C329" s="13"/>
      <c r="D329" s="6"/>
      <c r="E329" s="8"/>
      <c r="F329" s="8"/>
      <c r="G329" s="8"/>
      <c r="H329" s="8"/>
      <c r="I329" s="8"/>
      <c r="J329" s="4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ht="12.45" x14ac:dyDescent="0.3">
      <c r="A330" s="13"/>
      <c r="B330" s="13"/>
      <c r="C330" s="13"/>
      <c r="D330" s="6"/>
      <c r="E330" s="8"/>
      <c r="F330" s="8"/>
      <c r="G330" s="8"/>
      <c r="H330" s="8"/>
      <c r="I330" s="8"/>
      <c r="J330" s="4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ht="12.45" x14ac:dyDescent="0.3">
      <c r="A331" s="13"/>
      <c r="B331" s="13"/>
      <c r="C331" s="13"/>
      <c r="D331" s="6"/>
      <c r="E331" s="8"/>
      <c r="F331" s="8"/>
      <c r="G331" s="8"/>
      <c r="H331" s="8"/>
      <c r="I331" s="8"/>
      <c r="J331" s="4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ht="12.45" x14ac:dyDescent="0.3">
      <c r="A332" s="13"/>
      <c r="B332" s="13"/>
      <c r="C332" s="13"/>
      <c r="D332" s="6"/>
      <c r="E332" s="8"/>
      <c r="F332" s="8"/>
      <c r="G332" s="8"/>
      <c r="H332" s="8"/>
      <c r="I332" s="8"/>
      <c r="J332" s="4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ht="12.45" x14ac:dyDescent="0.3">
      <c r="A333" s="13"/>
      <c r="B333" s="13"/>
      <c r="C333" s="13"/>
      <c r="D333" s="6"/>
      <c r="E333" s="8"/>
      <c r="F333" s="8"/>
      <c r="G333" s="8"/>
      <c r="H333" s="8"/>
      <c r="I333" s="8"/>
      <c r="J333" s="4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ht="12.45" x14ac:dyDescent="0.3">
      <c r="A334" s="13"/>
      <c r="B334" s="13"/>
      <c r="C334" s="13"/>
      <c r="D334" s="6"/>
      <c r="E334" s="8"/>
      <c r="F334" s="8"/>
      <c r="G334" s="8"/>
      <c r="H334" s="8"/>
      <c r="I334" s="8"/>
      <c r="J334" s="4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ht="12.45" x14ac:dyDescent="0.3">
      <c r="A335" s="13"/>
      <c r="B335" s="13"/>
      <c r="C335" s="13"/>
      <c r="D335" s="6"/>
      <c r="E335" s="8"/>
      <c r="F335" s="8"/>
      <c r="G335" s="8"/>
      <c r="H335" s="8"/>
      <c r="I335" s="8"/>
      <c r="J335" s="4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ht="12.45" x14ac:dyDescent="0.3">
      <c r="A336" s="13"/>
      <c r="B336" s="13"/>
      <c r="C336" s="13"/>
      <c r="D336" s="6"/>
      <c r="E336" s="8"/>
      <c r="F336" s="8"/>
      <c r="G336" s="8"/>
      <c r="H336" s="8"/>
      <c r="I336" s="8"/>
      <c r="J336" s="4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ht="12.45" x14ac:dyDescent="0.3">
      <c r="A337" s="13"/>
      <c r="B337" s="13"/>
      <c r="C337" s="13"/>
      <c r="D337" s="6"/>
      <c r="E337" s="8"/>
      <c r="F337" s="8"/>
      <c r="G337" s="8"/>
      <c r="H337" s="8"/>
      <c r="I337" s="8"/>
      <c r="J337" s="4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ht="12.45" x14ac:dyDescent="0.3">
      <c r="A338" s="13"/>
      <c r="B338" s="13"/>
      <c r="C338" s="13"/>
      <c r="D338" s="6"/>
      <c r="E338" s="8"/>
      <c r="F338" s="8"/>
      <c r="G338" s="8"/>
      <c r="H338" s="8"/>
      <c r="I338" s="8"/>
      <c r="J338" s="4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ht="12.45" x14ac:dyDescent="0.3">
      <c r="A339" s="13"/>
      <c r="B339" s="13"/>
      <c r="C339" s="13"/>
      <c r="H339" s="178"/>
      <c r="J339" s="42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ht="12.45" x14ac:dyDescent="0.3">
      <c r="A340" s="13"/>
      <c r="B340" s="13"/>
      <c r="C340" s="13"/>
      <c r="H340" s="178"/>
      <c r="J340" s="42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ht="12.45" x14ac:dyDescent="0.3">
      <c r="A341" s="13"/>
      <c r="B341" s="13"/>
      <c r="C341" s="13"/>
      <c r="H341" s="178"/>
      <c r="J341" s="42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ht="12.45" x14ac:dyDescent="0.3">
      <c r="A342" s="13"/>
      <c r="B342" s="13"/>
      <c r="C342" s="13"/>
      <c r="H342" s="178"/>
      <c r="J342" s="42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ht="12.45" x14ac:dyDescent="0.3">
      <c r="A343" s="13"/>
      <c r="B343" s="13"/>
      <c r="C343" s="13"/>
      <c r="H343" s="178"/>
      <c r="J343" s="42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ht="12.45" x14ac:dyDescent="0.3">
      <c r="A344" s="13"/>
      <c r="B344" s="13"/>
      <c r="C344" s="13"/>
      <c r="H344" s="178"/>
      <c r="J344" s="42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ht="12.45" x14ac:dyDescent="0.3">
      <c r="A345" s="13"/>
      <c r="B345" s="13"/>
      <c r="C345" s="13"/>
      <c r="H345" s="178"/>
      <c r="J345" s="42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ht="12.45" x14ac:dyDescent="0.3">
      <c r="A346" s="13"/>
      <c r="B346" s="13"/>
      <c r="C346" s="13"/>
      <c r="H346" s="178"/>
      <c r="J346" s="42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ht="12.45" x14ac:dyDescent="0.3">
      <c r="A347" s="13"/>
      <c r="B347" s="13"/>
      <c r="C347" s="13"/>
      <c r="H347" s="178"/>
      <c r="J347" s="42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ht="12.45" x14ac:dyDescent="0.3">
      <c r="A348" s="13"/>
      <c r="B348" s="13"/>
      <c r="C348" s="13"/>
      <c r="H348" s="178"/>
      <c r="J348" s="42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ht="12.45" x14ac:dyDescent="0.3">
      <c r="A349" s="13"/>
      <c r="B349" s="13"/>
      <c r="C349" s="13"/>
      <c r="H349" s="178"/>
      <c r="J349" s="42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ht="12.45" x14ac:dyDescent="0.3">
      <c r="A350" s="13"/>
      <c r="B350" s="13"/>
      <c r="C350" s="13"/>
      <c r="H350" s="178"/>
      <c r="J350" s="42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ht="12.45" x14ac:dyDescent="0.3">
      <c r="A351" s="13"/>
      <c r="B351" s="13"/>
      <c r="C351" s="13"/>
      <c r="H351" s="178"/>
      <c r="J351" s="42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ht="12.45" x14ac:dyDescent="0.3">
      <c r="A352" s="13"/>
      <c r="B352" s="13"/>
      <c r="C352" s="13"/>
      <c r="H352" s="178"/>
      <c r="J352" s="42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ht="12.45" x14ac:dyDescent="0.3">
      <c r="A353" s="13"/>
      <c r="B353" s="13"/>
      <c r="C353" s="13"/>
      <c r="H353" s="178"/>
      <c r="J353" s="42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ht="12.45" x14ac:dyDescent="0.3">
      <c r="A354" s="13"/>
      <c r="B354" s="13"/>
      <c r="C354" s="13"/>
      <c r="H354" s="178"/>
      <c r="J354" s="42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ht="12.45" x14ac:dyDescent="0.3">
      <c r="A355" s="13"/>
      <c r="B355" s="13"/>
      <c r="C355" s="13"/>
      <c r="H355" s="178"/>
      <c r="J355" s="42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ht="12.45" x14ac:dyDescent="0.3">
      <c r="A356" s="13"/>
      <c r="B356" s="13"/>
      <c r="C356" s="13"/>
      <c r="H356" s="178"/>
      <c r="J356" s="42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ht="12.45" x14ac:dyDescent="0.3">
      <c r="A357" s="13"/>
      <c r="B357" s="13"/>
      <c r="C357" s="13"/>
      <c r="H357" s="178"/>
      <c r="J357" s="42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ht="12.45" x14ac:dyDescent="0.3">
      <c r="A358" s="13"/>
      <c r="B358" s="13"/>
      <c r="C358" s="13"/>
      <c r="H358" s="178"/>
      <c r="J358" s="42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ht="12.45" x14ac:dyDescent="0.3">
      <c r="A359" s="13"/>
      <c r="B359" s="13"/>
      <c r="C359" s="13"/>
      <c r="H359" s="178"/>
      <c r="J359" s="42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ht="12.45" x14ac:dyDescent="0.3">
      <c r="A360" s="13"/>
      <c r="B360" s="13"/>
      <c r="C360" s="13"/>
      <c r="H360" s="178"/>
      <c r="J360" s="42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ht="12.45" x14ac:dyDescent="0.3">
      <c r="A361" s="13"/>
      <c r="B361" s="13"/>
      <c r="C361" s="13"/>
      <c r="H361" s="178"/>
      <c r="J361" s="42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ht="12.45" x14ac:dyDescent="0.3">
      <c r="A362" s="13"/>
      <c r="B362" s="13"/>
      <c r="C362" s="13"/>
      <c r="H362" s="178"/>
      <c r="J362" s="42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ht="12.45" x14ac:dyDescent="0.3">
      <c r="A363" s="13"/>
      <c r="B363" s="13"/>
      <c r="C363" s="13"/>
      <c r="H363" s="178"/>
      <c r="J363" s="42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ht="12.45" x14ac:dyDescent="0.3">
      <c r="A364" s="13"/>
      <c r="B364" s="13"/>
      <c r="C364" s="13"/>
      <c r="H364" s="178"/>
      <c r="J364" s="42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ht="12.45" x14ac:dyDescent="0.3">
      <c r="A365" s="13"/>
      <c r="B365" s="13"/>
      <c r="C365" s="13"/>
      <c r="H365" s="178"/>
      <c r="J365" s="42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ht="12.45" x14ac:dyDescent="0.3">
      <c r="A366" s="13"/>
      <c r="B366" s="13"/>
      <c r="C366" s="13"/>
      <c r="H366" s="178"/>
      <c r="J366" s="42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ht="12.45" x14ac:dyDescent="0.3">
      <c r="A367" s="13"/>
      <c r="B367" s="13"/>
      <c r="C367" s="13"/>
      <c r="H367" s="178"/>
      <c r="J367" s="42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ht="12.45" x14ac:dyDescent="0.3">
      <c r="A368" s="13"/>
      <c r="B368" s="13"/>
      <c r="C368" s="13"/>
      <c r="H368" s="178"/>
      <c r="J368" s="42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ht="12.45" x14ac:dyDescent="0.3">
      <c r="A369" s="13"/>
      <c r="B369" s="13"/>
      <c r="C369" s="13"/>
      <c r="H369" s="178"/>
      <c r="J369" s="42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ht="12.45" x14ac:dyDescent="0.3">
      <c r="A370" s="13"/>
      <c r="B370" s="13"/>
      <c r="C370" s="13"/>
      <c r="H370" s="178"/>
      <c r="J370" s="42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ht="12.45" x14ac:dyDescent="0.3">
      <c r="A371" s="13"/>
      <c r="B371" s="13"/>
      <c r="C371" s="13"/>
      <c r="H371" s="178"/>
      <c r="J371" s="42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ht="12.45" x14ac:dyDescent="0.3">
      <c r="A372" s="13"/>
      <c r="B372" s="13"/>
      <c r="C372" s="13"/>
      <c r="H372" s="178"/>
      <c r="J372" s="42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ht="12.45" x14ac:dyDescent="0.3">
      <c r="A373" s="13"/>
      <c r="B373" s="13"/>
      <c r="C373" s="13"/>
      <c r="H373" s="178"/>
      <c r="J373" s="42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ht="12.45" x14ac:dyDescent="0.3">
      <c r="A374" s="13"/>
      <c r="B374" s="13"/>
      <c r="C374" s="13"/>
      <c r="H374" s="178"/>
      <c r="J374" s="42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ht="12.45" x14ac:dyDescent="0.3">
      <c r="A375" s="13"/>
      <c r="B375" s="13"/>
      <c r="C375" s="13"/>
      <c r="H375" s="178"/>
      <c r="J375" s="42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ht="12.45" x14ac:dyDescent="0.3">
      <c r="A376" s="13"/>
      <c r="B376" s="13"/>
      <c r="C376" s="13"/>
      <c r="H376" s="178"/>
      <c r="J376" s="42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ht="12.45" x14ac:dyDescent="0.3">
      <c r="A377" s="13"/>
      <c r="B377" s="13"/>
      <c r="C377" s="13"/>
      <c r="H377" s="178"/>
      <c r="J377" s="42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ht="12.45" x14ac:dyDescent="0.3">
      <c r="A378" s="13"/>
      <c r="B378" s="13"/>
      <c r="C378" s="13"/>
      <c r="H378" s="178"/>
      <c r="J378" s="42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ht="12.45" x14ac:dyDescent="0.3">
      <c r="A379" s="13"/>
      <c r="B379" s="13"/>
      <c r="C379" s="13"/>
      <c r="H379" s="178"/>
      <c r="J379" s="42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ht="12.45" x14ac:dyDescent="0.3">
      <c r="A380" s="13"/>
      <c r="B380" s="13"/>
      <c r="C380" s="13"/>
      <c r="H380" s="178"/>
      <c r="J380" s="42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ht="12.45" x14ac:dyDescent="0.3">
      <c r="A381" s="13"/>
      <c r="B381" s="13"/>
      <c r="C381" s="13"/>
      <c r="H381" s="178"/>
      <c r="J381" s="42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ht="12.45" x14ac:dyDescent="0.3">
      <c r="A382" s="13"/>
      <c r="B382" s="13"/>
      <c r="C382" s="13"/>
      <c r="H382" s="178"/>
      <c r="J382" s="42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ht="12.45" x14ac:dyDescent="0.3">
      <c r="A383" s="13"/>
      <c r="B383" s="13"/>
      <c r="C383" s="13"/>
      <c r="H383" s="178"/>
      <c r="J383" s="42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ht="12.45" x14ac:dyDescent="0.3">
      <c r="A384" s="13"/>
      <c r="B384" s="13"/>
      <c r="C384" s="13"/>
      <c r="H384" s="178"/>
      <c r="J384" s="42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ht="12.45" x14ac:dyDescent="0.3">
      <c r="A385" s="13"/>
      <c r="B385" s="13"/>
      <c r="C385" s="13"/>
      <c r="H385" s="178"/>
      <c r="J385" s="42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ht="12.45" x14ac:dyDescent="0.3">
      <c r="A386" s="13"/>
      <c r="B386" s="13"/>
      <c r="C386" s="13"/>
      <c r="H386" s="178"/>
      <c r="J386" s="42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ht="12.45" x14ac:dyDescent="0.3">
      <c r="A387" s="13"/>
      <c r="B387" s="13"/>
      <c r="C387" s="13"/>
      <c r="H387" s="178"/>
      <c r="J387" s="42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ht="12.45" x14ac:dyDescent="0.3">
      <c r="A388" s="13"/>
      <c r="B388" s="13"/>
      <c r="C388" s="13"/>
      <c r="H388" s="178"/>
      <c r="J388" s="42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ht="12.45" x14ac:dyDescent="0.3">
      <c r="A389" s="13"/>
      <c r="B389" s="13"/>
      <c r="C389" s="13"/>
      <c r="H389" s="178"/>
      <c r="J389" s="42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ht="12.45" x14ac:dyDescent="0.3">
      <c r="A390" s="13"/>
      <c r="B390" s="13"/>
      <c r="C390" s="13"/>
      <c r="H390" s="178"/>
      <c r="J390" s="42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ht="12.45" x14ac:dyDescent="0.3">
      <c r="A391" s="13"/>
      <c r="B391" s="13"/>
      <c r="C391" s="13"/>
      <c r="H391" s="178"/>
      <c r="J391" s="42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ht="12.45" x14ac:dyDescent="0.3">
      <c r="A392" s="13"/>
      <c r="B392" s="13"/>
      <c r="C392" s="13"/>
      <c r="H392" s="178"/>
      <c r="J392" s="42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ht="12.45" x14ac:dyDescent="0.3">
      <c r="A393" s="13"/>
      <c r="B393" s="13"/>
      <c r="C393" s="13"/>
      <c r="H393" s="178"/>
      <c r="J393" s="42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ht="12.45" x14ac:dyDescent="0.3">
      <c r="A394" s="13"/>
      <c r="B394" s="13"/>
      <c r="C394" s="13"/>
      <c r="H394" s="178"/>
      <c r="J394" s="42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ht="12.45" x14ac:dyDescent="0.3">
      <c r="A395" s="13"/>
      <c r="B395" s="13"/>
      <c r="C395" s="13"/>
      <c r="H395" s="178"/>
      <c r="J395" s="42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ht="12.45" x14ac:dyDescent="0.3">
      <c r="A396" s="13"/>
      <c r="B396" s="13"/>
      <c r="C396" s="13"/>
      <c r="H396" s="178"/>
      <c r="J396" s="42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ht="12.45" x14ac:dyDescent="0.3">
      <c r="A397" s="13"/>
      <c r="B397" s="13"/>
      <c r="C397" s="13"/>
      <c r="H397" s="178"/>
      <c r="J397" s="42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ht="12.45" x14ac:dyDescent="0.3">
      <c r="A398" s="13"/>
      <c r="B398" s="13"/>
      <c r="C398" s="13"/>
      <c r="H398" s="178"/>
      <c r="J398" s="42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ht="12.45" x14ac:dyDescent="0.3">
      <c r="A399" s="13"/>
      <c r="B399" s="13"/>
      <c r="C399" s="13"/>
      <c r="H399" s="178"/>
      <c r="J399" s="42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ht="12.45" x14ac:dyDescent="0.3">
      <c r="A400" s="13"/>
      <c r="B400" s="13"/>
      <c r="C400" s="13"/>
      <c r="H400" s="178"/>
      <c r="J400" s="42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ht="12.45" x14ac:dyDescent="0.3">
      <c r="A401" s="13"/>
      <c r="B401" s="13"/>
      <c r="C401" s="13"/>
      <c r="H401" s="178"/>
      <c r="J401" s="42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ht="12.45" x14ac:dyDescent="0.3">
      <c r="A402" s="13"/>
      <c r="B402" s="13"/>
      <c r="C402" s="13"/>
      <c r="H402" s="178"/>
      <c r="J402" s="42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ht="12.45" x14ac:dyDescent="0.3">
      <c r="A403" s="13"/>
      <c r="B403" s="13"/>
      <c r="C403" s="13"/>
      <c r="H403" s="178"/>
      <c r="J403" s="42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ht="12.45" x14ac:dyDescent="0.3">
      <c r="A404" s="13"/>
      <c r="B404" s="13"/>
      <c r="C404" s="13"/>
      <c r="H404" s="178"/>
      <c r="J404" s="42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ht="12.45" x14ac:dyDescent="0.3">
      <c r="A405" s="13"/>
      <c r="B405" s="13"/>
      <c r="C405" s="13"/>
      <c r="H405" s="178"/>
      <c r="J405" s="42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ht="12.45" x14ac:dyDescent="0.3">
      <c r="A406" s="13"/>
      <c r="B406" s="13"/>
      <c r="C406" s="13"/>
      <c r="H406" s="178"/>
      <c r="J406" s="42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ht="12.45" x14ac:dyDescent="0.3">
      <c r="A407" s="13"/>
      <c r="B407" s="13"/>
      <c r="C407" s="13"/>
      <c r="H407" s="178"/>
      <c r="J407" s="42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ht="12.45" x14ac:dyDescent="0.3">
      <c r="A408" s="13"/>
      <c r="B408" s="13"/>
      <c r="C408" s="13"/>
      <c r="H408" s="178"/>
      <c r="J408" s="42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ht="12.45" x14ac:dyDescent="0.3">
      <c r="A409" s="13"/>
      <c r="B409" s="13"/>
      <c r="C409" s="13"/>
      <c r="H409" s="178"/>
      <c r="J409" s="42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ht="12.45" x14ac:dyDescent="0.3">
      <c r="A410" s="13"/>
      <c r="B410" s="13"/>
      <c r="C410" s="13"/>
      <c r="H410" s="178"/>
      <c r="J410" s="42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ht="12.45" x14ac:dyDescent="0.3">
      <c r="A411" s="13"/>
      <c r="B411" s="13"/>
      <c r="C411" s="13"/>
      <c r="H411" s="178"/>
      <c r="J411" s="42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ht="12.45" x14ac:dyDescent="0.3">
      <c r="A412" s="13"/>
      <c r="B412" s="13"/>
      <c r="C412" s="13"/>
      <c r="H412" s="178"/>
      <c r="J412" s="42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ht="12.45" x14ac:dyDescent="0.3">
      <c r="A413" s="13"/>
      <c r="B413" s="13"/>
      <c r="C413" s="13"/>
      <c r="H413" s="178"/>
      <c r="J413" s="42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ht="12.45" x14ac:dyDescent="0.3">
      <c r="A414" s="13"/>
      <c r="B414" s="13"/>
      <c r="C414" s="13"/>
      <c r="H414" s="178"/>
      <c r="J414" s="42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ht="12.45" x14ac:dyDescent="0.3">
      <c r="A415" s="13"/>
      <c r="B415" s="13"/>
      <c r="C415" s="13"/>
      <c r="H415" s="178"/>
      <c r="J415" s="42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ht="12.45" x14ac:dyDescent="0.3">
      <c r="A416" s="13"/>
      <c r="B416" s="13"/>
      <c r="C416" s="13"/>
      <c r="H416" s="178"/>
      <c r="J416" s="42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ht="12.45" x14ac:dyDescent="0.3">
      <c r="A417" s="13"/>
      <c r="B417" s="13"/>
      <c r="C417" s="13"/>
      <c r="H417" s="178"/>
      <c r="J417" s="42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ht="12.45" x14ac:dyDescent="0.3">
      <c r="A418" s="13"/>
      <c r="B418" s="13"/>
      <c r="C418" s="13"/>
      <c r="H418" s="178"/>
      <c r="J418" s="42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ht="12.45" x14ac:dyDescent="0.3">
      <c r="A419" s="13"/>
      <c r="B419" s="13"/>
      <c r="C419" s="13"/>
      <c r="H419" s="178"/>
      <c r="J419" s="42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ht="12.45" x14ac:dyDescent="0.3">
      <c r="A420" s="13"/>
      <c r="B420" s="13"/>
      <c r="C420" s="13"/>
      <c r="H420" s="178"/>
      <c r="J420" s="42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ht="12.45" x14ac:dyDescent="0.3">
      <c r="A421" s="13"/>
      <c r="B421" s="13"/>
      <c r="C421" s="13"/>
      <c r="H421" s="178"/>
      <c r="J421" s="42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ht="12.45" x14ac:dyDescent="0.3">
      <c r="A422" s="13"/>
      <c r="B422" s="13"/>
      <c r="C422" s="13"/>
      <c r="H422" s="178"/>
      <c r="J422" s="42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ht="12.45" x14ac:dyDescent="0.3">
      <c r="A423" s="13"/>
      <c r="B423" s="13"/>
      <c r="C423" s="13"/>
      <c r="H423" s="178"/>
      <c r="J423" s="42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ht="12.45" x14ac:dyDescent="0.3">
      <c r="A424" s="13"/>
      <c r="B424" s="13"/>
      <c r="C424" s="13"/>
      <c r="H424" s="178"/>
      <c r="J424" s="42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ht="12.45" x14ac:dyDescent="0.3">
      <c r="A425" s="13"/>
      <c r="B425" s="13"/>
      <c r="C425" s="13"/>
      <c r="H425" s="178"/>
      <c r="J425" s="42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ht="12.45" x14ac:dyDescent="0.3">
      <c r="A426" s="13"/>
      <c r="B426" s="13"/>
      <c r="C426" s="13"/>
      <c r="H426" s="178"/>
      <c r="J426" s="42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ht="12.45" x14ac:dyDescent="0.3">
      <c r="A427" s="13"/>
      <c r="B427" s="13"/>
      <c r="C427" s="13"/>
      <c r="H427" s="178"/>
      <c r="J427" s="42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ht="12.45" x14ac:dyDescent="0.3">
      <c r="A428" s="13"/>
      <c r="B428" s="13"/>
      <c r="C428" s="13"/>
      <c r="H428" s="178"/>
      <c r="J428" s="42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ht="12.45" x14ac:dyDescent="0.3">
      <c r="A429" s="13"/>
      <c r="B429" s="13"/>
      <c r="C429" s="13"/>
      <c r="H429" s="178"/>
      <c r="J429" s="42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ht="12.45" x14ac:dyDescent="0.3">
      <c r="A430" s="13"/>
      <c r="B430" s="13"/>
      <c r="C430" s="13"/>
      <c r="H430" s="178"/>
      <c r="J430" s="42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ht="12.45" x14ac:dyDescent="0.3">
      <c r="A431" s="13"/>
      <c r="B431" s="13"/>
      <c r="C431" s="13"/>
      <c r="H431" s="178"/>
      <c r="J431" s="42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ht="12.45" x14ac:dyDescent="0.3">
      <c r="A432" s="13"/>
      <c r="B432" s="13"/>
      <c r="C432" s="13"/>
      <c r="H432" s="178"/>
      <c r="J432" s="42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ht="12.45" x14ac:dyDescent="0.3">
      <c r="A433" s="13"/>
      <c r="B433" s="13"/>
      <c r="C433" s="13"/>
      <c r="H433" s="178"/>
      <c r="J433" s="42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ht="12.45" x14ac:dyDescent="0.3">
      <c r="A434" s="13"/>
      <c r="B434" s="13"/>
      <c r="C434" s="13"/>
      <c r="H434" s="178"/>
      <c r="J434" s="42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ht="12.45" x14ac:dyDescent="0.3">
      <c r="A435" s="13"/>
      <c r="B435" s="13"/>
      <c r="C435" s="13"/>
      <c r="H435" s="178"/>
      <c r="J435" s="42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ht="12.45" x14ac:dyDescent="0.3">
      <c r="A436" s="13"/>
      <c r="B436" s="13"/>
      <c r="C436" s="13"/>
      <c r="H436" s="178"/>
      <c r="J436" s="42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ht="12.45" x14ac:dyDescent="0.3">
      <c r="A437" s="13"/>
      <c r="B437" s="13"/>
      <c r="C437" s="13"/>
      <c r="H437" s="178"/>
      <c r="J437" s="42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ht="12.45" x14ac:dyDescent="0.3">
      <c r="A438" s="13"/>
      <c r="B438" s="13"/>
      <c r="C438" s="13"/>
      <c r="H438" s="178"/>
      <c r="J438" s="42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ht="12.45" x14ac:dyDescent="0.3">
      <c r="A439" s="13"/>
      <c r="B439" s="13"/>
      <c r="C439" s="13"/>
      <c r="H439" s="178"/>
      <c r="J439" s="42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ht="12.45" x14ac:dyDescent="0.3">
      <c r="A440" s="13"/>
      <c r="B440" s="13"/>
      <c r="C440" s="13"/>
      <c r="H440" s="178"/>
      <c r="J440" s="42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ht="12.45" x14ac:dyDescent="0.3">
      <c r="A441" s="13"/>
      <c r="B441" s="13"/>
      <c r="C441" s="13"/>
      <c r="H441" s="178"/>
      <c r="J441" s="42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ht="12.45" x14ac:dyDescent="0.3">
      <c r="A442" s="13"/>
      <c r="B442" s="13"/>
      <c r="C442" s="13"/>
      <c r="H442" s="178"/>
      <c r="J442" s="42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ht="12.45" x14ac:dyDescent="0.3">
      <c r="A443" s="13"/>
      <c r="B443" s="13"/>
      <c r="C443" s="13"/>
      <c r="H443" s="178"/>
      <c r="J443" s="42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ht="12.45" x14ac:dyDescent="0.3">
      <c r="A444" s="13"/>
      <c r="B444" s="13"/>
      <c r="C444" s="13"/>
      <c r="H444" s="178"/>
      <c r="J444" s="42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ht="12.45" x14ac:dyDescent="0.3">
      <c r="A445" s="13"/>
      <c r="B445" s="13"/>
      <c r="C445" s="13"/>
      <c r="H445" s="178"/>
      <c r="J445" s="42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ht="12.45" x14ac:dyDescent="0.3">
      <c r="A446" s="13"/>
      <c r="B446" s="13"/>
      <c r="C446" s="13"/>
      <c r="H446" s="178"/>
      <c r="J446" s="42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ht="12.45" x14ac:dyDescent="0.3">
      <c r="A447" s="13"/>
      <c r="B447" s="13"/>
      <c r="C447" s="13"/>
      <c r="H447" s="178"/>
      <c r="J447" s="42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ht="12.45" x14ac:dyDescent="0.3">
      <c r="A448" s="13"/>
      <c r="B448" s="13"/>
      <c r="C448" s="13"/>
      <c r="H448" s="178"/>
      <c r="J448" s="42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ht="12.45" x14ac:dyDescent="0.3">
      <c r="A449" s="13"/>
      <c r="B449" s="13"/>
      <c r="C449" s="13"/>
      <c r="H449" s="178"/>
      <c r="J449" s="42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ht="12.45" x14ac:dyDescent="0.3">
      <c r="A450" s="13"/>
      <c r="B450" s="13"/>
      <c r="C450" s="13"/>
      <c r="H450" s="178"/>
      <c r="J450" s="42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ht="12.45" x14ac:dyDescent="0.3">
      <c r="A451" s="13"/>
      <c r="B451" s="13"/>
      <c r="C451" s="13"/>
      <c r="H451" s="178"/>
      <c r="J451" s="42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ht="12.45" x14ac:dyDescent="0.3">
      <c r="A452" s="13"/>
      <c r="B452" s="13"/>
      <c r="C452" s="13"/>
      <c r="H452" s="178"/>
      <c r="J452" s="42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 ht="12.45" x14ac:dyDescent="0.3">
      <c r="A453" s="13"/>
      <c r="B453" s="13"/>
      <c r="C453" s="13"/>
      <c r="H453" s="178"/>
      <c r="J453" s="42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 ht="12.45" x14ac:dyDescent="0.3">
      <c r="A454" s="13"/>
      <c r="B454" s="13"/>
      <c r="C454" s="13"/>
      <c r="H454" s="178"/>
      <c r="J454" s="42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 ht="12.45" x14ac:dyDescent="0.3">
      <c r="A455" s="13"/>
      <c r="B455" s="13"/>
      <c r="C455" s="13"/>
      <c r="H455" s="178"/>
      <c r="J455" s="42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 ht="12.45" x14ac:dyDescent="0.3">
      <c r="A456" s="13"/>
      <c r="B456" s="13"/>
      <c r="C456" s="13"/>
      <c r="H456" s="178"/>
      <c r="J456" s="42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 ht="12.45" x14ac:dyDescent="0.3">
      <c r="A457" s="13"/>
      <c r="B457" s="13"/>
      <c r="C457" s="13"/>
      <c r="H457" s="178"/>
      <c r="J457" s="42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 ht="12.45" x14ac:dyDescent="0.3">
      <c r="A458" s="13"/>
      <c r="B458" s="13"/>
      <c r="C458" s="13"/>
      <c r="H458" s="178"/>
      <c r="J458" s="42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 ht="12.45" x14ac:dyDescent="0.3">
      <c r="A459" s="13"/>
      <c r="B459" s="13"/>
      <c r="C459" s="13"/>
      <c r="H459" s="178"/>
      <c r="J459" s="42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 ht="12.45" x14ac:dyDescent="0.3">
      <c r="A460" s="13"/>
      <c r="B460" s="13"/>
      <c r="C460" s="13"/>
      <c r="H460" s="178"/>
      <c r="J460" s="42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 ht="12.45" x14ac:dyDescent="0.3">
      <c r="A461" s="13"/>
      <c r="B461" s="13"/>
      <c r="C461" s="13"/>
      <c r="H461" s="178"/>
      <c r="J461" s="42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 ht="12.45" x14ac:dyDescent="0.3">
      <c r="A462" s="13"/>
      <c r="B462" s="13"/>
      <c r="C462" s="13"/>
      <c r="H462" s="178"/>
      <c r="J462" s="42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 ht="12.45" x14ac:dyDescent="0.3">
      <c r="A463" s="13"/>
      <c r="B463" s="13"/>
      <c r="C463" s="13"/>
      <c r="H463" s="178"/>
      <c r="J463" s="42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 ht="12.45" x14ac:dyDescent="0.3">
      <c r="A464" s="13"/>
      <c r="B464" s="13"/>
      <c r="C464" s="13"/>
      <c r="H464" s="178"/>
      <c r="J464" s="42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 ht="12.45" x14ac:dyDescent="0.3">
      <c r="A465" s="13"/>
      <c r="B465" s="13"/>
      <c r="C465" s="13"/>
      <c r="H465" s="178"/>
      <c r="J465" s="42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 ht="12.45" x14ac:dyDescent="0.3">
      <c r="A466" s="13"/>
      <c r="B466" s="13"/>
      <c r="C466" s="13"/>
      <c r="H466" s="178"/>
      <c r="J466" s="42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ht="12.45" x14ac:dyDescent="0.3">
      <c r="A467" s="13"/>
      <c r="B467" s="13"/>
      <c r="C467" s="13"/>
      <c r="H467" s="178"/>
      <c r="J467" s="42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ht="12.45" x14ac:dyDescent="0.3">
      <c r="A468" s="13"/>
      <c r="B468" s="13"/>
      <c r="C468" s="13"/>
      <c r="H468" s="178"/>
      <c r="J468" s="42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 ht="12.45" x14ac:dyDescent="0.3">
      <c r="A469" s="13"/>
      <c r="B469" s="13"/>
      <c r="C469" s="13"/>
      <c r="H469" s="178"/>
      <c r="J469" s="42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 ht="12.45" x14ac:dyDescent="0.3">
      <c r="A470" s="13"/>
      <c r="B470" s="13"/>
      <c r="C470" s="13"/>
      <c r="H470" s="178"/>
      <c r="J470" s="42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 ht="12.45" x14ac:dyDescent="0.3">
      <c r="A471" s="13"/>
      <c r="B471" s="13"/>
      <c r="C471" s="13"/>
      <c r="H471" s="178"/>
      <c r="J471" s="42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 ht="12.45" x14ac:dyDescent="0.3">
      <c r="A472" s="13"/>
      <c r="B472" s="13"/>
      <c r="C472" s="13"/>
      <c r="H472" s="178"/>
      <c r="J472" s="42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 ht="12.45" x14ac:dyDescent="0.3">
      <c r="A473" s="13"/>
      <c r="B473" s="13"/>
      <c r="C473" s="13"/>
      <c r="H473" s="178"/>
      <c r="J473" s="42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 ht="12.45" x14ac:dyDescent="0.3">
      <c r="A474" s="13"/>
      <c r="B474" s="13"/>
      <c r="C474" s="13"/>
      <c r="H474" s="178"/>
      <c r="J474" s="42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 ht="12.45" x14ac:dyDescent="0.3">
      <c r="A475" s="13"/>
      <c r="B475" s="13"/>
      <c r="C475" s="13"/>
      <c r="H475" s="178"/>
      <c r="J475" s="42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 ht="12.45" x14ac:dyDescent="0.3">
      <c r="A476" s="13"/>
      <c r="B476" s="13"/>
      <c r="C476" s="13"/>
      <c r="H476" s="178"/>
      <c r="J476" s="42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 ht="12.45" x14ac:dyDescent="0.3">
      <c r="A477" s="13"/>
      <c r="B477" s="13"/>
      <c r="C477" s="13"/>
      <c r="H477" s="178"/>
      <c r="J477" s="42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 ht="12.45" x14ac:dyDescent="0.3">
      <c r="A478" s="13"/>
      <c r="B478" s="13"/>
      <c r="C478" s="13"/>
      <c r="H478" s="178"/>
      <c r="J478" s="42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 ht="12.45" x14ac:dyDescent="0.3">
      <c r="A479" s="13"/>
      <c r="B479" s="13"/>
      <c r="C479" s="13"/>
      <c r="H479" s="178"/>
      <c r="J479" s="42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 ht="12.45" x14ac:dyDescent="0.3">
      <c r="A480" s="13"/>
      <c r="B480" s="13"/>
      <c r="C480" s="13"/>
      <c r="H480" s="178"/>
      <c r="J480" s="42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 ht="12.45" x14ac:dyDescent="0.3">
      <c r="A481" s="13"/>
      <c r="B481" s="13"/>
      <c r="C481" s="13"/>
      <c r="H481" s="178"/>
      <c r="J481" s="42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 ht="12.45" x14ac:dyDescent="0.3">
      <c r="A482" s="13"/>
      <c r="B482" s="13"/>
      <c r="C482" s="13"/>
      <c r="H482" s="178"/>
      <c r="J482" s="42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 ht="12.45" x14ac:dyDescent="0.3">
      <c r="A483" s="13"/>
      <c r="B483" s="13"/>
      <c r="C483" s="13"/>
      <c r="H483" s="178"/>
      <c r="J483" s="42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 ht="12.45" x14ac:dyDescent="0.3">
      <c r="A484" s="13"/>
      <c r="B484" s="13"/>
      <c r="C484" s="13"/>
      <c r="H484" s="178"/>
      <c r="J484" s="42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 ht="12.45" x14ac:dyDescent="0.3">
      <c r="A485" s="13"/>
      <c r="B485" s="13"/>
      <c r="C485" s="13"/>
      <c r="H485" s="178"/>
      <c r="J485" s="42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 ht="12.45" x14ac:dyDescent="0.3">
      <c r="A486" s="13"/>
      <c r="B486" s="13"/>
      <c r="C486" s="13"/>
      <c r="H486" s="178"/>
      <c r="J486" s="42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ht="12.45" x14ac:dyDescent="0.3">
      <c r="A487" s="13"/>
      <c r="B487" s="13"/>
      <c r="C487" s="13"/>
      <c r="H487" s="178"/>
      <c r="J487" s="42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 ht="12.45" x14ac:dyDescent="0.3">
      <c r="A488" s="13"/>
      <c r="B488" s="13"/>
      <c r="C488" s="13"/>
      <c r="H488" s="178"/>
      <c r="J488" s="42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 ht="12.45" x14ac:dyDescent="0.3">
      <c r="A489" s="13"/>
      <c r="B489" s="13"/>
      <c r="C489" s="13"/>
      <c r="H489" s="178"/>
      <c r="J489" s="42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 ht="12.45" x14ac:dyDescent="0.3">
      <c r="A490" s="13"/>
      <c r="B490" s="13"/>
      <c r="C490" s="13"/>
      <c r="H490" s="178"/>
      <c r="J490" s="42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 ht="12.45" x14ac:dyDescent="0.3">
      <c r="A491" s="13"/>
      <c r="B491" s="13"/>
      <c r="C491" s="13"/>
      <c r="H491" s="178"/>
      <c r="J491" s="42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 ht="12.45" x14ac:dyDescent="0.3">
      <c r="A492" s="13"/>
      <c r="B492" s="13"/>
      <c r="C492" s="13"/>
      <c r="H492" s="178"/>
      <c r="J492" s="42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 ht="12.45" x14ac:dyDescent="0.3">
      <c r="A493" s="13"/>
      <c r="B493" s="13"/>
      <c r="C493" s="13"/>
      <c r="H493" s="178"/>
      <c r="J493" s="42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spans="1:50" ht="12.45" x14ac:dyDescent="0.3">
      <c r="A494" s="13"/>
      <c r="B494" s="13"/>
      <c r="C494" s="13"/>
      <c r="H494" s="178"/>
      <c r="J494" s="42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spans="1:50" ht="12.45" x14ac:dyDescent="0.3">
      <c r="A495" s="13"/>
      <c r="B495" s="13"/>
      <c r="C495" s="13"/>
      <c r="H495" s="178"/>
      <c r="J495" s="42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spans="1:50" ht="12.45" x14ac:dyDescent="0.3">
      <c r="A496" s="13"/>
      <c r="B496" s="13"/>
      <c r="C496" s="13"/>
      <c r="H496" s="178"/>
      <c r="J496" s="42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spans="1:50" ht="12.45" x14ac:dyDescent="0.3">
      <c r="A497" s="13"/>
      <c r="B497" s="13"/>
      <c r="C497" s="13"/>
      <c r="H497" s="178"/>
      <c r="J497" s="42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spans="1:50" ht="12.45" x14ac:dyDescent="0.3">
      <c r="A498" s="13"/>
      <c r="B498" s="13"/>
      <c r="C498" s="13"/>
      <c r="H498" s="178"/>
      <c r="J498" s="42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spans="1:50" ht="12.45" x14ac:dyDescent="0.3">
      <c r="A499" s="13"/>
      <c r="B499" s="13"/>
      <c r="C499" s="13"/>
      <c r="H499" s="178"/>
      <c r="J499" s="42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spans="1:50" ht="12.45" x14ac:dyDescent="0.3">
      <c r="A500" s="13"/>
      <c r="B500" s="13"/>
      <c r="C500" s="13"/>
      <c r="H500" s="178"/>
      <c r="J500" s="42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spans="1:50" ht="12.45" x14ac:dyDescent="0.3">
      <c r="A501" s="13"/>
      <c r="B501" s="13"/>
      <c r="C501" s="13"/>
      <c r="H501" s="178"/>
      <c r="J501" s="42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spans="1:50" ht="12.45" x14ac:dyDescent="0.3">
      <c r="A502" s="13"/>
      <c r="B502" s="13"/>
      <c r="C502" s="13"/>
      <c r="H502" s="178"/>
      <c r="J502" s="42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spans="1:50" ht="12.45" x14ac:dyDescent="0.3">
      <c r="A503" s="13"/>
      <c r="B503" s="13"/>
      <c r="C503" s="13"/>
      <c r="H503" s="178"/>
      <c r="J503" s="42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spans="1:50" ht="12.45" x14ac:dyDescent="0.3">
      <c r="A504" s="13"/>
      <c r="B504" s="13"/>
      <c r="C504" s="13"/>
      <c r="H504" s="178"/>
      <c r="J504" s="42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spans="1:50" ht="12.45" x14ac:dyDescent="0.3">
      <c r="A505" s="13"/>
      <c r="B505" s="13"/>
      <c r="C505" s="13"/>
      <c r="H505" s="178"/>
      <c r="J505" s="42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spans="1:50" ht="12.45" x14ac:dyDescent="0.3">
      <c r="A506" s="13"/>
      <c r="B506" s="13"/>
      <c r="C506" s="13"/>
      <c r="H506" s="178"/>
      <c r="J506" s="42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spans="1:50" ht="12.45" x14ac:dyDescent="0.3">
      <c r="A507" s="13"/>
      <c r="B507" s="13"/>
      <c r="C507" s="13"/>
      <c r="H507" s="178"/>
      <c r="J507" s="42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spans="1:50" ht="12.45" x14ac:dyDescent="0.3">
      <c r="A508" s="13"/>
      <c r="B508" s="13"/>
      <c r="C508" s="13"/>
      <c r="H508" s="178"/>
      <c r="J508" s="42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spans="1:50" ht="12.45" x14ac:dyDescent="0.3">
      <c r="A509" s="13"/>
      <c r="B509" s="13"/>
      <c r="C509" s="13"/>
      <c r="H509" s="178"/>
      <c r="J509" s="42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spans="1:50" ht="12.45" x14ac:dyDescent="0.3">
      <c r="A510" s="13"/>
      <c r="B510" s="13"/>
      <c r="C510" s="13"/>
      <c r="H510" s="178"/>
      <c r="J510" s="42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spans="1:50" ht="12.45" x14ac:dyDescent="0.3">
      <c r="A511" s="13"/>
      <c r="B511" s="13"/>
      <c r="C511" s="13"/>
      <c r="H511" s="178"/>
      <c r="J511" s="42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spans="1:50" ht="12.45" x14ac:dyDescent="0.3">
      <c r="A512" s="13"/>
      <c r="B512" s="13"/>
      <c r="C512" s="13"/>
      <c r="H512" s="178"/>
      <c r="J512" s="42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spans="1:50" ht="12.45" x14ac:dyDescent="0.3">
      <c r="A513" s="13"/>
      <c r="B513" s="13"/>
      <c r="C513" s="13"/>
      <c r="H513" s="178"/>
      <c r="J513" s="42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spans="1:50" ht="12.45" x14ac:dyDescent="0.3">
      <c r="A514" s="13"/>
      <c r="B514" s="13"/>
      <c r="C514" s="13"/>
      <c r="H514" s="178"/>
      <c r="J514" s="42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spans="1:50" ht="12.45" x14ac:dyDescent="0.3">
      <c r="A515" s="13"/>
      <c r="B515" s="13"/>
      <c r="C515" s="13"/>
      <c r="H515" s="178"/>
      <c r="J515" s="42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spans="1:50" ht="12.45" x14ac:dyDescent="0.3">
      <c r="A516" s="13"/>
      <c r="B516" s="13"/>
      <c r="C516" s="13"/>
      <c r="H516" s="178"/>
      <c r="J516" s="42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spans="1:50" ht="12.45" x14ac:dyDescent="0.3">
      <c r="A517" s="13"/>
      <c r="B517" s="13"/>
      <c r="C517" s="13"/>
      <c r="H517" s="178"/>
      <c r="J517" s="42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spans="1:50" ht="12.45" x14ac:dyDescent="0.3">
      <c r="A518" s="13"/>
      <c r="B518" s="13"/>
      <c r="C518" s="13"/>
      <c r="H518" s="178"/>
      <c r="J518" s="42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spans="1:50" ht="12.45" x14ac:dyDescent="0.3">
      <c r="A519" s="13"/>
      <c r="B519" s="13"/>
      <c r="C519" s="13"/>
      <c r="H519" s="178"/>
      <c r="J519" s="42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spans="1:50" ht="12.45" x14ac:dyDescent="0.3">
      <c r="A520" s="13"/>
      <c r="B520" s="13"/>
      <c r="C520" s="13"/>
      <c r="H520" s="178"/>
      <c r="J520" s="42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spans="1:50" ht="12.45" x14ac:dyDescent="0.3">
      <c r="A521" s="13"/>
      <c r="B521" s="13"/>
      <c r="C521" s="13"/>
      <c r="H521" s="178"/>
      <c r="J521" s="42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spans="1:50" ht="12.45" x14ac:dyDescent="0.3">
      <c r="A522" s="13"/>
      <c r="B522" s="13"/>
      <c r="C522" s="13"/>
      <c r="H522" s="178"/>
      <c r="J522" s="42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spans="1:50" ht="12.45" x14ac:dyDescent="0.3">
      <c r="A523" s="13"/>
      <c r="B523" s="13"/>
      <c r="C523" s="13"/>
      <c r="H523" s="178"/>
      <c r="J523" s="42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spans="1:50" ht="12.45" x14ac:dyDescent="0.3">
      <c r="A524" s="13"/>
      <c r="B524" s="13"/>
      <c r="C524" s="13"/>
      <c r="H524" s="178"/>
      <c r="J524" s="42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spans="1:50" ht="12.45" x14ac:dyDescent="0.3">
      <c r="A525" s="13"/>
      <c r="B525" s="13"/>
      <c r="C525" s="13"/>
      <c r="H525" s="178"/>
      <c r="J525" s="42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spans="1:50" ht="12.45" x14ac:dyDescent="0.3">
      <c r="A526" s="13"/>
      <c r="B526" s="13"/>
      <c r="C526" s="13"/>
      <c r="H526" s="178"/>
      <c r="J526" s="42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spans="1:50" ht="12.45" x14ac:dyDescent="0.3">
      <c r="A527" s="13"/>
      <c r="B527" s="13"/>
      <c r="C527" s="13"/>
      <c r="H527" s="178"/>
      <c r="J527" s="42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spans="1:50" ht="12.45" x14ac:dyDescent="0.3">
      <c r="A528" s="13"/>
      <c r="B528" s="13"/>
      <c r="C528" s="13"/>
      <c r="H528" s="178"/>
      <c r="J528" s="42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spans="1:50" ht="12.45" x14ac:dyDescent="0.3">
      <c r="A529" s="13"/>
      <c r="B529" s="13"/>
      <c r="C529" s="13"/>
      <c r="H529" s="178"/>
      <c r="J529" s="42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spans="1:50" ht="12.45" x14ac:dyDescent="0.3">
      <c r="A530" s="13"/>
      <c r="B530" s="13"/>
      <c r="C530" s="13"/>
      <c r="H530" s="178"/>
      <c r="J530" s="42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spans="1:50" ht="12.45" x14ac:dyDescent="0.3">
      <c r="A531" s="13"/>
      <c r="B531" s="13"/>
      <c r="C531" s="13"/>
      <c r="H531" s="178"/>
      <c r="J531" s="42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spans="1:50" ht="12.45" x14ac:dyDescent="0.3">
      <c r="A532" s="13"/>
      <c r="B532" s="13"/>
      <c r="C532" s="13"/>
      <c r="H532" s="178"/>
      <c r="J532" s="42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spans="1:50" ht="12.45" x14ac:dyDescent="0.3">
      <c r="A533" s="13"/>
      <c r="B533" s="13"/>
      <c r="C533" s="13"/>
      <c r="H533" s="178"/>
      <c r="J533" s="42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spans="1:50" ht="12.45" x14ac:dyDescent="0.3">
      <c r="A534" s="13"/>
      <c r="B534" s="13"/>
      <c r="C534" s="13"/>
      <c r="H534" s="178"/>
      <c r="J534" s="42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spans="1:50" ht="12.45" x14ac:dyDescent="0.3">
      <c r="A535" s="13"/>
      <c r="B535" s="13"/>
      <c r="C535" s="13"/>
      <c r="H535" s="178"/>
      <c r="J535" s="42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spans="1:50" ht="12.45" x14ac:dyDescent="0.3">
      <c r="A536" s="13"/>
      <c r="B536" s="13"/>
      <c r="C536" s="13"/>
      <c r="H536" s="178"/>
      <c r="J536" s="42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spans="1:50" ht="12.45" x14ac:dyDescent="0.3">
      <c r="A537" s="13"/>
      <c r="B537" s="13"/>
      <c r="C537" s="13"/>
      <c r="H537" s="178"/>
      <c r="J537" s="42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spans="1:50" ht="12.45" x14ac:dyDescent="0.3">
      <c r="A538" s="13"/>
      <c r="B538" s="13"/>
      <c r="C538" s="13"/>
      <c r="H538" s="178"/>
      <c r="J538" s="42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spans="1:50" ht="12.45" x14ac:dyDescent="0.3">
      <c r="A539" s="13"/>
      <c r="B539" s="13"/>
      <c r="C539" s="13"/>
      <c r="H539" s="178"/>
      <c r="J539" s="42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spans="1:50" ht="12.45" x14ac:dyDescent="0.3">
      <c r="A540" s="13"/>
      <c r="B540" s="13"/>
      <c r="C540" s="13"/>
      <c r="H540" s="178"/>
      <c r="J540" s="42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spans="1:50" ht="12.45" x14ac:dyDescent="0.3">
      <c r="A541" s="13"/>
      <c r="B541" s="13"/>
      <c r="C541" s="13"/>
      <c r="H541" s="178"/>
      <c r="J541" s="42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spans="1:50" ht="12.45" x14ac:dyDescent="0.3">
      <c r="A542" s="13"/>
      <c r="B542" s="13"/>
      <c r="C542" s="13"/>
      <c r="H542" s="178"/>
      <c r="J542" s="42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spans="1:50" ht="12.45" x14ac:dyDescent="0.3">
      <c r="A543" s="13"/>
      <c r="B543" s="13"/>
      <c r="C543" s="13"/>
      <c r="H543" s="178"/>
      <c r="J543" s="42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spans="1:50" ht="12.45" x14ac:dyDescent="0.3">
      <c r="A544" s="13"/>
      <c r="B544" s="13"/>
      <c r="C544" s="13"/>
      <c r="H544" s="178"/>
      <c r="J544" s="42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spans="1:50" ht="12.45" x14ac:dyDescent="0.3">
      <c r="A545" s="13"/>
      <c r="B545" s="13"/>
      <c r="C545" s="13"/>
      <c r="H545" s="178"/>
      <c r="J545" s="42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spans="1:50" ht="12.45" x14ac:dyDescent="0.3">
      <c r="A546" s="13"/>
      <c r="B546" s="13"/>
      <c r="C546" s="13"/>
      <c r="H546" s="178"/>
      <c r="J546" s="42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spans="1:50" ht="12.45" x14ac:dyDescent="0.3">
      <c r="A547" s="13"/>
      <c r="B547" s="13"/>
      <c r="C547" s="13"/>
      <c r="H547" s="178"/>
      <c r="J547" s="42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spans="1:50" ht="12.45" x14ac:dyDescent="0.3">
      <c r="A548" s="13"/>
      <c r="B548" s="13"/>
      <c r="C548" s="13"/>
      <c r="H548" s="178"/>
      <c r="J548" s="42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spans="1:50" ht="12.45" x14ac:dyDescent="0.3">
      <c r="A549" s="13"/>
      <c r="B549" s="13"/>
      <c r="C549" s="13"/>
      <c r="H549" s="178"/>
      <c r="J549" s="42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spans="1:50" ht="12.45" x14ac:dyDescent="0.3">
      <c r="A550" s="13"/>
      <c r="B550" s="13"/>
      <c r="C550" s="13"/>
      <c r="H550" s="178"/>
      <c r="J550" s="42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spans="1:50" ht="12.45" x14ac:dyDescent="0.3">
      <c r="A551" s="13"/>
      <c r="B551" s="13"/>
      <c r="C551" s="13"/>
      <c r="H551" s="178"/>
      <c r="J551" s="42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spans="1:50" ht="12.45" x14ac:dyDescent="0.3">
      <c r="A552" s="13"/>
      <c r="B552" s="13"/>
      <c r="C552" s="13"/>
      <c r="H552" s="178"/>
      <c r="J552" s="42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spans="1:50" ht="12.45" x14ac:dyDescent="0.3">
      <c r="A553" s="13"/>
      <c r="B553" s="13"/>
      <c r="C553" s="13"/>
      <c r="H553" s="178"/>
      <c r="J553" s="42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spans="1:50" ht="12.45" x14ac:dyDescent="0.3">
      <c r="A554" s="13"/>
      <c r="B554" s="13"/>
      <c r="C554" s="13"/>
      <c r="H554" s="178"/>
      <c r="J554" s="42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spans="1:50" ht="12.45" x14ac:dyDescent="0.3">
      <c r="A555" s="13"/>
      <c r="B555" s="13"/>
      <c r="C555" s="13"/>
      <c r="H555" s="178"/>
      <c r="J555" s="42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spans="1:50" ht="12.45" x14ac:dyDescent="0.3">
      <c r="A556" s="13"/>
      <c r="B556" s="13"/>
      <c r="C556" s="13"/>
      <c r="H556" s="178"/>
      <c r="J556" s="42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spans="1:50" ht="12.45" x14ac:dyDescent="0.3">
      <c r="A557" s="13"/>
      <c r="B557" s="13"/>
      <c r="C557" s="13"/>
      <c r="H557" s="178"/>
      <c r="J557" s="42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spans="1:50" ht="12.45" x14ac:dyDescent="0.3">
      <c r="A558" s="13"/>
      <c r="B558" s="13"/>
      <c r="C558" s="13"/>
      <c r="H558" s="178"/>
      <c r="J558" s="42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spans="1:50" ht="12.45" x14ac:dyDescent="0.3">
      <c r="A559" s="13"/>
      <c r="B559" s="13"/>
      <c r="C559" s="13"/>
      <c r="H559" s="178"/>
      <c r="J559" s="42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spans="1:50" ht="12.45" x14ac:dyDescent="0.3">
      <c r="A560" s="13"/>
      <c r="B560" s="13"/>
      <c r="C560" s="13"/>
      <c r="H560" s="178"/>
      <c r="J560" s="42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spans="1:50" ht="12.45" x14ac:dyDescent="0.3">
      <c r="A561" s="13"/>
      <c r="B561" s="13"/>
      <c r="C561" s="13"/>
      <c r="H561" s="178"/>
      <c r="J561" s="42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spans="1:50" ht="12.45" x14ac:dyDescent="0.3">
      <c r="A562" s="13"/>
      <c r="B562" s="13"/>
      <c r="C562" s="13"/>
      <c r="H562" s="178"/>
      <c r="J562" s="42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spans="1:50" ht="12.45" x14ac:dyDescent="0.3">
      <c r="A563" s="13"/>
      <c r="B563" s="13"/>
      <c r="C563" s="13"/>
      <c r="H563" s="178"/>
      <c r="J563" s="42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spans="1:50" ht="12.45" x14ac:dyDescent="0.3">
      <c r="A564" s="13"/>
      <c r="B564" s="13"/>
      <c r="C564" s="13"/>
      <c r="H564" s="178"/>
      <c r="J564" s="42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spans="1:50" ht="12.45" x14ac:dyDescent="0.3">
      <c r="A565" s="13"/>
      <c r="B565" s="13"/>
      <c r="C565" s="13"/>
      <c r="H565" s="178"/>
      <c r="J565" s="42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spans="1:50" ht="12.45" x14ac:dyDescent="0.3">
      <c r="A566" s="13"/>
      <c r="B566" s="13"/>
      <c r="C566" s="13"/>
      <c r="H566" s="178"/>
      <c r="J566" s="42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spans="1:50" ht="12.45" x14ac:dyDescent="0.3">
      <c r="A567" s="13"/>
      <c r="B567" s="13"/>
      <c r="C567" s="13"/>
      <c r="H567" s="178"/>
      <c r="J567" s="42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spans="1:50" ht="12.45" x14ac:dyDescent="0.3">
      <c r="A568" s="13"/>
      <c r="B568" s="13"/>
      <c r="C568" s="13"/>
      <c r="H568" s="178"/>
      <c r="J568" s="42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spans="1:50" ht="12.45" x14ac:dyDescent="0.3">
      <c r="A569" s="13"/>
      <c r="B569" s="13"/>
      <c r="C569" s="13"/>
      <c r="H569" s="178"/>
      <c r="J569" s="42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spans="1:50" ht="12.45" x14ac:dyDescent="0.3">
      <c r="A570" s="13"/>
      <c r="B570" s="13"/>
      <c r="C570" s="13"/>
      <c r="H570" s="178"/>
      <c r="J570" s="42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spans="1:50" ht="12.45" x14ac:dyDescent="0.3">
      <c r="A571" s="13"/>
      <c r="B571" s="13"/>
      <c r="C571" s="13"/>
      <c r="H571" s="178"/>
      <c r="J571" s="42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spans="1:50" ht="12.45" x14ac:dyDescent="0.3">
      <c r="A572" s="13"/>
      <c r="B572" s="13"/>
      <c r="C572" s="13"/>
      <c r="H572" s="178"/>
      <c r="J572" s="42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spans="1:50" ht="12.45" x14ac:dyDescent="0.3">
      <c r="A573" s="13"/>
      <c r="B573" s="13"/>
      <c r="C573" s="13"/>
      <c r="H573" s="178"/>
      <c r="J573" s="42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spans="1:50" ht="12.45" x14ac:dyDescent="0.3">
      <c r="A574" s="13"/>
      <c r="B574" s="13"/>
      <c r="C574" s="13"/>
      <c r="H574" s="178"/>
      <c r="J574" s="42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spans="1:50" ht="12.45" x14ac:dyDescent="0.3">
      <c r="A575" s="13"/>
      <c r="B575" s="13"/>
      <c r="C575" s="13"/>
      <c r="H575" s="178"/>
      <c r="J575" s="42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spans="1:50" ht="12.45" x14ac:dyDescent="0.3">
      <c r="A576" s="13"/>
      <c r="B576" s="13"/>
      <c r="C576" s="13"/>
      <c r="H576" s="178"/>
      <c r="J576" s="42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spans="1:50" ht="12.45" x14ac:dyDescent="0.3">
      <c r="A577" s="13"/>
      <c r="B577" s="13"/>
      <c r="C577" s="13"/>
      <c r="H577" s="178"/>
      <c r="J577" s="42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spans="1:50" ht="12.45" x14ac:dyDescent="0.3">
      <c r="A578" s="13"/>
      <c r="B578" s="13"/>
      <c r="C578" s="13"/>
      <c r="H578" s="178"/>
      <c r="J578" s="42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spans="1:50" ht="12.45" x14ac:dyDescent="0.3">
      <c r="A579" s="13"/>
      <c r="B579" s="13"/>
      <c r="C579" s="13"/>
      <c r="H579" s="178"/>
      <c r="J579" s="42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spans="1:50" ht="12.45" x14ac:dyDescent="0.3">
      <c r="A580" s="13"/>
      <c r="B580" s="13"/>
      <c r="C580" s="13"/>
      <c r="H580" s="178"/>
      <c r="J580" s="42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spans="1:50" ht="12.45" x14ac:dyDescent="0.3">
      <c r="A581" s="13"/>
      <c r="B581" s="13"/>
      <c r="C581" s="13"/>
      <c r="H581" s="178"/>
      <c r="J581" s="42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spans="1:50" ht="12.45" x14ac:dyDescent="0.3">
      <c r="A582" s="13"/>
      <c r="B582" s="13"/>
      <c r="C582" s="13"/>
      <c r="H582" s="178"/>
      <c r="J582" s="42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spans="1:50" ht="12.45" x14ac:dyDescent="0.3">
      <c r="A583" s="13"/>
      <c r="B583" s="13"/>
      <c r="C583" s="13"/>
      <c r="H583" s="178"/>
      <c r="J583" s="42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spans="1:50" ht="12.45" x14ac:dyDescent="0.3">
      <c r="A584" s="13"/>
      <c r="B584" s="13"/>
      <c r="C584" s="13"/>
      <c r="H584" s="178"/>
      <c r="J584" s="42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spans="1:50" ht="12.45" x14ac:dyDescent="0.3">
      <c r="A585" s="13"/>
      <c r="B585" s="13"/>
      <c r="C585" s="13"/>
      <c r="H585" s="178"/>
      <c r="J585" s="42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spans="1:50" ht="12.45" x14ac:dyDescent="0.3">
      <c r="A586" s="13"/>
      <c r="B586" s="13"/>
      <c r="C586" s="13"/>
      <c r="H586" s="178"/>
      <c r="J586" s="42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spans="1:50" ht="12.45" x14ac:dyDescent="0.3">
      <c r="A587" s="13"/>
      <c r="B587" s="13"/>
      <c r="C587" s="13"/>
      <c r="H587" s="178"/>
      <c r="J587" s="42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spans="1:50" ht="12.45" x14ac:dyDescent="0.3">
      <c r="A588" s="13"/>
      <c r="B588" s="13"/>
      <c r="C588" s="13"/>
      <c r="H588" s="178"/>
      <c r="J588" s="42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spans="1:50" ht="12.45" x14ac:dyDescent="0.3">
      <c r="A589" s="13"/>
      <c r="B589" s="13"/>
      <c r="C589" s="13"/>
      <c r="H589" s="178"/>
      <c r="J589" s="42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spans="1:50" ht="12.45" x14ac:dyDescent="0.3">
      <c r="A590" s="13"/>
      <c r="B590" s="13"/>
      <c r="C590" s="13"/>
      <c r="H590" s="178"/>
      <c r="J590" s="42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spans="1:50" ht="12.45" x14ac:dyDescent="0.3">
      <c r="A591" s="13"/>
      <c r="B591" s="13"/>
      <c r="C591" s="13"/>
      <c r="H591" s="178"/>
      <c r="J591" s="42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spans="1:50" ht="12.45" x14ac:dyDescent="0.3">
      <c r="A592" s="13"/>
      <c r="B592" s="13"/>
      <c r="C592" s="13"/>
      <c r="H592" s="178"/>
      <c r="J592" s="42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spans="1:50" ht="12.45" x14ac:dyDescent="0.3">
      <c r="A593" s="13"/>
      <c r="B593" s="13"/>
      <c r="C593" s="13"/>
      <c r="H593" s="178"/>
      <c r="J593" s="42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spans="1:50" ht="12.45" x14ac:dyDescent="0.3">
      <c r="A594" s="13"/>
      <c r="B594" s="13"/>
      <c r="C594" s="13"/>
      <c r="H594" s="178"/>
      <c r="J594" s="42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spans="1:50" ht="12.45" x14ac:dyDescent="0.3">
      <c r="A595" s="13"/>
      <c r="B595" s="13"/>
      <c r="C595" s="13"/>
      <c r="H595" s="178"/>
      <c r="J595" s="42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spans="1:50" ht="12.45" x14ac:dyDescent="0.3">
      <c r="A596" s="13"/>
      <c r="B596" s="13"/>
      <c r="C596" s="13"/>
      <c r="H596" s="178"/>
      <c r="J596" s="42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spans="1:50" ht="12.45" x14ac:dyDescent="0.3">
      <c r="A597" s="13"/>
      <c r="B597" s="13"/>
      <c r="C597" s="13"/>
      <c r="H597" s="178"/>
      <c r="J597" s="42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spans="1:50" ht="12.45" x14ac:dyDescent="0.3">
      <c r="A598" s="13"/>
      <c r="B598" s="13"/>
      <c r="C598" s="13"/>
      <c r="H598" s="178"/>
      <c r="J598" s="42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spans="1:50" ht="12.45" x14ac:dyDescent="0.3">
      <c r="A599" s="13"/>
      <c r="B599" s="13"/>
      <c r="C599" s="13"/>
      <c r="H599" s="178"/>
      <c r="J599" s="42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spans="1:50" ht="12.45" x14ac:dyDescent="0.3">
      <c r="A600" s="13"/>
      <c r="B600" s="13"/>
      <c r="C600" s="13"/>
      <c r="H600" s="178"/>
      <c r="J600" s="42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spans="1:50" ht="12.45" x14ac:dyDescent="0.3">
      <c r="A601" s="13"/>
      <c r="B601" s="13"/>
      <c r="C601" s="13"/>
      <c r="H601" s="178"/>
      <c r="J601" s="42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spans="1:50" ht="12.45" x14ac:dyDescent="0.3">
      <c r="A602" s="13"/>
      <c r="B602" s="13"/>
      <c r="C602" s="13"/>
      <c r="H602" s="178"/>
      <c r="J602" s="42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spans="1:50" ht="12.45" x14ac:dyDescent="0.3">
      <c r="A603" s="13"/>
      <c r="B603" s="13"/>
      <c r="C603" s="13"/>
      <c r="H603" s="178"/>
      <c r="J603" s="42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spans="1:50" ht="12.45" x14ac:dyDescent="0.3">
      <c r="A604" s="13"/>
      <c r="B604" s="13"/>
      <c r="C604" s="13"/>
      <c r="H604" s="178"/>
      <c r="J604" s="42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spans="1:50" ht="12.45" x14ac:dyDescent="0.3">
      <c r="A605" s="13"/>
      <c r="B605" s="13"/>
      <c r="C605" s="13"/>
      <c r="H605" s="178"/>
      <c r="J605" s="42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spans="1:50" ht="12.45" x14ac:dyDescent="0.3">
      <c r="A606" s="13"/>
      <c r="B606" s="13"/>
      <c r="C606" s="13"/>
      <c r="H606" s="178"/>
      <c r="J606" s="42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spans="1:50" ht="12.45" x14ac:dyDescent="0.3">
      <c r="A607" s="13"/>
      <c r="B607" s="13"/>
      <c r="C607" s="13"/>
      <c r="H607" s="178"/>
      <c r="J607" s="42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spans="1:50" ht="12.45" x14ac:dyDescent="0.3">
      <c r="A608" s="13"/>
      <c r="B608" s="13"/>
      <c r="C608" s="13"/>
      <c r="H608" s="178"/>
      <c r="J608" s="42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spans="1:50" ht="12.45" x14ac:dyDescent="0.3">
      <c r="A609" s="13"/>
      <c r="B609" s="13"/>
      <c r="C609" s="13"/>
      <c r="H609" s="178"/>
      <c r="J609" s="42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spans="1:50" ht="12.45" x14ac:dyDescent="0.3">
      <c r="A610" s="13"/>
      <c r="B610" s="13"/>
      <c r="C610" s="13"/>
      <c r="H610" s="178"/>
      <c r="J610" s="42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spans="1:50" ht="12.45" x14ac:dyDescent="0.3">
      <c r="A611" s="13"/>
      <c r="B611" s="13"/>
      <c r="C611" s="13"/>
      <c r="H611" s="178"/>
      <c r="J611" s="42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spans="1:50" ht="12.45" x14ac:dyDescent="0.3">
      <c r="A612" s="13"/>
      <c r="B612" s="13"/>
      <c r="C612" s="13"/>
      <c r="H612" s="178"/>
      <c r="J612" s="42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spans="1:50" ht="12.45" x14ac:dyDescent="0.3">
      <c r="A613" s="13"/>
      <c r="B613" s="13"/>
      <c r="C613" s="13"/>
      <c r="H613" s="178"/>
      <c r="J613" s="42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spans="1:50" ht="12.45" x14ac:dyDescent="0.3">
      <c r="A614" s="13"/>
      <c r="B614" s="13"/>
      <c r="C614" s="13"/>
      <c r="H614" s="178"/>
      <c r="J614" s="42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spans="1:50" ht="12.45" x14ac:dyDescent="0.3">
      <c r="A615" s="13"/>
      <c r="B615" s="13"/>
      <c r="C615" s="13"/>
      <c r="H615" s="178"/>
      <c r="J615" s="42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spans="1:50" ht="12.45" x14ac:dyDescent="0.3">
      <c r="A616" s="13"/>
      <c r="B616" s="13"/>
      <c r="C616" s="13"/>
      <c r="H616" s="178"/>
      <c r="J616" s="42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spans="1:50" ht="12.45" x14ac:dyDescent="0.3">
      <c r="A617" s="13"/>
      <c r="B617" s="13"/>
      <c r="C617" s="13"/>
      <c r="H617" s="178"/>
      <c r="J617" s="42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spans="1:50" ht="12.45" x14ac:dyDescent="0.3">
      <c r="A618" s="13"/>
      <c r="B618" s="13"/>
      <c r="C618" s="13"/>
      <c r="H618" s="178"/>
      <c r="J618" s="42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spans="1:50" ht="12.45" x14ac:dyDescent="0.3">
      <c r="A619" s="13"/>
      <c r="B619" s="13"/>
      <c r="C619" s="13"/>
      <c r="H619" s="178"/>
      <c r="J619" s="42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spans="1:50" ht="12.45" x14ac:dyDescent="0.3">
      <c r="A620" s="13"/>
      <c r="B620" s="13"/>
      <c r="C620" s="13"/>
      <c r="H620" s="178"/>
      <c r="J620" s="42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spans="1:50" ht="12.45" x14ac:dyDescent="0.3">
      <c r="A621" s="13"/>
      <c r="B621" s="13"/>
      <c r="C621" s="13"/>
      <c r="H621" s="178"/>
      <c r="J621" s="42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spans="1:50" ht="12.45" x14ac:dyDescent="0.3">
      <c r="A622" s="13"/>
      <c r="B622" s="13"/>
      <c r="C622" s="13"/>
      <c r="H622" s="178"/>
      <c r="J622" s="42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spans="1:50" ht="12.45" x14ac:dyDescent="0.3">
      <c r="A623" s="13"/>
      <c r="B623" s="13"/>
      <c r="C623" s="13"/>
      <c r="H623" s="178"/>
      <c r="J623" s="42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spans="1:50" ht="12.45" x14ac:dyDescent="0.3">
      <c r="A624" s="13"/>
      <c r="B624" s="13"/>
      <c r="C624" s="13"/>
      <c r="H624" s="178"/>
      <c r="J624" s="42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spans="1:50" ht="12.45" x14ac:dyDescent="0.3">
      <c r="A625" s="13"/>
      <c r="B625" s="13"/>
      <c r="C625" s="13"/>
      <c r="H625" s="178"/>
      <c r="J625" s="42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spans="1:50" ht="12.45" x14ac:dyDescent="0.3">
      <c r="A626" s="13"/>
      <c r="B626" s="13"/>
      <c r="C626" s="13"/>
      <c r="H626" s="178"/>
      <c r="J626" s="42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spans="1:50" ht="12.45" x14ac:dyDescent="0.3">
      <c r="A627" s="13"/>
      <c r="B627" s="13"/>
      <c r="C627" s="13"/>
      <c r="H627" s="178"/>
      <c r="J627" s="42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spans="1:50" ht="12.45" x14ac:dyDescent="0.3">
      <c r="A628" s="13"/>
      <c r="B628" s="13"/>
      <c r="C628" s="13"/>
      <c r="H628" s="178"/>
      <c r="J628" s="42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spans="1:50" ht="12.45" x14ac:dyDescent="0.3">
      <c r="A629" s="13"/>
      <c r="B629" s="13"/>
      <c r="C629" s="13"/>
      <c r="H629" s="178"/>
      <c r="J629" s="42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spans="1:50" ht="12.45" x14ac:dyDescent="0.3">
      <c r="A630" s="13"/>
      <c r="B630" s="13"/>
      <c r="C630" s="13"/>
      <c r="H630" s="178"/>
      <c r="J630" s="42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spans="1:50" ht="12.45" x14ac:dyDescent="0.3">
      <c r="A631" s="13"/>
      <c r="B631" s="13"/>
      <c r="C631" s="13"/>
      <c r="H631" s="178"/>
      <c r="J631" s="42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spans="1:50" ht="12.45" x14ac:dyDescent="0.3">
      <c r="A632" s="13"/>
      <c r="B632" s="13"/>
      <c r="C632" s="13"/>
      <c r="H632" s="178"/>
      <c r="J632" s="42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spans="1:50" ht="12.45" x14ac:dyDescent="0.3">
      <c r="A633" s="13"/>
      <c r="B633" s="13"/>
      <c r="C633" s="13"/>
      <c r="H633" s="178"/>
      <c r="J633" s="42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spans="1:50" ht="12.45" x14ac:dyDescent="0.3">
      <c r="A634" s="13"/>
      <c r="B634" s="13"/>
      <c r="C634" s="13"/>
      <c r="H634" s="178"/>
      <c r="J634" s="42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spans="1:50" ht="12.45" x14ac:dyDescent="0.3">
      <c r="A635" s="13"/>
      <c r="B635" s="13"/>
      <c r="C635" s="13"/>
      <c r="H635" s="178"/>
      <c r="J635" s="42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spans="1:50" ht="12.45" x14ac:dyDescent="0.3">
      <c r="A636" s="13"/>
      <c r="B636" s="13"/>
      <c r="C636" s="13"/>
      <c r="H636" s="178"/>
      <c r="J636" s="42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spans="1:50" ht="12.45" x14ac:dyDescent="0.3">
      <c r="A637" s="13"/>
      <c r="B637" s="13"/>
      <c r="C637" s="13"/>
      <c r="H637" s="178"/>
      <c r="J637" s="42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spans="1:50" ht="12.45" x14ac:dyDescent="0.3">
      <c r="A638" s="13"/>
      <c r="B638" s="13"/>
      <c r="C638" s="13"/>
      <c r="H638" s="178"/>
      <c r="J638" s="42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spans="1:50" ht="12.45" x14ac:dyDescent="0.3">
      <c r="A639" s="13"/>
      <c r="B639" s="13"/>
      <c r="C639" s="13"/>
      <c r="H639" s="178"/>
      <c r="J639" s="42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spans="1:50" ht="12.45" x14ac:dyDescent="0.3">
      <c r="A640" s="13"/>
      <c r="B640" s="13"/>
      <c r="C640" s="13"/>
      <c r="H640" s="178"/>
      <c r="J640" s="42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spans="1:50" ht="12.45" x14ac:dyDescent="0.3">
      <c r="A641" s="13"/>
      <c r="B641" s="13"/>
      <c r="C641" s="13"/>
      <c r="H641" s="178"/>
      <c r="J641" s="42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spans="1:50" ht="12.45" x14ac:dyDescent="0.3">
      <c r="A642" s="13"/>
      <c r="B642" s="13"/>
      <c r="C642" s="13"/>
      <c r="H642" s="178"/>
      <c r="J642" s="42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spans="1:50" ht="12.45" x14ac:dyDescent="0.3">
      <c r="A643" s="13"/>
      <c r="B643" s="13"/>
      <c r="C643" s="13"/>
      <c r="H643" s="178"/>
      <c r="J643" s="42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spans="1:50" ht="12.45" x14ac:dyDescent="0.3">
      <c r="A644" s="13"/>
      <c r="B644" s="13"/>
      <c r="C644" s="13"/>
      <c r="H644" s="178"/>
      <c r="J644" s="42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spans="1:50" ht="12.45" x14ac:dyDescent="0.3">
      <c r="A645" s="13"/>
      <c r="B645" s="13"/>
      <c r="C645" s="13"/>
      <c r="H645" s="178"/>
      <c r="J645" s="42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spans="1:50" ht="12.45" x14ac:dyDescent="0.3">
      <c r="A646" s="13"/>
      <c r="B646" s="13"/>
      <c r="C646" s="13"/>
      <c r="H646" s="178"/>
      <c r="J646" s="42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spans="1:50" ht="12.45" x14ac:dyDescent="0.3">
      <c r="A647" s="13"/>
      <c r="B647" s="13"/>
      <c r="C647" s="13"/>
      <c r="H647" s="178"/>
      <c r="J647" s="42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spans="1:50" ht="12.45" x14ac:dyDescent="0.3">
      <c r="A648" s="13"/>
      <c r="B648" s="13"/>
      <c r="C648" s="13"/>
      <c r="H648" s="178"/>
      <c r="J648" s="42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spans="1:50" ht="12.45" x14ac:dyDescent="0.3">
      <c r="A649" s="13"/>
      <c r="B649" s="13"/>
      <c r="C649" s="13"/>
      <c r="H649" s="178"/>
      <c r="J649" s="42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spans="1:50" ht="12.45" x14ac:dyDescent="0.3">
      <c r="A650" s="13"/>
      <c r="B650" s="13"/>
      <c r="C650" s="13"/>
      <c r="H650" s="178"/>
      <c r="J650" s="42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spans="1:50" ht="12.45" x14ac:dyDescent="0.3">
      <c r="A651" s="13"/>
      <c r="B651" s="13"/>
      <c r="C651" s="13"/>
      <c r="H651" s="178"/>
      <c r="J651" s="42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spans="1:50" ht="12.45" x14ac:dyDescent="0.3">
      <c r="A652" s="13"/>
      <c r="B652" s="13"/>
      <c r="C652" s="13"/>
      <c r="H652" s="178"/>
      <c r="J652" s="42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spans="1:50" ht="12.45" x14ac:dyDescent="0.3">
      <c r="A653" s="13"/>
      <c r="B653" s="13"/>
      <c r="C653" s="13"/>
      <c r="H653" s="178"/>
      <c r="J653" s="42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spans="1:50" ht="12.45" x14ac:dyDescent="0.3">
      <c r="A654" s="13"/>
      <c r="B654" s="13"/>
      <c r="C654" s="13"/>
      <c r="H654" s="178"/>
      <c r="J654" s="42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spans="1:50" ht="12.45" x14ac:dyDescent="0.3">
      <c r="A655" s="13"/>
      <c r="B655" s="13"/>
      <c r="C655" s="13"/>
      <c r="H655" s="178"/>
      <c r="J655" s="42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spans="1:50" ht="12.45" x14ac:dyDescent="0.3">
      <c r="A656" s="13"/>
      <c r="B656" s="13"/>
      <c r="C656" s="13"/>
      <c r="H656" s="178"/>
      <c r="J656" s="42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spans="1:50" ht="12.45" x14ac:dyDescent="0.3">
      <c r="A657" s="13"/>
      <c r="B657" s="13"/>
      <c r="C657" s="13"/>
      <c r="H657" s="178"/>
      <c r="J657" s="42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spans="1:50" ht="12.45" x14ac:dyDescent="0.3">
      <c r="A658" s="13"/>
      <c r="B658" s="13"/>
      <c r="C658" s="13"/>
      <c r="H658" s="178"/>
      <c r="J658" s="42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spans="1:50" ht="12.45" x14ac:dyDescent="0.3">
      <c r="A659" s="13"/>
      <c r="B659" s="13"/>
      <c r="C659" s="13"/>
      <c r="H659" s="178"/>
      <c r="J659" s="42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spans="1:50" ht="12.45" x14ac:dyDescent="0.3">
      <c r="A660" s="13"/>
      <c r="B660" s="13"/>
      <c r="C660" s="13"/>
      <c r="H660" s="178"/>
      <c r="J660" s="42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spans="1:50" ht="12.45" x14ac:dyDescent="0.3">
      <c r="A661" s="13"/>
      <c r="B661" s="13"/>
      <c r="C661" s="13"/>
      <c r="H661" s="178"/>
      <c r="J661" s="42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spans="1:50" ht="12.45" x14ac:dyDescent="0.3">
      <c r="A662" s="13"/>
      <c r="B662" s="13"/>
      <c r="C662" s="13"/>
      <c r="H662" s="178"/>
      <c r="J662" s="42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spans="1:50" ht="12.45" x14ac:dyDescent="0.3">
      <c r="A663" s="13"/>
      <c r="B663" s="13"/>
      <c r="C663" s="13"/>
      <c r="H663" s="178"/>
      <c r="J663" s="42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spans="1:50" ht="12.45" x14ac:dyDescent="0.3">
      <c r="A664" s="13"/>
      <c r="B664" s="13"/>
      <c r="C664" s="13"/>
      <c r="H664" s="178"/>
      <c r="J664" s="42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spans="1:50" ht="12.45" x14ac:dyDescent="0.3">
      <c r="A665" s="13"/>
      <c r="B665" s="13"/>
      <c r="C665" s="13"/>
      <c r="H665" s="178"/>
      <c r="J665" s="42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spans="1:50" ht="12.45" x14ac:dyDescent="0.3">
      <c r="A666" s="13"/>
      <c r="B666" s="13"/>
      <c r="C666" s="13"/>
      <c r="H666" s="178"/>
      <c r="J666" s="42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spans="1:50" ht="12.45" x14ac:dyDescent="0.3">
      <c r="A667" s="13"/>
      <c r="B667" s="13"/>
      <c r="C667" s="13"/>
      <c r="H667" s="178"/>
      <c r="J667" s="42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spans="1:50" ht="12.45" x14ac:dyDescent="0.3">
      <c r="A668" s="13"/>
      <c r="B668" s="13"/>
      <c r="C668" s="13"/>
      <c r="H668" s="178"/>
      <c r="J668" s="42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spans="1:50" ht="12.45" x14ac:dyDescent="0.3">
      <c r="A669" s="13"/>
      <c r="B669" s="13"/>
      <c r="C669" s="13"/>
      <c r="H669" s="178"/>
      <c r="J669" s="42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spans="1:50" ht="12.45" x14ac:dyDescent="0.3">
      <c r="A670" s="13"/>
      <c r="B670" s="13"/>
      <c r="C670" s="13"/>
      <c r="H670" s="178"/>
      <c r="J670" s="42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spans="1:50" ht="12.45" x14ac:dyDescent="0.3">
      <c r="A671" s="13"/>
      <c r="B671" s="13"/>
      <c r="C671" s="13"/>
      <c r="H671" s="178"/>
      <c r="J671" s="42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spans="1:50" ht="12.45" x14ac:dyDescent="0.3">
      <c r="A672" s="13"/>
      <c r="B672" s="13"/>
      <c r="C672" s="13"/>
      <c r="H672" s="178"/>
      <c r="J672" s="42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spans="1:50" ht="12.45" x14ac:dyDescent="0.3">
      <c r="A673" s="13"/>
      <c r="B673" s="13"/>
      <c r="C673" s="13"/>
      <c r="H673" s="178"/>
      <c r="J673" s="42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spans="1:50" ht="12.45" x14ac:dyDescent="0.3">
      <c r="A674" s="13"/>
      <c r="B674" s="13"/>
      <c r="C674" s="13"/>
      <c r="H674" s="178"/>
      <c r="J674" s="42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spans="1:50" ht="12.45" x14ac:dyDescent="0.3">
      <c r="A675" s="13"/>
      <c r="B675" s="13"/>
      <c r="C675" s="13"/>
      <c r="H675" s="178"/>
      <c r="J675" s="42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spans="1:50" ht="12.45" x14ac:dyDescent="0.3">
      <c r="A676" s="13"/>
      <c r="B676" s="13"/>
      <c r="C676" s="13"/>
      <c r="H676" s="178"/>
      <c r="J676" s="42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spans="1:50" ht="12.45" x14ac:dyDescent="0.3">
      <c r="A677" s="13"/>
      <c r="B677" s="13"/>
      <c r="C677" s="13"/>
      <c r="H677" s="178"/>
      <c r="J677" s="42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spans="1:50" ht="12.45" x14ac:dyDescent="0.3">
      <c r="A678" s="13"/>
      <c r="B678" s="13"/>
      <c r="C678" s="13"/>
      <c r="H678" s="178"/>
      <c r="J678" s="42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spans="1:50" ht="12.45" x14ac:dyDescent="0.3">
      <c r="A679" s="13"/>
      <c r="B679" s="13"/>
      <c r="C679" s="13"/>
      <c r="H679" s="178"/>
      <c r="J679" s="42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spans="1:50" ht="12.45" x14ac:dyDescent="0.3">
      <c r="A680" s="13"/>
      <c r="B680" s="13"/>
      <c r="C680" s="13"/>
      <c r="H680" s="178"/>
      <c r="J680" s="42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spans="1:50" ht="12.45" x14ac:dyDescent="0.3">
      <c r="A681" s="13"/>
      <c r="B681" s="13"/>
      <c r="C681" s="13"/>
      <c r="H681" s="178"/>
      <c r="J681" s="42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spans="1:50" ht="12.45" x14ac:dyDescent="0.3">
      <c r="A682" s="13"/>
      <c r="B682" s="13"/>
      <c r="C682" s="13"/>
      <c r="H682" s="178"/>
      <c r="J682" s="42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spans="1:50" ht="12.45" x14ac:dyDescent="0.3">
      <c r="A683" s="13"/>
      <c r="B683" s="13"/>
      <c r="C683" s="13"/>
      <c r="H683" s="178"/>
      <c r="J683" s="42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spans="1:50" ht="12.45" x14ac:dyDescent="0.3">
      <c r="A684" s="13"/>
      <c r="B684" s="13"/>
      <c r="C684" s="13"/>
      <c r="H684" s="178"/>
      <c r="J684" s="42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spans="1:50" ht="12.45" x14ac:dyDescent="0.3">
      <c r="A685" s="13"/>
      <c r="B685" s="13"/>
      <c r="C685" s="13"/>
      <c r="H685" s="178"/>
      <c r="J685" s="42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spans="1:50" ht="12.45" x14ac:dyDescent="0.3">
      <c r="A686" s="13"/>
      <c r="B686" s="13"/>
      <c r="C686" s="13"/>
      <c r="H686" s="178"/>
      <c r="J686" s="42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spans="1:50" ht="12.45" x14ac:dyDescent="0.3">
      <c r="A687" s="13"/>
      <c r="B687" s="13"/>
      <c r="C687" s="13"/>
      <c r="H687" s="178"/>
      <c r="J687" s="42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spans="1:50" ht="12.45" x14ac:dyDescent="0.3">
      <c r="A688" s="13"/>
      <c r="B688" s="13"/>
      <c r="C688" s="13"/>
      <c r="H688" s="178"/>
      <c r="J688" s="42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spans="1:50" ht="12.45" x14ac:dyDescent="0.3">
      <c r="A689" s="13"/>
      <c r="B689" s="13"/>
      <c r="C689" s="13"/>
      <c r="H689" s="178"/>
      <c r="J689" s="42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spans="1:50" ht="12.45" x14ac:dyDescent="0.3">
      <c r="A690" s="13"/>
      <c r="B690" s="13"/>
      <c r="C690" s="13"/>
      <c r="H690" s="178"/>
      <c r="J690" s="42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spans="1:50" ht="12.45" x14ac:dyDescent="0.3">
      <c r="A691" s="13"/>
      <c r="B691" s="13"/>
      <c r="C691" s="13"/>
      <c r="H691" s="178"/>
      <c r="J691" s="42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spans="1:50" ht="12.45" x14ac:dyDescent="0.3">
      <c r="A692" s="13"/>
      <c r="B692" s="13"/>
      <c r="C692" s="13"/>
      <c r="H692" s="178"/>
      <c r="J692" s="42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spans="1:50" ht="12.45" x14ac:dyDescent="0.3">
      <c r="A693" s="13"/>
      <c r="B693" s="13"/>
      <c r="C693" s="13"/>
      <c r="H693" s="178"/>
      <c r="J693" s="42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spans="1:50" ht="12.45" x14ac:dyDescent="0.3">
      <c r="A694" s="13"/>
      <c r="B694" s="13"/>
      <c r="C694" s="13"/>
      <c r="H694" s="178"/>
      <c r="J694" s="42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spans="1:50" ht="12.45" x14ac:dyDescent="0.3">
      <c r="A695" s="13"/>
      <c r="B695" s="13"/>
      <c r="C695" s="13"/>
      <c r="H695" s="178"/>
      <c r="J695" s="42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spans="1:50" ht="12.45" x14ac:dyDescent="0.3">
      <c r="A696" s="13"/>
      <c r="B696" s="13"/>
      <c r="C696" s="13"/>
      <c r="H696" s="178"/>
      <c r="J696" s="42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spans="1:50" ht="12.45" x14ac:dyDescent="0.3">
      <c r="A697" s="13"/>
      <c r="B697" s="13"/>
      <c r="C697" s="13"/>
      <c r="H697" s="178"/>
      <c r="J697" s="42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spans="1:50" ht="12.45" x14ac:dyDescent="0.3">
      <c r="A698" s="13"/>
      <c r="B698" s="13"/>
      <c r="C698" s="13"/>
      <c r="H698" s="178"/>
      <c r="J698" s="42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spans="1:50" ht="12.45" x14ac:dyDescent="0.3">
      <c r="A699" s="13"/>
      <c r="B699" s="13"/>
      <c r="C699" s="13"/>
      <c r="H699" s="178"/>
      <c r="J699" s="42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spans="1:50" ht="12.45" x14ac:dyDescent="0.3">
      <c r="A700" s="13"/>
      <c r="B700" s="13"/>
      <c r="C700" s="13"/>
      <c r="H700" s="178"/>
      <c r="J700" s="42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spans="1:50" ht="12.45" x14ac:dyDescent="0.3">
      <c r="A701" s="13"/>
      <c r="B701" s="13"/>
      <c r="C701" s="13"/>
      <c r="H701" s="178"/>
      <c r="J701" s="42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spans="1:50" ht="12.45" x14ac:dyDescent="0.3">
      <c r="A702" s="13"/>
      <c r="B702" s="13"/>
      <c r="C702" s="13"/>
      <c r="H702" s="178"/>
      <c r="J702" s="42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spans="1:50" ht="12.45" x14ac:dyDescent="0.3">
      <c r="A703" s="13"/>
      <c r="B703" s="13"/>
      <c r="C703" s="13"/>
      <c r="H703" s="178"/>
      <c r="J703" s="42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spans="1:50" ht="12.45" x14ac:dyDescent="0.3">
      <c r="A704" s="13"/>
      <c r="B704" s="13"/>
      <c r="C704" s="13"/>
      <c r="H704" s="178"/>
      <c r="J704" s="42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spans="1:50" ht="12.45" x14ac:dyDescent="0.3">
      <c r="A705" s="13"/>
      <c r="B705" s="13"/>
      <c r="C705" s="13"/>
      <c r="H705" s="178"/>
      <c r="J705" s="42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spans="1:50" ht="12.45" x14ac:dyDescent="0.3">
      <c r="A706" s="13"/>
      <c r="B706" s="13"/>
      <c r="C706" s="13"/>
      <c r="H706" s="178"/>
      <c r="J706" s="42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spans="1:50" ht="12.45" x14ac:dyDescent="0.3">
      <c r="A707" s="13"/>
      <c r="B707" s="13"/>
      <c r="C707" s="13"/>
      <c r="H707" s="178"/>
      <c r="J707" s="42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spans="1:50" ht="12.45" x14ac:dyDescent="0.3">
      <c r="A708" s="13"/>
      <c r="B708" s="13"/>
      <c r="C708" s="13"/>
      <c r="H708" s="178"/>
      <c r="J708" s="42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spans="1:50" ht="12.45" x14ac:dyDescent="0.3">
      <c r="A709" s="13"/>
      <c r="B709" s="13"/>
      <c r="C709" s="13"/>
      <c r="H709" s="178"/>
      <c r="J709" s="42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spans="1:50" ht="12.45" x14ac:dyDescent="0.3">
      <c r="A710" s="13"/>
      <c r="B710" s="13"/>
      <c r="C710" s="13"/>
      <c r="H710" s="178"/>
      <c r="J710" s="42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spans="1:50" ht="12.45" x14ac:dyDescent="0.3">
      <c r="A711" s="13"/>
      <c r="B711" s="13"/>
      <c r="C711" s="13"/>
      <c r="H711" s="178"/>
      <c r="J711" s="42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spans="1:50" ht="12.45" x14ac:dyDescent="0.3">
      <c r="A712" s="13"/>
      <c r="B712" s="13"/>
      <c r="C712" s="13"/>
      <c r="H712" s="178"/>
      <c r="J712" s="42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spans="1:50" ht="12.45" x14ac:dyDescent="0.3">
      <c r="A713" s="13"/>
      <c r="B713" s="13"/>
      <c r="C713" s="13"/>
      <c r="H713" s="178"/>
      <c r="J713" s="42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spans="1:50" ht="12.45" x14ac:dyDescent="0.3">
      <c r="A714" s="13"/>
      <c r="B714" s="13"/>
      <c r="C714" s="13"/>
      <c r="H714" s="178"/>
      <c r="J714" s="42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spans="1:50" ht="12.45" x14ac:dyDescent="0.3">
      <c r="A715" s="13"/>
      <c r="B715" s="13"/>
      <c r="C715" s="13"/>
      <c r="H715" s="178"/>
      <c r="J715" s="42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spans="1:50" ht="12.45" x14ac:dyDescent="0.3">
      <c r="A716" s="13"/>
      <c r="B716" s="13"/>
      <c r="C716" s="13"/>
      <c r="H716" s="178"/>
      <c r="J716" s="42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spans="1:50" ht="12.45" x14ac:dyDescent="0.3">
      <c r="A717" s="13"/>
      <c r="B717" s="13"/>
      <c r="C717" s="13"/>
      <c r="H717" s="178"/>
      <c r="J717" s="42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spans="1:50" ht="12.45" x14ac:dyDescent="0.3">
      <c r="A718" s="13"/>
      <c r="B718" s="13"/>
      <c r="C718" s="13"/>
      <c r="H718" s="178"/>
      <c r="J718" s="42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spans="1:50" ht="12.45" x14ac:dyDescent="0.3">
      <c r="A719" s="13"/>
      <c r="B719" s="13"/>
      <c r="C719" s="13"/>
      <c r="H719" s="178"/>
      <c r="J719" s="42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spans="1:50" ht="12.45" x14ac:dyDescent="0.3">
      <c r="A720" s="13"/>
      <c r="B720" s="13"/>
      <c r="C720" s="13"/>
      <c r="H720" s="178"/>
      <c r="J720" s="42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spans="1:50" ht="12.45" x14ac:dyDescent="0.3">
      <c r="A721" s="13"/>
      <c r="B721" s="13"/>
      <c r="C721" s="13"/>
      <c r="H721" s="178"/>
      <c r="J721" s="42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spans="1:50" ht="12.45" x14ac:dyDescent="0.3">
      <c r="A722" s="13"/>
      <c r="B722" s="13"/>
      <c r="C722" s="13"/>
      <c r="H722" s="178"/>
      <c r="J722" s="42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spans="1:50" ht="12.45" x14ac:dyDescent="0.3">
      <c r="A723" s="13"/>
      <c r="B723" s="13"/>
      <c r="C723" s="13"/>
      <c r="H723" s="178"/>
      <c r="J723" s="42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spans="1:50" ht="12.45" x14ac:dyDescent="0.3">
      <c r="A724" s="13"/>
      <c r="B724" s="13"/>
      <c r="C724" s="13"/>
      <c r="H724" s="178"/>
      <c r="J724" s="42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spans="1:50" ht="12.45" x14ac:dyDescent="0.3">
      <c r="A725" s="13"/>
      <c r="B725" s="13"/>
      <c r="C725" s="13"/>
      <c r="H725" s="178"/>
      <c r="J725" s="42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spans="1:50" ht="12.45" x14ac:dyDescent="0.3">
      <c r="A726" s="13"/>
      <c r="B726" s="13"/>
      <c r="C726" s="13"/>
      <c r="H726" s="178"/>
      <c r="J726" s="42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spans="1:50" ht="12.45" x14ac:dyDescent="0.3">
      <c r="A727" s="13"/>
      <c r="B727" s="13"/>
      <c r="C727" s="13"/>
      <c r="H727" s="178"/>
      <c r="J727" s="42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spans="1:50" ht="12.45" x14ac:dyDescent="0.3">
      <c r="A728" s="13"/>
      <c r="B728" s="13"/>
      <c r="C728" s="13"/>
      <c r="H728" s="178"/>
      <c r="J728" s="42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spans="1:50" ht="12.45" x14ac:dyDescent="0.3">
      <c r="A729" s="13"/>
      <c r="B729" s="13"/>
      <c r="C729" s="13"/>
      <c r="H729" s="178"/>
      <c r="J729" s="42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spans="1:50" ht="12.45" x14ac:dyDescent="0.3">
      <c r="A730" s="13"/>
      <c r="B730" s="13"/>
      <c r="C730" s="13"/>
      <c r="H730" s="178"/>
      <c r="J730" s="42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spans="1:50" ht="12.45" x14ac:dyDescent="0.3">
      <c r="A731" s="13"/>
      <c r="B731" s="13"/>
      <c r="C731" s="13"/>
      <c r="H731" s="178"/>
      <c r="J731" s="42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spans="1:50" ht="12.45" x14ac:dyDescent="0.3">
      <c r="A732" s="13"/>
      <c r="B732" s="13"/>
      <c r="C732" s="13"/>
      <c r="H732" s="178"/>
      <c r="J732" s="42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spans="1:50" ht="12.45" x14ac:dyDescent="0.3">
      <c r="A733" s="13"/>
      <c r="B733" s="13"/>
      <c r="C733" s="13"/>
      <c r="H733" s="178"/>
      <c r="J733" s="42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spans="1:50" ht="12.45" x14ac:dyDescent="0.3">
      <c r="A734" s="13"/>
      <c r="B734" s="13"/>
      <c r="C734" s="13"/>
      <c r="H734" s="178"/>
      <c r="J734" s="42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spans="1:50" ht="12.45" x14ac:dyDescent="0.3">
      <c r="A735" s="13"/>
      <c r="B735" s="13"/>
      <c r="C735" s="13"/>
      <c r="H735" s="178"/>
      <c r="J735" s="42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spans="1:50" ht="12.45" x14ac:dyDescent="0.3">
      <c r="A736" s="13"/>
      <c r="B736" s="13"/>
      <c r="C736" s="13"/>
      <c r="H736" s="178"/>
      <c r="J736" s="42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spans="1:50" ht="12.45" x14ac:dyDescent="0.3">
      <c r="A737" s="13"/>
      <c r="B737" s="13"/>
      <c r="C737" s="13"/>
      <c r="H737" s="178"/>
      <c r="J737" s="42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spans="1:50" ht="12.45" x14ac:dyDescent="0.3">
      <c r="A738" s="13"/>
      <c r="B738" s="13"/>
      <c r="C738" s="13"/>
      <c r="H738" s="178"/>
      <c r="J738" s="42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spans="1:50" ht="12.45" x14ac:dyDescent="0.3">
      <c r="A739" s="13"/>
      <c r="B739" s="13"/>
      <c r="C739" s="13"/>
      <c r="H739" s="178"/>
      <c r="J739" s="42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spans="1:50" ht="12.45" x14ac:dyDescent="0.3">
      <c r="A740" s="13"/>
      <c r="B740" s="13"/>
      <c r="C740" s="13"/>
      <c r="H740" s="178"/>
      <c r="J740" s="42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spans="1:50" ht="12.45" x14ac:dyDescent="0.3">
      <c r="A741" s="13"/>
      <c r="B741" s="13"/>
      <c r="C741" s="13"/>
      <c r="H741" s="178"/>
      <c r="J741" s="42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spans="1:50" ht="12.45" x14ac:dyDescent="0.3">
      <c r="A742" s="13"/>
      <c r="B742" s="13"/>
      <c r="C742" s="13"/>
      <c r="H742" s="178"/>
      <c r="J742" s="42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spans="1:50" ht="12.45" x14ac:dyDescent="0.3">
      <c r="A743" s="13"/>
      <c r="B743" s="13"/>
      <c r="C743" s="13"/>
      <c r="H743" s="178"/>
      <c r="J743" s="42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spans="1:50" ht="12.45" x14ac:dyDescent="0.3">
      <c r="A744" s="13"/>
      <c r="B744" s="13"/>
      <c r="C744" s="13"/>
      <c r="H744" s="178"/>
      <c r="J744" s="42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spans="1:50" ht="12.45" x14ac:dyDescent="0.3">
      <c r="A745" s="13"/>
      <c r="B745" s="13"/>
      <c r="C745" s="13"/>
      <c r="H745" s="178"/>
      <c r="J745" s="42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spans="1:50" ht="12.45" x14ac:dyDescent="0.3">
      <c r="A746" s="13"/>
      <c r="B746" s="13"/>
      <c r="C746" s="13"/>
      <c r="H746" s="178"/>
      <c r="J746" s="42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spans="1:50" ht="12.45" x14ac:dyDescent="0.3">
      <c r="A747" s="13"/>
      <c r="B747" s="13"/>
      <c r="C747" s="13"/>
      <c r="H747" s="178"/>
      <c r="J747" s="42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spans="1:50" ht="12.45" x14ac:dyDescent="0.3">
      <c r="A748" s="13"/>
      <c r="B748" s="13"/>
      <c r="C748" s="13"/>
      <c r="H748" s="178"/>
      <c r="J748" s="42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spans="1:50" ht="12.45" x14ac:dyDescent="0.3">
      <c r="A749" s="13"/>
      <c r="B749" s="13"/>
      <c r="C749" s="13"/>
      <c r="H749" s="178"/>
      <c r="J749" s="42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spans="1:50" ht="12.45" x14ac:dyDescent="0.3">
      <c r="A750" s="13"/>
      <c r="B750" s="13"/>
      <c r="C750" s="13"/>
      <c r="H750" s="178"/>
      <c r="J750" s="42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spans="1:50" ht="12.45" x14ac:dyDescent="0.3">
      <c r="A751" s="13"/>
      <c r="B751" s="13"/>
      <c r="C751" s="13"/>
      <c r="H751" s="178"/>
      <c r="J751" s="42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spans="1:50" ht="12.45" x14ac:dyDescent="0.3">
      <c r="A752" s="13"/>
      <c r="B752" s="13"/>
      <c r="C752" s="13"/>
      <c r="H752" s="178"/>
      <c r="J752" s="42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spans="1:50" ht="12.45" x14ac:dyDescent="0.3">
      <c r="A753" s="13"/>
      <c r="B753" s="13"/>
      <c r="C753" s="13"/>
      <c r="H753" s="178"/>
      <c r="J753" s="42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spans="1:50" ht="12.45" x14ac:dyDescent="0.3">
      <c r="A754" s="13"/>
      <c r="B754" s="13"/>
      <c r="C754" s="13"/>
      <c r="H754" s="178"/>
      <c r="J754" s="42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spans="1:50" ht="12.45" x14ac:dyDescent="0.3">
      <c r="A755" s="13"/>
      <c r="B755" s="13"/>
      <c r="C755" s="13"/>
      <c r="H755" s="178"/>
      <c r="J755" s="42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spans="1:50" ht="12.45" x14ac:dyDescent="0.3">
      <c r="A756" s="13"/>
      <c r="B756" s="13"/>
      <c r="C756" s="13"/>
      <c r="H756" s="178"/>
      <c r="J756" s="42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spans="1:50" ht="12.45" x14ac:dyDescent="0.3">
      <c r="A757" s="13"/>
      <c r="B757" s="13"/>
      <c r="C757" s="13"/>
      <c r="H757" s="178"/>
      <c r="J757" s="42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spans="1:50" ht="12.45" x14ac:dyDescent="0.3">
      <c r="A758" s="13"/>
      <c r="B758" s="13"/>
      <c r="C758" s="13"/>
      <c r="H758" s="178"/>
      <c r="J758" s="42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spans="1:50" ht="12.45" x14ac:dyDescent="0.3">
      <c r="A759" s="13"/>
      <c r="B759" s="13"/>
      <c r="C759" s="13"/>
      <c r="H759" s="178"/>
      <c r="J759" s="42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spans="1:50" ht="12.45" x14ac:dyDescent="0.3">
      <c r="A760" s="13"/>
      <c r="B760" s="13"/>
      <c r="C760" s="13"/>
      <c r="H760" s="178"/>
      <c r="J760" s="42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spans="1:50" ht="12.45" x14ac:dyDescent="0.3">
      <c r="A761" s="13"/>
      <c r="B761" s="13"/>
      <c r="C761" s="13"/>
      <c r="H761" s="178"/>
      <c r="J761" s="42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spans="1:50" ht="12.45" x14ac:dyDescent="0.3">
      <c r="A762" s="13"/>
      <c r="B762" s="13"/>
      <c r="C762" s="13"/>
      <c r="H762" s="178"/>
      <c r="J762" s="42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spans="1:50" ht="12.45" x14ac:dyDescent="0.3">
      <c r="A763" s="13"/>
      <c r="B763" s="13"/>
      <c r="C763" s="13"/>
      <c r="H763" s="178"/>
      <c r="J763" s="42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spans="1:50" ht="12.45" x14ac:dyDescent="0.3">
      <c r="A764" s="13"/>
      <c r="B764" s="13"/>
      <c r="C764" s="13"/>
      <c r="H764" s="178"/>
      <c r="J764" s="42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spans="1:50" ht="12.45" x14ac:dyDescent="0.3">
      <c r="A765" s="13"/>
      <c r="B765" s="13"/>
      <c r="C765" s="13"/>
      <c r="H765" s="178"/>
      <c r="J765" s="42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spans="1:50" ht="12.45" x14ac:dyDescent="0.3">
      <c r="A766" s="13"/>
      <c r="B766" s="13"/>
      <c r="C766" s="13"/>
      <c r="H766" s="178"/>
      <c r="J766" s="42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spans="1:50" ht="12.45" x14ac:dyDescent="0.3">
      <c r="A767" s="13"/>
      <c r="B767" s="13"/>
      <c r="C767" s="13"/>
      <c r="H767" s="178"/>
      <c r="J767" s="42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spans="1:50" ht="12.45" x14ac:dyDescent="0.3">
      <c r="A768" s="13"/>
      <c r="B768" s="13"/>
      <c r="C768" s="13"/>
      <c r="H768" s="178"/>
      <c r="J768" s="42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spans="1:50" ht="12.45" x14ac:dyDescent="0.3">
      <c r="A769" s="13"/>
      <c r="B769" s="13"/>
      <c r="C769" s="13"/>
      <c r="H769" s="178"/>
      <c r="J769" s="42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spans="1:50" ht="12.45" x14ac:dyDescent="0.3">
      <c r="A770" s="13"/>
      <c r="B770" s="13"/>
      <c r="C770" s="13"/>
      <c r="H770" s="178"/>
      <c r="J770" s="42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spans="1:50" ht="12.45" x14ac:dyDescent="0.3">
      <c r="A771" s="13"/>
      <c r="B771" s="13"/>
      <c r="C771" s="13"/>
      <c r="H771" s="178"/>
      <c r="J771" s="42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spans="1:50" ht="12.45" x14ac:dyDescent="0.3">
      <c r="A772" s="13"/>
      <c r="B772" s="13"/>
      <c r="C772" s="13"/>
      <c r="H772" s="178"/>
      <c r="J772" s="42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spans="1:50" ht="12.45" x14ac:dyDescent="0.3">
      <c r="A773" s="13"/>
      <c r="B773" s="13"/>
      <c r="C773" s="13"/>
      <c r="H773" s="178"/>
      <c r="J773" s="42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spans="1:50" ht="12.45" x14ac:dyDescent="0.3">
      <c r="A774" s="13"/>
      <c r="B774" s="13"/>
      <c r="C774" s="13"/>
      <c r="H774" s="178"/>
      <c r="J774" s="42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spans="1:50" ht="12.45" x14ac:dyDescent="0.3">
      <c r="A775" s="13"/>
      <c r="B775" s="13"/>
      <c r="C775" s="13"/>
      <c r="H775" s="178"/>
      <c r="J775" s="42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spans="1:50" ht="12.45" x14ac:dyDescent="0.3">
      <c r="A776" s="13"/>
      <c r="B776" s="13"/>
      <c r="C776" s="13"/>
      <c r="H776" s="178"/>
      <c r="J776" s="42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spans="1:50" ht="12.45" x14ac:dyDescent="0.3">
      <c r="A777" s="13"/>
      <c r="B777" s="13"/>
      <c r="C777" s="13"/>
      <c r="H777" s="178"/>
      <c r="J777" s="42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spans="1:50" ht="12.45" x14ac:dyDescent="0.3">
      <c r="A778" s="13"/>
      <c r="B778" s="13"/>
      <c r="C778" s="13"/>
      <c r="H778" s="178"/>
      <c r="J778" s="42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spans="1:50" ht="12.45" x14ac:dyDescent="0.3">
      <c r="A779" s="13"/>
      <c r="B779" s="13"/>
      <c r="C779" s="13"/>
      <c r="H779" s="178"/>
      <c r="J779" s="42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spans="1:50" ht="12.45" x14ac:dyDescent="0.3">
      <c r="A780" s="13"/>
      <c r="B780" s="13"/>
      <c r="C780" s="13"/>
      <c r="H780" s="178"/>
      <c r="J780" s="42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spans="1:50" ht="12.45" x14ac:dyDescent="0.3">
      <c r="A781" s="13"/>
      <c r="B781" s="13"/>
      <c r="C781" s="13"/>
      <c r="H781" s="178"/>
      <c r="J781" s="42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spans="1:50" ht="12.45" x14ac:dyDescent="0.3">
      <c r="A782" s="13"/>
      <c r="B782" s="13"/>
      <c r="C782" s="13"/>
      <c r="H782" s="178"/>
      <c r="J782" s="42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spans="1:50" ht="12.45" x14ac:dyDescent="0.3">
      <c r="A783" s="13"/>
      <c r="B783" s="13"/>
      <c r="C783" s="13"/>
      <c r="H783" s="178"/>
      <c r="J783" s="42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spans="1:50" ht="12.45" x14ac:dyDescent="0.3">
      <c r="A784" s="13"/>
      <c r="B784" s="13"/>
      <c r="C784" s="13"/>
      <c r="H784" s="178"/>
      <c r="J784" s="42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spans="1:50" ht="12.45" x14ac:dyDescent="0.3">
      <c r="A785" s="13"/>
      <c r="B785" s="13"/>
      <c r="C785" s="13"/>
      <c r="H785" s="178"/>
      <c r="J785" s="42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spans="1:50" ht="12.45" x14ac:dyDescent="0.3">
      <c r="A786" s="13"/>
      <c r="B786" s="13"/>
      <c r="C786" s="13"/>
      <c r="H786" s="178"/>
      <c r="J786" s="42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spans="1:50" ht="12.45" x14ac:dyDescent="0.3">
      <c r="A787" s="13"/>
      <c r="B787" s="13"/>
      <c r="C787" s="13"/>
      <c r="H787" s="178"/>
      <c r="J787" s="42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spans="1:50" ht="12.45" x14ac:dyDescent="0.3">
      <c r="A788" s="13"/>
      <c r="B788" s="13"/>
      <c r="C788" s="13"/>
      <c r="H788" s="178"/>
      <c r="J788" s="42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spans="1:50" ht="12.45" x14ac:dyDescent="0.3">
      <c r="A789" s="13"/>
      <c r="B789" s="13"/>
      <c r="C789" s="13"/>
      <c r="H789" s="178"/>
      <c r="J789" s="42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spans="1:50" ht="12.45" x14ac:dyDescent="0.3">
      <c r="A790" s="13"/>
      <c r="B790" s="13"/>
      <c r="C790" s="13"/>
      <c r="H790" s="178"/>
      <c r="J790" s="42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spans="1:50" ht="12.45" x14ac:dyDescent="0.3">
      <c r="A791" s="13"/>
      <c r="B791" s="13"/>
      <c r="C791" s="13"/>
      <c r="H791" s="178"/>
      <c r="J791" s="42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spans="1:50" ht="12.45" x14ac:dyDescent="0.3">
      <c r="A792" s="13"/>
      <c r="B792" s="13"/>
      <c r="C792" s="13"/>
      <c r="H792" s="178"/>
      <c r="J792" s="42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spans="1:50" ht="12.45" x14ac:dyDescent="0.3">
      <c r="A793" s="13"/>
      <c r="B793" s="13"/>
      <c r="C793" s="13"/>
      <c r="H793" s="178"/>
      <c r="J793" s="42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spans="1:50" ht="12.45" x14ac:dyDescent="0.3">
      <c r="A794" s="13"/>
      <c r="B794" s="13"/>
      <c r="C794" s="13"/>
      <c r="H794" s="178"/>
      <c r="J794" s="42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spans="1:50" ht="12.45" x14ac:dyDescent="0.3">
      <c r="A795" s="13"/>
      <c r="B795" s="13"/>
      <c r="C795" s="13"/>
      <c r="H795" s="178"/>
      <c r="J795" s="42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spans="1:50" ht="12.45" x14ac:dyDescent="0.3">
      <c r="A796" s="13"/>
      <c r="B796" s="13"/>
      <c r="C796" s="13"/>
      <c r="H796" s="178"/>
      <c r="J796" s="42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spans="1:50" ht="12.45" x14ac:dyDescent="0.3">
      <c r="A797" s="13"/>
      <c r="B797" s="13"/>
      <c r="C797" s="13"/>
      <c r="H797" s="178"/>
      <c r="J797" s="42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spans="1:50" ht="12.45" x14ac:dyDescent="0.3">
      <c r="A798" s="13"/>
      <c r="B798" s="13"/>
      <c r="C798" s="13"/>
      <c r="H798" s="178"/>
      <c r="J798" s="42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spans="1:50" ht="12.45" x14ac:dyDescent="0.3">
      <c r="A799" s="13"/>
      <c r="B799" s="13"/>
      <c r="C799" s="13"/>
      <c r="H799" s="178"/>
      <c r="J799" s="42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spans="1:50" ht="12.45" x14ac:dyDescent="0.3">
      <c r="A800" s="13"/>
      <c r="B800" s="13"/>
      <c r="C800" s="13"/>
      <c r="H800" s="178"/>
      <c r="J800" s="42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spans="1:50" ht="12.45" x14ac:dyDescent="0.3">
      <c r="A801" s="13"/>
      <c r="B801" s="13"/>
      <c r="C801" s="13"/>
      <c r="H801" s="178"/>
      <c r="J801" s="42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spans="1:50" ht="12.45" x14ac:dyDescent="0.3">
      <c r="A802" s="13"/>
      <c r="B802" s="13"/>
      <c r="C802" s="13"/>
      <c r="H802" s="178"/>
      <c r="J802" s="42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spans="1:50" ht="12.45" x14ac:dyDescent="0.3">
      <c r="A803" s="13"/>
      <c r="B803" s="13"/>
      <c r="C803" s="13"/>
      <c r="H803" s="178"/>
      <c r="J803" s="42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spans="1:50" ht="12.45" x14ac:dyDescent="0.3">
      <c r="A804" s="13"/>
      <c r="B804" s="13"/>
      <c r="C804" s="13"/>
      <c r="H804" s="178"/>
      <c r="J804" s="42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spans="1:50" ht="12.45" x14ac:dyDescent="0.3">
      <c r="A805" s="13"/>
      <c r="B805" s="13"/>
      <c r="C805" s="13"/>
      <c r="H805" s="178"/>
      <c r="J805" s="42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spans="1:50" ht="12.45" x14ac:dyDescent="0.3">
      <c r="A806" s="13"/>
      <c r="B806" s="13"/>
      <c r="C806" s="13"/>
      <c r="H806" s="178"/>
      <c r="J806" s="42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spans="1:50" ht="12.45" x14ac:dyDescent="0.3">
      <c r="A807" s="13"/>
      <c r="B807" s="13"/>
      <c r="C807" s="13"/>
      <c r="H807" s="178"/>
      <c r="J807" s="42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spans="1:50" ht="12.45" x14ac:dyDescent="0.3">
      <c r="A808" s="13"/>
      <c r="B808" s="13"/>
      <c r="C808" s="13"/>
      <c r="H808" s="178"/>
      <c r="J808" s="42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spans="1:50" ht="12.45" x14ac:dyDescent="0.3">
      <c r="A809" s="13"/>
      <c r="B809" s="13"/>
      <c r="C809" s="13"/>
      <c r="H809" s="178"/>
      <c r="J809" s="42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spans="1:50" ht="12.45" x14ac:dyDescent="0.3">
      <c r="A810" s="13"/>
      <c r="B810" s="13"/>
      <c r="C810" s="13"/>
      <c r="H810" s="178"/>
      <c r="J810" s="42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spans="1:50" ht="12.45" x14ac:dyDescent="0.3">
      <c r="A811" s="13"/>
      <c r="B811" s="13"/>
      <c r="C811" s="13"/>
      <c r="H811" s="178"/>
      <c r="J811" s="42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spans="1:50" ht="12.45" x14ac:dyDescent="0.3">
      <c r="A812" s="13"/>
      <c r="B812" s="13"/>
      <c r="C812" s="13"/>
      <c r="H812" s="178"/>
      <c r="J812" s="42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spans="1:50" ht="12.45" x14ac:dyDescent="0.3">
      <c r="A813" s="13"/>
      <c r="B813" s="13"/>
      <c r="C813" s="13"/>
      <c r="H813" s="178"/>
      <c r="J813" s="42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spans="1:50" ht="12.45" x14ac:dyDescent="0.3">
      <c r="A814" s="13"/>
      <c r="B814" s="13"/>
      <c r="C814" s="13"/>
      <c r="H814" s="178"/>
      <c r="J814" s="42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spans="1:50" ht="12.45" x14ac:dyDescent="0.3">
      <c r="A815" s="13"/>
      <c r="B815" s="13"/>
      <c r="C815" s="13"/>
      <c r="H815" s="178"/>
      <c r="J815" s="42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spans="1:50" ht="12.45" x14ac:dyDescent="0.3">
      <c r="A816" s="13"/>
      <c r="B816" s="13"/>
      <c r="C816" s="13"/>
      <c r="H816" s="178"/>
      <c r="J816" s="42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spans="1:50" ht="12.45" x14ac:dyDescent="0.3">
      <c r="A817" s="13"/>
      <c r="B817" s="13"/>
      <c r="C817" s="13"/>
      <c r="H817" s="178"/>
      <c r="J817" s="42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spans="1:50" ht="12.45" x14ac:dyDescent="0.3">
      <c r="A818" s="13"/>
      <c r="B818" s="13"/>
      <c r="C818" s="13"/>
      <c r="H818" s="178"/>
      <c r="J818" s="42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spans="1:50" ht="12.45" x14ac:dyDescent="0.3">
      <c r="A819" s="13"/>
      <c r="B819" s="13"/>
      <c r="C819" s="13"/>
      <c r="H819" s="178"/>
      <c r="J819" s="42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spans="1:50" ht="12.45" x14ac:dyDescent="0.3">
      <c r="A820" s="13"/>
      <c r="B820" s="13"/>
      <c r="C820" s="13"/>
      <c r="H820" s="178"/>
      <c r="J820" s="42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spans="1:50" ht="12.45" x14ac:dyDescent="0.3">
      <c r="A821" s="13"/>
      <c r="B821" s="13"/>
      <c r="C821" s="13"/>
      <c r="H821" s="178"/>
      <c r="J821" s="42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spans="1:50" ht="12.45" x14ac:dyDescent="0.3">
      <c r="A822" s="13"/>
      <c r="B822" s="13"/>
      <c r="C822" s="13"/>
      <c r="H822" s="178"/>
      <c r="J822" s="42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spans="1:50" ht="12.45" x14ac:dyDescent="0.3">
      <c r="A823" s="13"/>
      <c r="B823" s="13"/>
      <c r="C823" s="13"/>
      <c r="H823" s="178"/>
      <c r="J823" s="42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spans="1:50" ht="12.45" x14ac:dyDescent="0.3">
      <c r="A824" s="13"/>
      <c r="B824" s="13"/>
      <c r="C824" s="13"/>
      <c r="H824" s="178"/>
      <c r="J824" s="42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spans="1:50" ht="12.45" x14ac:dyDescent="0.3">
      <c r="A825" s="13"/>
      <c r="B825" s="13"/>
      <c r="C825" s="13"/>
      <c r="H825" s="178"/>
      <c r="J825" s="42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spans="1:50" ht="12.45" x14ac:dyDescent="0.3">
      <c r="A826" s="13"/>
      <c r="B826" s="13"/>
      <c r="C826" s="13"/>
      <c r="H826" s="178"/>
      <c r="J826" s="42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spans="1:50" ht="12.45" x14ac:dyDescent="0.3">
      <c r="A827" s="13"/>
      <c r="B827" s="13"/>
      <c r="C827" s="13"/>
      <c r="H827" s="178"/>
      <c r="J827" s="42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spans="1:50" ht="12.45" x14ac:dyDescent="0.3">
      <c r="A828" s="13"/>
      <c r="B828" s="13"/>
      <c r="C828" s="13"/>
      <c r="H828" s="178"/>
      <c r="J828" s="42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spans="1:50" ht="12.45" x14ac:dyDescent="0.3">
      <c r="A829" s="13"/>
      <c r="B829" s="13"/>
      <c r="C829" s="13"/>
      <c r="H829" s="178"/>
      <c r="J829" s="42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spans="1:50" ht="12.45" x14ac:dyDescent="0.3">
      <c r="A830" s="13"/>
      <c r="B830" s="13"/>
      <c r="C830" s="13"/>
      <c r="H830" s="178"/>
      <c r="J830" s="42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spans="1:50" ht="12.45" x14ac:dyDescent="0.3">
      <c r="A831" s="13"/>
      <c r="B831" s="13"/>
      <c r="C831" s="13"/>
      <c r="H831" s="178"/>
      <c r="J831" s="42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spans="1:50" ht="12.45" x14ac:dyDescent="0.3">
      <c r="A832" s="13"/>
      <c r="B832" s="13"/>
      <c r="C832" s="13"/>
      <c r="H832" s="178"/>
      <c r="J832" s="42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spans="1:50" ht="12.45" x14ac:dyDescent="0.3">
      <c r="A833" s="13"/>
      <c r="B833" s="13"/>
      <c r="C833" s="13"/>
      <c r="H833" s="178"/>
      <c r="J833" s="42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spans="1:50" ht="12.45" x14ac:dyDescent="0.3">
      <c r="A834" s="13"/>
      <c r="B834" s="13"/>
      <c r="C834" s="13"/>
      <c r="H834" s="178"/>
      <c r="J834" s="42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spans="1:50" ht="12.45" x14ac:dyDescent="0.3">
      <c r="A835" s="13"/>
      <c r="B835" s="13"/>
      <c r="C835" s="13"/>
      <c r="H835" s="178"/>
      <c r="J835" s="42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spans="1:50" ht="12.45" x14ac:dyDescent="0.3">
      <c r="A836" s="13"/>
      <c r="B836" s="13"/>
      <c r="C836" s="13"/>
      <c r="H836" s="178"/>
      <c r="J836" s="42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spans="1:50" ht="12.45" x14ac:dyDescent="0.3">
      <c r="A837" s="13"/>
      <c r="B837" s="13"/>
      <c r="C837" s="13"/>
      <c r="H837" s="178"/>
      <c r="J837" s="42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spans="1:50" ht="12.45" x14ac:dyDescent="0.3">
      <c r="A838" s="13"/>
      <c r="B838" s="13"/>
      <c r="C838" s="13"/>
      <c r="H838" s="178"/>
      <c r="J838" s="42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spans="1:50" ht="12.45" x14ac:dyDescent="0.3">
      <c r="A839" s="13"/>
      <c r="B839" s="13"/>
      <c r="C839" s="13"/>
      <c r="H839" s="178"/>
      <c r="J839" s="42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spans="1:50" ht="12.45" x14ac:dyDescent="0.3">
      <c r="A840" s="13"/>
      <c r="B840" s="13"/>
      <c r="C840" s="13"/>
      <c r="H840" s="178"/>
      <c r="J840" s="42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spans="1:50" ht="12.45" x14ac:dyDescent="0.3">
      <c r="A841" s="13"/>
      <c r="B841" s="13"/>
      <c r="C841" s="13"/>
      <c r="H841" s="178"/>
      <c r="J841" s="42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spans="1:50" ht="12.45" x14ac:dyDescent="0.3">
      <c r="A842" s="13"/>
      <c r="B842" s="13"/>
      <c r="C842" s="13"/>
      <c r="H842" s="178"/>
      <c r="J842" s="42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spans="1:50" ht="12.45" x14ac:dyDescent="0.3">
      <c r="A843" s="13"/>
      <c r="B843" s="13"/>
      <c r="C843" s="13"/>
      <c r="H843" s="178"/>
      <c r="J843" s="42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spans="1:50" ht="12.45" x14ac:dyDescent="0.3">
      <c r="A844" s="13"/>
      <c r="B844" s="13"/>
      <c r="C844" s="13"/>
      <c r="H844" s="178"/>
      <c r="J844" s="42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spans="1:50" ht="12.45" x14ac:dyDescent="0.3">
      <c r="A845" s="13"/>
      <c r="B845" s="13"/>
      <c r="C845" s="13"/>
      <c r="H845" s="178"/>
      <c r="J845" s="42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spans="1:50" ht="12.45" x14ac:dyDescent="0.3">
      <c r="A846" s="13"/>
      <c r="B846" s="13"/>
      <c r="C846" s="13"/>
      <c r="H846" s="178"/>
      <c r="J846" s="42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spans="1:50" ht="12.45" x14ac:dyDescent="0.3">
      <c r="A847" s="13"/>
      <c r="B847" s="13"/>
      <c r="C847" s="13"/>
      <c r="H847" s="178"/>
      <c r="J847" s="42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spans="1:50" ht="12.45" x14ac:dyDescent="0.3">
      <c r="A848" s="13"/>
      <c r="B848" s="13"/>
      <c r="C848" s="13"/>
      <c r="H848" s="178"/>
      <c r="J848" s="42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spans="1:50" ht="12.45" x14ac:dyDescent="0.3">
      <c r="A849" s="13"/>
      <c r="B849" s="13"/>
      <c r="C849" s="13"/>
      <c r="H849" s="178"/>
      <c r="J849" s="42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spans="1:50" ht="12.45" x14ac:dyDescent="0.3">
      <c r="A850" s="13"/>
      <c r="B850" s="13"/>
      <c r="C850" s="13"/>
      <c r="H850" s="178"/>
      <c r="J850" s="42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spans="1:50" ht="12.45" x14ac:dyDescent="0.3">
      <c r="A851" s="13"/>
      <c r="B851" s="13"/>
      <c r="C851" s="13"/>
      <c r="H851" s="178"/>
      <c r="J851" s="42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spans="1:50" ht="12.45" x14ac:dyDescent="0.3">
      <c r="A852" s="13"/>
      <c r="B852" s="13"/>
      <c r="C852" s="13"/>
      <c r="H852" s="178"/>
      <c r="J852" s="42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spans="1:50" ht="12.45" x14ac:dyDescent="0.3">
      <c r="A853" s="13"/>
      <c r="B853" s="13"/>
      <c r="C853" s="13"/>
      <c r="H853" s="178"/>
      <c r="J853" s="42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spans="1:50" ht="12.45" x14ac:dyDescent="0.3">
      <c r="A854" s="13"/>
      <c r="B854" s="13"/>
      <c r="C854" s="13"/>
      <c r="H854" s="178"/>
      <c r="J854" s="42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spans="1:50" ht="12.45" x14ac:dyDescent="0.3">
      <c r="A855" s="13"/>
      <c r="B855" s="13"/>
      <c r="C855" s="13"/>
      <c r="H855" s="178"/>
      <c r="J855" s="42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spans="1:50" ht="12.45" x14ac:dyDescent="0.3">
      <c r="A856" s="13"/>
      <c r="B856" s="13"/>
      <c r="C856" s="13"/>
      <c r="H856" s="178"/>
      <c r="J856" s="42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spans="1:50" ht="12.45" x14ac:dyDescent="0.3">
      <c r="A857" s="13"/>
      <c r="B857" s="13"/>
      <c r="C857" s="13"/>
      <c r="H857" s="178"/>
      <c r="J857" s="42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spans="1:50" ht="12.45" x14ac:dyDescent="0.3">
      <c r="A858" s="13"/>
      <c r="B858" s="13"/>
      <c r="C858" s="13"/>
      <c r="H858" s="178"/>
      <c r="J858" s="42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spans="1:50" ht="12.45" x14ac:dyDescent="0.3">
      <c r="A859" s="13"/>
      <c r="B859" s="13"/>
      <c r="C859" s="13"/>
      <c r="H859" s="178"/>
      <c r="J859" s="42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spans="1:50" ht="12.45" x14ac:dyDescent="0.3">
      <c r="A860" s="13"/>
      <c r="B860" s="13"/>
      <c r="C860" s="13"/>
      <c r="H860" s="178"/>
      <c r="J860" s="42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spans="1:50" ht="12.45" x14ac:dyDescent="0.3">
      <c r="A861" s="13"/>
      <c r="B861" s="13"/>
      <c r="C861" s="13"/>
      <c r="H861" s="178"/>
      <c r="J861" s="42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spans="1:50" ht="12.45" x14ac:dyDescent="0.3">
      <c r="A862" s="13"/>
      <c r="B862" s="13"/>
      <c r="C862" s="13"/>
      <c r="H862" s="178"/>
      <c r="J862" s="42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spans="1:50" ht="12.45" x14ac:dyDescent="0.3">
      <c r="A863" s="13"/>
      <c r="B863" s="13"/>
      <c r="C863" s="13"/>
      <c r="H863" s="178"/>
      <c r="J863" s="42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spans="1:50" ht="12.45" x14ac:dyDescent="0.3">
      <c r="A864" s="13"/>
      <c r="B864" s="13"/>
      <c r="C864" s="13"/>
      <c r="H864" s="178"/>
      <c r="J864" s="42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spans="1:50" ht="12.45" x14ac:dyDescent="0.3">
      <c r="A865" s="13"/>
      <c r="B865" s="13"/>
      <c r="C865" s="13"/>
      <c r="H865" s="178"/>
      <c r="J865" s="42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spans="1:50" ht="12.45" x14ac:dyDescent="0.3">
      <c r="A866" s="13"/>
      <c r="B866" s="13"/>
      <c r="C866" s="13"/>
      <c r="H866" s="178"/>
      <c r="J866" s="42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spans="1:50" ht="12.45" x14ac:dyDescent="0.3">
      <c r="A867" s="13"/>
      <c r="B867" s="13"/>
      <c r="C867" s="13"/>
      <c r="H867" s="178"/>
      <c r="J867" s="42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spans="1:50" ht="12.45" x14ac:dyDescent="0.3">
      <c r="A868" s="13"/>
      <c r="B868" s="13"/>
      <c r="C868" s="13"/>
      <c r="H868" s="178"/>
      <c r="J868" s="42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spans="1:50" ht="12.45" x14ac:dyDescent="0.3">
      <c r="A869" s="13"/>
      <c r="B869" s="13"/>
      <c r="C869" s="13"/>
      <c r="H869" s="178"/>
      <c r="J869" s="42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spans="1:50" ht="12.45" x14ac:dyDescent="0.3">
      <c r="A870" s="13"/>
      <c r="B870" s="13"/>
      <c r="C870" s="13"/>
      <c r="H870" s="178"/>
      <c r="J870" s="42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spans="1:50" ht="12.45" x14ac:dyDescent="0.3">
      <c r="A871" s="13"/>
      <c r="B871" s="13"/>
      <c r="C871" s="13"/>
      <c r="H871" s="178"/>
      <c r="J871" s="42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spans="1:50" ht="12.45" x14ac:dyDescent="0.3">
      <c r="A872" s="13"/>
      <c r="B872" s="13"/>
      <c r="C872" s="13"/>
      <c r="H872" s="178"/>
      <c r="J872" s="42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spans="1:50" ht="12.45" x14ac:dyDescent="0.3">
      <c r="A873" s="13"/>
      <c r="B873" s="13"/>
      <c r="C873" s="13"/>
      <c r="H873" s="178"/>
      <c r="J873" s="42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spans="1:50" ht="12.45" x14ac:dyDescent="0.3">
      <c r="A874" s="13"/>
      <c r="B874" s="13"/>
      <c r="C874" s="13"/>
      <c r="H874" s="178"/>
      <c r="J874" s="42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spans="1:50" ht="12.45" x14ac:dyDescent="0.3">
      <c r="A875" s="13"/>
      <c r="B875" s="13"/>
      <c r="C875" s="13"/>
      <c r="H875" s="178"/>
      <c r="J875" s="42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spans="1:50" ht="12.45" x14ac:dyDescent="0.3">
      <c r="A876" s="13"/>
      <c r="B876" s="13"/>
      <c r="C876" s="13"/>
      <c r="H876" s="178"/>
      <c r="J876" s="42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spans="1:50" ht="12.45" x14ac:dyDescent="0.3">
      <c r="A877" s="13"/>
      <c r="B877" s="13"/>
      <c r="C877" s="13"/>
      <c r="H877" s="178"/>
      <c r="J877" s="42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spans="1:50" ht="12.45" x14ac:dyDescent="0.3">
      <c r="A878" s="13"/>
      <c r="B878" s="13"/>
      <c r="C878" s="13"/>
      <c r="H878" s="178"/>
      <c r="J878" s="42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spans="1:50" ht="12.45" x14ac:dyDescent="0.3">
      <c r="A879" s="13"/>
      <c r="B879" s="13"/>
      <c r="C879" s="13"/>
      <c r="H879" s="178"/>
      <c r="J879" s="42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spans="1:50" ht="12.45" x14ac:dyDescent="0.3">
      <c r="A880" s="13"/>
      <c r="B880" s="13"/>
      <c r="C880" s="13"/>
      <c r="H880" s="178"/>
      <c r="J880" s="42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spans="1:50" ht="12.45" x14ac:dyDescent="0.3">
      <c r="A881" s="13"/>
      <c r="B881" s="13"/>
      <c r="C881" s="13"/>
      <c r="H881" s="178"/>
      <c r="J881" s="42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spans="1:50" ht="12.45" x14ac:dyDescent="0.3">
      <c r="A882" s="13"/>
      <c r="B882" s="13"/>
      <c r="C882" s="13"/>
      <c r="H882" s="178"/>
      <c r="J882" s="42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spans="1:50" ht="12.45" x14ac:dyDescent="0.3">
      <c r="A883" s="13"/>
      <c r="B883" s="13"/>
      <c r="C883" s="13"/>
      <c r="H883" s="178"/>
      <c r="J883" s="42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spans="1:50" ht="12.45" x14ac:dyDescent="0.3">
      <c r="A884" s="13"/>
      <c r="B884" s="13"/>
      <c r="C884" s="13"/>
      <c r="H884" s="178"/>
      <c r="J884" s="42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spans="1:50" ht="12.45" x14ac:dyDescent="0.3">
      <c r="A885" s="13"/>
      <c r="B885" s="13"/>
      <c r="C885" s="13"/>
      <c r="H885" s="178"/>
      <c r="J885" s="42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spans="1:50" ht="12.45" x14ac:dyDescent="0.3">
      <c r="A886" s="13"/>
      <c r="B886" s="13"/>
      <c r="C886" s="13"/>
      <c r="H886" s="178"/>
      <c r="J886" s="42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spans="1:50" ht="12.45" x14ac:dyDescent="0.3">
      <c r="A887" s="13"/>
      <c r="B887" s="13"/>
      <c r="C887" s="13"/>
      <c r="H887" s="178"/>
      <c r="J887" s="42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spans="1:50" ht="12.45" x14ac:dyDescent="0.3">
      <c r="A888" s="13"/>
      <c r="B888" s="13"/>
      <c r="C888" s="13"/>
      <c r="H888" s="178"/>
      <c r="J888" s="42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spans="1:50" ht="12.45" x14ac:dyDescent="0.3">
      <c r="A889" s="13"/>
      <c r="B889" s="13"/>
      <c r="C889" s="13"/>
      <c r="H889" s="178"/>
      <c r="J889" s="42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spans="1:50" ht="12.45" x14ac:dyDescent="0.3">
      <c r="A890" s="13"/>
      <c r="B890" s="13"/>
      <c r="C890" s="13"/>
      <c r="H890" s="178"/>
      <c r="J890" s="42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spans="1:50" ht="12.45" x14ac:dyDescent="0.3">
      <c r="A891" s="13"/>
      <c r="B891" s="13"/>
      <c r="C891" s="13"/>
      <c r="H891" s="178"/>
      <c r="J891" s="42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spans="1:50" ht="12.45" x14ac:dyDescent="0.3">
      <c r="A892" s="13"/>
      <c r="B892" s="13"/>
      <c r="C892" s="13"/>
      <c r="H892" s="178"/>
      <c r="J892" s="42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spans="1:50" ht="12.45" x14ac:dyDescent="0.3">
      <c r="A893" s="13"/>
      <c r="B893" s="13"/>
      <c r="C893" s="13"/>
      <c r="H893" s="178"/>
      <c r="J893" s="42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spans="1:50" ht="12.45" x14ac:dyDescent="0.3">
      <c r="A894" s="13"/>
      <c r="B894" s="13"/>
      <c r="C894" s="13"/>
      <c r="H894" s="178"/>
      <c r="J894" s="42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spans="1:50" ht="12.45" x14ac:dyDescent="0.3">
      <c r="A895" s="13"/>
      <c r="B895" s="13"/>
      <c r="C895" s="13"/>
      <c r="H895" s="178"/>
      <c r="J895" s="42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spans="1:50" ht="12.45" x14ac:dyDescent="0.3">
      <c r="A896" s="13"/>
      <c r="B896" s="13"/>
      <c r="C896" s="13"/>
      <c r="H896" s="178"/>
      <c r="J896" s="42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spans="1:50" ht="12.45" x14ac:dyDescent="0.3">
      <c r="A897" s="13"/>
      <c r="B897" s="13"/>
      <c r="C897" s="13"/>
      <c r="H897" s="178"/>
      <c r="J897" s="42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spans="1:50" ht="12.45" x14ac:dyDescent="0.3">
      <c r="A898" s="13"/>
      <c r="B898" s="13"/>
      <c r="C898" s="13"/>
      <c r="H898" s="178"/>
      <c r="J898" s="42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spans="1:50" ht="12.45" x14ac:dyDescent="0.3">
      <c r="A899" s="13"/>
      <c r="B899" s="13"/>
      <c r="C899" s="13"/>
      <c r="H899" s="178"/>
      <c r="J899" s="42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spans="1:50" ht="12.45" x14ac:dyDescent="0.3">
      <c r="A900" s="13"/>
      <c r="B900" s="13"/>
      <c r="C900" s="13"/>
      <c r="H900" s="178"/>
      <c r="J900" s="42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spans="1:50" ht="12.45" x14ac:dyDescent="0.3">
      <c r="A901" s="13"/>
      <c r="B901" s="13"/>
      <c r="C901" s="13"/>
      <c r="H901" s="178"/>
      <c r="J901" s="42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spans="1:50" ht="12.45" x14ac:dyDescent="0.3">
      <c r="A902" s="13"/>
      <c r="B902" s="13"/>
      <c r="C902" s="13"/>
      <c r="H902" s="178"/>
      <c r="J902" s="42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spans="1:50" ht="12.45" x14ac:dyDescent="0.3">
      <c r="A903" s="13"/>
      <c r="B903" s="13"/>
      <c r="C903" s="13"/>
      <c r="H903" s="178"/>
      <c r="J903" s="42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spans="1:50" ht="12.45" x14ac:dyDescent="0.3">
      <c r="A904" s="13"/>
      <c r="B904" s="13"/>
      <c r="C904" s="13"/>
      <c r="H904" s="178"/>
      <c r="J904" s="42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spans="1:50" ht="12.45" x14ac:dyDescent="0.3">
      <c r="A905" s="13"/>
      <c r="B905" s="13"/>
      <c r="C905" s="13"/>
      <c r="H905" s="178"/>
      <c r="J905" s="42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spans="1:50" ht="12.45" x14ac:dyDescent="0.3">
      <c r="A906" s="13"/>
      <c r="B906" s="13"/>
      <c r="C906" s="13"/>
      <c r="H906" s="178"/>
      <c r="J906" s="42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spans="1:50" ht="12.45" x14ac:dyDescent="0.3">
      <c r="A907" s="13"/>
      <c r="B907" s="13"/>
      <c r="C907" s="13"/>
      <c r="H907" s="178"/>
      <c r="J907" s="42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spans="1:50" ht="12.45" x14ac:dyDescent="0.3">
      <c r="A908" s="13"/>
      <c r="B908" s="13"/>
      <c r="C908" s="13"/>
      <c r="H908" s="178"/>
      <c r="J908" s="42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spans="1:50" ht="12.45" x14ac:dyDescent="0.3">
      <c r="A909" s="13"/>
      <c r="B909" s="13"/>
      <c r="C909" s="13"/>
      <c r="H909" s="178"/>
      <c r="J909" s="42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spans="1:50" ht="12.45" x14ac:dyDescent="0.3">
      <c r="A910" s="13"/>
      <c r="B910" s="13"/>
      <c r="C910" s="13"/>
      <c r="H910" s="178"/>
      <c r="J910" s="42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spans="1:50" ht="12.45" x14ac:dyDescent="0.3">
      <c r="A911" s="13"/>
      <c r="B911" s="13"/>
      <c r="C911" s="13"/>
      <c r="H911" s="178"/>
      <c r="J911" s="42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spans="1:50" ht="12.45" x14ac:dyDescent="0.3">
      <c r="A912" s="13"/>
      <c r="B912" s="13"/>
      <c r="C912" s="13"/>
      <c r="H912" s="178"/>
      <c r="J912" s="42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spans="1:50" ht="12.45" x14ac:dyDescent="0.3">
      <c r="A913" s="13"/>
      <c r="B913" s="13"/>
      <c r="C913" s="13"/>
      <c r="H913" s="178"/>
      <c r="J913" s="42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spans="1:50" ht="12.45" x14ac:dyDescent="0.3">
      <c r="A914" s="13"/>
      <c r="B914" s="13"/>
      <c r="C914" s="13"/>
      <c r="H914" s="178"/>
      <c r="J914" s="42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spans="1:50" ht="12.45" x14ac:dyDescent="0.3">
      <c r="A915" s="13"/>
      <c r="B915" s="13"/>
      <c r="C915" s="13"/>
      <c r="H915" s="178"/>
      <c r="J915" s="42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spans="1:50" ht="12.45" x14ac:dyDescent="0.3">
      <c r="A916" s="13"/>
      <c r="B916" s="13"/>
      <c r="C916" s="13"/>
      <c r="H916" s="178"/>
      <c r="J916" s="42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spans="1:50" ht="12.45" x14ac:dyDescent="0.3">
      <c r="A917" s="13"/>
      <c r="B917" s="13"/>
      <c r="C917" s="13"/>
      <c r="H917" s="178"/>
      <c r="J917" s="42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spans="1:50" ht="12.45" x14ac:dyDescent="0.3">
      <c r="A918" s="13"/>
      <c r="B918" s="13"/>
      <c r="C918" s="13"/>
      <c r="H918" s="178"/>
      <c r="J918" s="42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spans="1:50" ht="12.45" x14ac:dyDescent="0.3">
      <c r="A919" s="13"/>
      <c r="B919" s="13"/>
      <c r="C919" s="13"/>
      <c r="H919" s="178"/>
      <c r="J919" s="42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spans="1:50" ht="12.45" x14ac:dyDescent="0.3">
      <c r="A920" s="13"/>
      <c r="B920" s="13"/>
      <c r="C920" s="13"/>
      <c r="H920" s="178"/>
      <c r="J920" s="42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spans="1:50" ht="12.45" x14ac:dyDescent="0.3">
      <c r="A921" s="13"/>
      <c r="B921" s="13"/>
      <c r="C921" s="13"/>
      <c r="H921" s="178"/>
      <c r="J921" s="42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spans="1:50" ht="12.45" x14ac:dyDescent="0.3">
      <c r="A922" s="13"/>
      <c r="B922" s="13"/>
      <c r="C922" s="13"/>
      <c r="H922" s="178"/>
      <c r="J922" s="42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spans="1:50" ht="12.45" x14ac:dyDescent="0.3">
      <c r="A923" s="13"/>
      <c r="B923" s="13"/>
      <c r="C923" s="13"/>
      <c r="H923" s="178"/>
      <c r="J923" s="42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spans="1:50" ht="12.45" x14ac:dyDescent="0.3">
      <c r="A924" s="13"/>
      <c r="B924" s="13"/>
      <c r="C924" s="13"/>
      <c r="H924" s="178"/>
      <c r="J924" s="42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spans="1:50" ht="12.45" x14ac:dyDescent="0.3">
      <c r="A925" s="13"/>
      <c r="B925" s="13"/>
      <c r="C925" s="13"/>
      <c r="H925" s="178"/>
      <c r="J925" s="42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spans="1:50" ht="12.45" x14ac:dyDescent="0.3">
      <c r="A926" s="13"/>
      <c r="B926" s="13"/>
      <c r="C926" s="13"/>
      <c r="H926" s="178"/>
      <c r="J926" s="42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spans="1:50" ht="12.45" x14ac:dyDescent="0.3">
      <c r="A927" s="13"/>
      <c r="B927" s="13"/>
      <c r="C927" s="13"/>
      <c r="H927" s="178"/>
      <c r="J927" s="42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spans="1:50" ht="12.45" x14ac:dyDescent="0.3">
      <c r="A928" s="13"/>
      <c r="B928" s="13"/>
      <c r="C928" s="13"/>
      <c r="H928" s="178"/>
      <c r="J928" s="42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spans="1:50" ht="12.45" x14ac:dyDescent="0.3">
      <c r="A929" s="13"/>
      <c r="B929" s="13"/>
      <c r="C929" s="13"/>
      <c r="H929" s="178"/>
      <c r="J929" s="42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spans="1:50" ht="12.45" x14ac:dyDescent="0.3">
      <c r="A930" s="13"/>
      <c r="B930" s="13"/>
      <c r="C930" s="13"/>
      <c r="H930" s="178"/>
      <c r="J930" s="42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spans="1:50" ht="12.45" x14ac:dyDescent="0.3">
      <c r="A931" s="13"/>
      <c r="B931" s="13"/>
      <c r="C931" s="13"/>
      <c r="H931" s="178"/>
      <c r="J931" s="42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spans="1:50" ht="12.45" x14ac:dyDescent="0.3">
      <c r="A932" s="13"/>
      <c r="B932" s="13"/>
      <c r="C932" s="13"/>
      <c r="H932" s="178"/>
      <c r="J932" s="42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spans="1:50" ht="12.45" x14ac:dyDescent="0.3">
      <c r="A933" s="13"/>
      <c r="B933" s="13"/>
      <c r="C933" s="13"/>
      <c r="H933" s="178"/>
      <c r="J933" s="42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spans="1:50" ht="12.45" x14ac:dyDescent="0.3">
      <c r="A934" s="13"/>
      <c r="B934" s="13"/>
      <c r="C934" s="13"/>
      <c r="H934" s="178"/>
      <c r="J934" s="42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spans="1:50" ht="12.45" x14ac:dyDescent="0.3">
      <c r="A935" s="13"/>
      <c r="B935" s="13"/>
      <c r="C935" s="13"/>
      <c r="H935" s="178"/>
      <c r="J935" s="42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spans="1:50" ht="12.45" x14ac:dyDescent="0.3">
      <c r="A936" s="13"/>
      <c r="B936" s="13"/>
      <c r="C936" s="13"/>
      <c r="H936" s="178"/>
      <c r="J936" s="42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spans="1:50" ht="12.45" x14ac:dyDescent="0.3">
      <c r="A937" s="13"/>
      <c r="B937" s="13"/>
      <c r="C937" s="13"/>
      <c r="H937" s="178"/>
      <c r="J937" s="42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spans="1:50" ht="12.45" x14ac:dyDescent="0.3">
      <c r="A938" s="13"/>
      <c r="B938" s="13"/>
      <c r="C938" s="13"/>
      <c r="H938" s="178"/>
      <c r="J938" s="42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spans="1:50" ht="12.45" x14ac:dyDescent="0.3">
      <c r="A939" s="13"/>
      <c r="B939" s="13"/>
      <c r="C939" s="13"/>
      <c r="H939" s="178"/>
      <c r="J939" s="42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spans="1:50" ht="12.45" x14ac:dyDescent="0.3">
      <c r="A940" s="13"/>
      <c r="B940" s="13"/>
      <c r="C940" s="13"/>
      <c r="H940" s="178"/>
      <c r="J940" s="42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spans="1:50" ht="12.45" x14ac:dyDescent="0.3">
      <c r="A941" s="13"/>
      <c r="B941" s="13"/>
      <c r="C941" s="13"/>
      <c r="H941" s="178"/>
      <c r="J941" s="42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spans="1:50" ht="12.45" x14ac:dyDescent="0.3">
      <c r="A942" s="13"/>
      <c r="B942" s="13"/>
      <c r="C942" s="13"/>
      <c r="H942" s="178"/>
      <c r="J942" s="42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spans="1:50" ht="12.45" x14ac:dyDescent="0.3">
      <c r="A943" s="13"/>
      <c r="B943" s="13"/>
      <c r="C943" s="13"/>
      <c r="H943" s="178"/>
      <c r="J943" s="42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spans="1:50" ht="12.45" x14ac:dyDescent="0.3">
      <c r="A944" s="13"/>
      <c r="B944" s="13"/>
      <c r="C944" s="13"/>
      <c r="H944" s="178"/>
      <c r="J944" s="42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spans="1:50" ht="12.45" x14ac:dyDescent="0.3">
      <c r="A945" s="13"/>
      <c r="B945" s="13"/>
      <c r="C945" s="13"/>
      <c r="H945" s="178"/>
      <c r="J945" s="42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spans="1:50" ht="12.45" x14ac:dyDescent="0.3">
      <c r="A946" s="13"/>
      <c r="B946" s="13"/>
      <c r="C946" s="13"/>
      <c r="H946" s="178"/>
      <c r="J946" s="42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spans="1:50" ht="12.45" x14ac:dyDescent="0.3">
      <c r="A947" s="13"/>
      <c r="B947" s="13"/>
      <c r="C947" s="13"/>
      <c r="H947" s="178"/>
      <c r="J947" s="42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spans="1:50" ht="12.45" x14ac:dyDescent="0.3">
      <c r="A948" s="13"/>
      <c r="B948" s="13"/>
      <c r="C948" s="13"/>
      <c r="H948" s="178"/>
      <c r="J948" s="42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spans="1:50" ht="12.45" x14ac:dyDescent="0.3">
      <c r="A949" s="13"/>
      <c r="B949" s="13"/>
      <c r="C949" s="13"/>
      <c r="H949" s="178"/>
      <c r="J949" s="42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spans="1:50" ht="12.45" x14ac:dyDescent="0.3">
      <c r="A950" s="13"/>
      <c r="B950" s="13"/>
      <c r="C950" s="13"/>
      <c r="H950" s="178"/>
      <c r="J950" s="42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spans="1:50" ht="12.45" x14ac:dyDescent="0.3">
      <c r="A951" s="13"/>
      <c r="B951" s="13"/>
      <c r="C951" s="13"/>
      <c r="H951" s="178"/>
      <c r="J951" s="42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spans="1:50" ht="12.45" x14ac:dyDescent="0.3">
      <c r="A952" s="13"/>
      <c r="B952" s="13"/>
      <c r="C952" s="13"/>
      <c r="H952" s="178"/>
      <c r="J952" s="42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spans="1:50" ht="12.45" x14ac:dyDescent="0.3">
      <c r="A953" s="13"/>
      <c r="B953" s="13"/>
      <c r="C953" s="13"/>
      <c r="H953" s="178"/>
      <c r="J953" s="42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spans="1:50" ht="12.45" x14ac:dyDescent="0.3">
      <c r="A954" s="13"/>
      <c r="B954" s="13"/>
      <c r="C954" s="13"/>
      <c r="H954" s="178"/>
      <c r="J954" s="42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spans="1:50" ht="12.45" x14ac:dyDescent="0.3">
      <c r="A955" s="13"/>
      <c r="B955" s="13"/>
      <c r="C955" s="13"/>
      <c r="H955" s="178"/>
      <c r="J955" s="42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spans="1:50" ht="12.45" x14ac:dyDescent="0.3">
      <c r="A956" s="13"/>
      <c r="B956" s="13"/>
      <c r="C956" s="13"/>
      <c r="H956" s="178"/>
      <c r="J956" s="42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spans="1:50" ht="12.45" x14ac:dyDescent="0.3">
      <c r="A957" s="13"/>
      <c r="B957" s="13"/>
      <c r="C957" s="13"/>
      <c r="H957" s="178"/>
      <c r="J957" s="42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spans="1:50" ht="12.45" x14ac:dyDescent="0.3">
      <c r="A958" s="13"/>
      <c r="B958" s="13"/>
      <c r="C958" s="13"/>
      <c r="H958" s="178"/>
      <c r="J958" s="42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spans="1:50" ht="12.45" x14ac:dyDescent="0.3">
      <c r="A959" s="13"/>
      <c r="B959" s="13"/>
      <c r="C959" s="13"/>
      <c r="H959" s="178"/>
      <c r="J959" s="42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spans="1:50" ht="12.45" x14ac:dyDescent="0.3">
      <c r="A960" s="13"/>
      <c r="B960" s="13"/>
      <c r="C960" s="13"/>
      <c r="H960" s="178"/>
      <c r="J960" s="42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spans="1:50" ht="12.45" x14ac:dyDescent="0.3">
      <c r="A961" s="13"/>
      <c r="B961" s="13"/>
      <c r="C961" s="13"/>
      <c r="H961" s="178"/>
      <c r="J961" s="42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spans="1:50" ht="12.45" x14ac:dyDescent="0.3">
      <c r="A962" s="13"/>
      <c r="B962" s="13"/>
      <c r="C962" s="13"/>
      <c r="H962" s="178"/>
      <c r="J962" s="42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spans="1:50" ht="12.45" x14ac:dyDescent="0.3">
      <c r="A963" s="13"/>
      <c r="B963" s="13"/>
      <c r="C963" s="13"/>
      <c r="H963" s="178"/>
      <c r="J963" s="42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spans="1:50" ht="12.45" x14ac:dyDescent="0.3">
      <c r="A964" s="13"/>
      <c r="B964" s="13"/>
      <c r="C964" s="13"/>
      <c r="H964" s="178"/>
      <c r="J964" s="42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spans="1:50" ht="12.45" x14ac:dyDescent="0.3">
      <c r="A965" s="13"/>
      <c r="B965" s="13"/>
      <c r="C965" s="13"/>
      <c r="H965" s="178"/>
      <c r="J965" s="42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spans="1:50" ht="12.45" x14ac:dyDescent="0.3">
      <c r="A966" s="13"/>
      <c r="B966" s="13"/>
      <c r="C966" s="13"/>
      <c r="H966" s="178"/>
      <c r="J966" s="42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spans="1:50" ht="12.45" x14ac:dyDescent="0.3">
      <c r="A967" s="13"/>
      <c r="B967" s="13"/>
      <c r="C967" s="13"/>
      <c r="H967" s="178"/>
      <c r="J967" s="42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spans="1:50" ht="12.45" x14ac:dyDescent="0.3">
      <c r="A968" s="13"/>
      <c r="B968" s="13"/>
      <c r="C968" s="13"/>
      <c r="H968" s="178"/>
      <c r="J968" s="42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spans="1:50" ht="12.45" x14ac:dyDescent="0.3">
      <c r="A969" s="13"/>
      <c r="B969" s="13"/>
      <c r="C969" s="13"/>
      <c r="H969" s="178"/>
      <c r="J969" s="42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spans="1:50" ht="12.45" x14ac:dyDescent="0.3">
      <c r="A970" s="13"/>
      <c r="B970" s="13"/>
      <c r="C970" s="13"/>
      <c r="H970" s="178"/>
      <c r="J970" s="42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spans="1:50" ht="12.45" x14ac:dyDescent="0.3">
      <c r="A971" s="13"/>
      <c r="B971" s="13"/>
      <c r="C971" s="13"/>
      <c r="H971" s="178"/>
      <c r="J971" s="42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spans="1:50" ht="12.45" x14ac:dyDescent="0.3">
      <c r="A972" s="13"/>
      <c r="B972" s="13"/>
      <c r="C972" s="13"/>
      <c r="H972" s="178"/>
      <c r="J972" s="42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spans="1:50" ht="12.45" x14ac:dyDescent="0.3">
      <c r="A973" s="13"/>
      <c r="B973" s="13"/>
      <c r="C973" s="13"/>
      <c r="H973" s="178"/>
      <c r="J973" s="42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spans="1:50" ht="12.45" x14ac:dyDescent="0.3">
      <c r="A974" s="13"/>
      <c r="B974" s="13"/>
      <c r="C974" s="13"/>
      <c r="H974" s="178"/>
      <c r="J974" s="42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spans="1:50" ht="12.45" x14ac:dyDescent="0.3">
      <c r="A975" s="13"/>
      <c r="B975" s="13"/>
      <c r="C975" s="13"/>
      <c r="H975" s="178"/>
      <c r="J975" s="42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spans="1:50" ht="12.45" x14ac:dyDescent="0.3">
      <c r="A976" s="13"/>
      <c r="B976" s="13"/>
      <c r="C976" s="13"/>
      <c r="H976" s="178"/>
      <c r="J976" s="42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spans="1:50" ht="12.45" x14ac:dyDescent="0.3">
      <c r="A977" s="13"/>
      <c r="B977" s="13"/>
      <c r="C977" s="13"/>
      <c r="H977" s="178"/>
      <c r="J977" s="42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spans="1:50" ht="12.45" x14ac:dyDescent="0.3">
      <c r="A978" s="13"/>
      <c r="B978" s="13"/>
      <c r="C978" s="13"/>
      <c r="H978" s="178"/>
      <c r="J978" s="42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spans="1:50" ht="12.45" x14ac:dyDescent="0.3">
      <c r="A979" s="13"/>
      <c r="B979" s="13"/>
      <c r="C979" s="13"/>
      <c r="H979" s="178"/>
      <c r="J979" s="42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spans="1:50" ht="12.45" x14ac:dyDescent="0.3">
      <c r="A980" s="13"/>
      <c r="B980" s="13"/>
      <c r="C980" s="13"/>
      <c r="H980" s="178"/>
      <c r="J980" s="42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spans="1:50" ht="12.45" x14ac:dyDescent="0.3">
      <c r="A981" s="13"/>
      <c r="B981" s="13"/>
      <c r="C981" s="13"/>
      <c r="H981" s="178"/>
      <c r="J981" s="42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spans="1:50" ht="12.45" x14ac:dyDescent="0.3">
      <c r="A982" s="13"/>
      <c r="B982" s="13"/>
      <c r="C982" s="13"/>
      <c r="H982" s="178"/>
      <c r="J982" s="42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spans="1:50" ht="12.45" x14ac:dyDescent="0.3">
      <c r="A983" s="13"/>
      <c r="B983" s="13"/>
      <c r="C983" s="13"/>
      <c r="H983" s="178"/>
      <c r="J983" s="42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spans="1:50" ht="12.45" x14ac:dyDescent="0.3">
      <c r="A984" s="13"/>
      <c r="B984" s="13"/>
      <c r="C984" s="13"/>
      <c r="H984" s="178"/>
      <c r="J984" s="42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spans="1:50" ht="12.45" x14ac:dyDescent="0.3">
      <c r="A985" s="13"/>
      <c r="B985" s="13"/>
      <c r="C985" s="13"/>
      <c r="H985" s="178"/>
      <c r="J985" s="42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spans="1:50" ht="12.45" x14ac:dyDescent="0.3">
      <c r="A986" s="13"/>
      <c r="B986" s="13"/>
      <c r="C986" s="13"/>
      <c r="H986" s="178"/>
      <c r="J986" s="42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spans="1:50" ht="12.45" x14ac:dyDescent="0.3">
      <c r="A987" s="13"/>
      <c r="B987" s="13"/>
      <c r="C987" s="13"/>
      <c r="H987" s="178"/>
      <c r="J987" s="42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spans="1:50" ht="12.45" x14ac:dyDescent="0.3">
      <c r="A988" s="13"/>
      <c r="B988" s="13"/>
      <c r="C988" s="13"/>
      <c r="H988" s="178"/>
      <c r="J988" s="42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spans="1:50" ht="12.45" x14ac:dyDescent="0.3">
      <c r="A989" s="13"/>
      <c r="B989" s="13"/>
      <c r="C989" s="13"/>
      <c r="H989" s="178"/>
      <c r="J989" s="42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spans="1:50" ht="12.45" x14ac:dyDescent="0.3">
      <c r="A990" s="13"/>
      <c r="B990" s="13"/>
      <c r="C990" s="13"/>
      <c r="H990" s="178"/>
      <c r="J990" s="42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spans="1:50" ht="12.45" x14ac:dyDescent="0.3">
      <c r="A991" s="13"/>
      <c r="B991" s="13"/>
      <c r="C991" s="13"/>
      <c r="H991" s="178"/>
      <c r="J991" s="42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spans="1:50" ht="12.45" x14ac:dyDescent="0.3">
      <c r="A992" s="13"/>
      <c r="B992" s="13"/>
      <c r="C992" s="13"/>
      <c r="H992" s="178"/>
      <c r="J992" s="42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spans="1:50" ht="12.45" x14ac:dyDescent="0.3">
      <c r="A993" s="13"/>
      <c r="B993" s="13"/>
      <c r="C993" s="13"/>
      <c r="H993" s="178"/>
      <c r="J993" s="42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spans="1:50" ht="12.45" x14ac:dyDescent="0.3">
      <c r="A994" s="13"/>
      <c r="B994" s="13"/>
      <c r="C994" s="13"/>
      <c r="H994" s="178"/>
      <c r="J994" s="42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spans="1:50" ht="12.45" x14ac:dyDescent="0.3">
      <c r="A995" s="13"/>
      <c r="B995" s="13"/>
      <c r="C995" s="13"/>
      <c r="H995" s="178"/>
      <c r="J995" s="42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spans="1:50" ht="12.45" x14ac:dyDescent="0.3">
      <c r="A996" s="13"/>
      <c r="B996" s="13"/>
      <c r="C996" s="13"/>
      <c r="H996" s="178"/>
      <c r="J996" s="42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spans="1:50" ht="12.45" x14ac:dyDescent="0.3">
      <c r="A997" s="13"/>
      <c r="B997" s="13"/>
      <c r="C997" s="13"/>
      <c r="H997" s="178"/>
      <c r="J997" s="42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spans="1:50" ht="12.45" x14ac:dyDescent="0.3">
      <c r="A998" s="13"/>
      <c r="B998" s="13"/>
      <c r="C998" s="13"/>
      <c r="H998" s="178"/>
      <c r="J998" s="42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spans="1:50" ht="12.45" x14ac:dyDescent="0.3">
      <c r="A999" s="13"/>
      <c r="B999" s="13"/>
      <c r="C999" s="13"/>
      <c r="H999" s="178"/>
      <c r="J999" s="42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spans="1:50" ht="12.45" x14ac:dyDescent="0.3">
      <c r="A1000" s="13"/>
      <c r="B1000" s="13"/>
      <c r="C1000" s="13"/>
      <c r="H1000" s="178"/>
      <c r="J1000" s="42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  <row r="1001" spans="1:50" ht="12.45" x14ac:dyDescent="0.3">
      <c r="A1001" s="13"/>
      <c r="B1001" s="13"/>
      <c r="C1001" s="13"/>
      <c r="H1001" s="178"/>
      <c r="J1001" s="42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</row>
    <row r="1002" spans="1:50" ht="12.45" x14ac:dyDescent="0.3">
      <c r="A1002" s="13"/>
      <c r="B1002" s="13"/>
      <c r="C1002" s="13"/>
      <c r="H1002" s="178"/>
      <c r="J1002" s="42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</row>
    <row r="1003" spans="1:50" ht="12.45" x14ac:dyDescent="0.3">
      <c r="A1003" s="13"/>
      <c r="B1003" s="13"/>
      <c r="C1003" s="13"/>
      <c r="H1003" s="178"/>
      <c r="J1003" s="42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</row>
    <row r="1004" spans="1:50" ht="12.45" x14ac:dyDescent="0.3">
      <c r="A1004" s="13"/>
      <c r="B1004" s="13"/>
      <c r="C1004" s="13"/>
      <c r="H1004" s="178"/>
      <c r="J1004" s="42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</row>
    <row r="1005" spans="1:50" ht="12.45" x14ac:dyDescent="0.3">
      <c r="A1005" s="13"/>
      <c r="B1005" s="13"/>
      <c r="C1005" s="13"/>
      <c r="H1005" s="178"/>
      <c r="J1005" s="42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</row>
    <row r="1006" spans="1:50" ht="12.45" x14ac:dyDescent="0.3">
      <c r="A1006" s="13"/>
      <c r="B1006" s="13"/>
      <c r="C1006" s="13"/>
      <c r="H1006" s="178"/>
      <c r="J1006" s="42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</row>
    <row r="1007" spans="1:50" ht="12.45" x14ac:dyDescent="0.3">
      <c r="A1007" s="13"/>
      <c r="B1007" s="13"/>
      <c r="C1007" s="13"/>
      <c r="H1007" s="178"/>
      <c r="J1007" s="42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</row>
    <row r="1008" spans="1:50" ht="12.45" x14ac:dyDescent="0.3">
      <c r="A1008" s="13"/>
      <c r="B1008" s="13"/>
      <c r="C1008" s="13"/>
      <c r="H1008" s="178"/>
      <c r="J1008" s="42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</row>
    <row r="1009" spans="1:50" ht="12.45" x14ac:dyDescent="0.3">
      <c r="A1009" s="13"/>
      <c r="B1009" s="13"/>
      <c r="C1009" s="13"/>
      <c r="H1009" s="178"/>
      <c r="J1009" s="42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</row>
    <row r="1010" spans="1:50" ht="12.45" x14ac:dyDescent="0.3">
      <c r="A1010" s="13"/>
      <c r="B1010" s="13"/>
      <c r="C1010" s="13"/>
      <c r="H1010" s="178"/>
      <c r="J1010" s="42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</row>
    <row r="1011" spans="1:50" ht="12.45" x14ac:dyDescent="0.3">
      <c r="A1011" s="13"/>
      <c r="B1011" s="13"/>
      <c r="C1011" s="13"/>
      <c r="H1011" s="178"/>
      <c r="J1011" s="42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</row>
    <row r="1012" spans="1:50" ht="12.45" x14ac:dyDescent="0.3">
      <c r="A1012" s="13"/>
      <c r="B1012" s="13"/>
      <c r="C1012" s="13"/>
      <c r="H1012" s="178"/>
      <c r="J1012" s="42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</row>
    <row r="1013" spans="1:50" ht="12.45" x14ac:dyDescent="0.3">
      <c r="A1013" s="13"/>
      <c r="B1013" s="13"/>
      <c r="C1013" s="13"/>
      <c r="H1013" s="178"/>
      <c r="J1013" s="42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</row>
    <row r="1014" spans="1:50" ht="12.45" x14ac:dyDescent="0.3">
      <c r="A1014" s="13"/>
      <c r="B1014" s="13"/>
      <c r="C1014" s="13"/>
      <c r="H1014" s="178"/>
      <c r="J1014" s="42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</row>
    <row r="1015" spans="1:50" ht="12.45" x14ac:dyDescent="0.3">
      <c r="A1015" s="13"/>
      <c r="B1015" s="13"/>
      <c r="C1015" s="13"/>
      <c r="H1015" s="178"/>
      <c r="J1015" s="42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</row>
    <row r="1016" spans="1:50" ht="12.45" x14ac:dyDescent="0.3">
      <c r="A1016" s="13"/>
      <c r="B1016" s="13"/>
      <c r="C1016" s="13"/>
      <c r="H1016" s="178"/>
      <c r="J1016" s="42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</row>
    <row r="1017" spans="1:50" ht="12.45" x14ac:dyDescent="0.3">
      <c r="A1017" s="13"/>
      <c r="B1017" s="13"/>
      <c r="C1017" s="13"/>
      <c r="H1017" s="178"/>
      <c r="J1017" s="42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</row>
    <row r="1018" spans="1:50" ht="12.45" x14ac:dyDescent="0.3">
      <c r="A1018" s="13"/>
      <c r="B1018" s="13"/>
      <c r="C1018" s="13"/>
      <c r="H1018" s="178"/>
      <c r="J1018" s="42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</row>
    <row r="1019" spans="1:50" ht="12.45" x14ac:dyDescent="0.3">
      <c r="A1019" s="13"/>
      <c r="B1019" s="13"/>
      <c r="C1019" s="13"/>
      <c r="H1019" s="178"/>
      <c r="J1019" s="42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</row>
    <row r="1020" spans="1:50" ht="12.45" x14ac:dyDescent="0.3">
      <c r="A1020" s="13"/>
      <c r="B1020" s="13"/>
      <c r="C1020" s="13"/>
      <c r="H1020" s="178"/>
      <c r="J1020" s="42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</row>
    <row r="1021" spans="1:50" ht="12.45" x14ac:dyDescent="0.3">
      <c r="A1021" s="13"/>
      <c r="B1021" s="13"/>
      <c r="C1021" s="13"/>
      <c r="H1021" s="178"/>
      <c r="J1021" s="42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</row>
    <row r="1022" spans="1:50" ht="12.45" x14ac:dyDescent="0.3">
      <c r="A1022" s="13"/>
      <c r="B1022" s="13"/>
      <c r="C1022" s="13"/>
      <c r="H1022" s="178"/>
      <c r="J1022" s="42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</row>
    <row r="1023" spans="1:50" ht="12.45" x14ac:dyDescent="0.3">
      <c r="A1023" s="13"/>
      <c r="B1023" s="13"/>
      <c r="C1023" s="13"/>
      <c r="H1023" s="178"/>
      <c r="J1023" s="42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</row>
    <row r="1024" spans="1:50" ht="12.45" x14ac:dyDescent="0.3">
      <c r="A1024" s="13"/>
      <c r="B1024" s="13"/>
      <c r="C1024" s="13"/>
      <c r="H1024" s="178"/>
      <c r="J1024" s="42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</row>
    <row r="1025" spans="1:50" ht="12.45" x14ac:dyDescent="0.3">
      <c r="A1025" s="13"/>
      <c r="B1025" s="13"/>
      <c r="C1025" s="13"/>
      <c r="H1025" s="178"/>
      <c r="J1025" s="42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</row>
    <row r="1026" spans="1:50" ht="12.45" x14ac:dyDescent="0.3">
      <c r="A1026" s="13"/>
      <c r="B1026" s="13"/>
      <c r="C1026" s="13"/>
      <c r="H1026" s="178"/>
      <c r="J1026" s="42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</row>
    <row r="1027" spans="1:50" ht="12.45" x14ac:dyDescent="0.3">
      <c r="A1027" s="13"/>
      <c r="B1027" s="13"/>
      <c r="C1027" s="13"/>
      <c r="H1027" s="178"/>
      <c r="J1027" s="42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</row>
    <row r="1028" spans="1:50" ht="12.45" x14ac:dyDescent="0.3">
      <c r="A1028" s="13"/>
      <c r="B1028" s="13"/>
      <c r="C1028" s="13"/>
      <c r="H1028" s="178"/>
      <c r="J1028" s="42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</row>
    <row r="1029" spans="1:50" ht="12.45" x14ac:dyDescent="0.3">
      <c r="A1029" s="13"/>
      <c r="B1029" s="13"/>
      <c r="C1029" s="13"/>
      <c r="H1029" s="178"/>
      <c r="J1029" s="42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</row>
    <row r="1030" spans="1:50" ht="12.45" x14ac:dyDescent="0.3">
      <c r="A1030" s="13"/>
      <c r="B1030" s="13"/>
      <c r="C1030" s="13"/>
      <c r="H1030" s="178"/>
      <c r="J1030" s="42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</row>
    <row r="1031" spans="1:50" ht="12.45" x14ac:dyDescent="0.3">
      <c r="A1031" s="13"/>
      <c r="B1031" s="13"/>
      <c r="C1031" s="13"/>
      <c r="H1031" s="178"/>
      <c r="J1031" s="42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</row>
    <row r="1032" spans="1:50" ht="12.45" x14ac:dyDescent="0.3">
      <c r="A1032" s="13"/>
      <c r="B1032" s="13"/>
      <c r="C1032" s="13"/>
      <c r="H1032" s="178"/>
      <c r="J1032" s="42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</row>
    <row r="1033" spans="1:50" ht="12.45" x14ac:dyDescent="0.3">
      <c r="A1033" s="13"/>
      <c r="B1033" s="13"/>
      <c r="C1033" s="13"/>
      <c r="H1033" s="178"/>
      <c r="J1033" s="42"/>
    </row>
    <row r="1034" spans="1:50" ht="12.45" x14ac:dyDescent="0.3">
      <c r="A1034" s="13"/>
      <c r="B1034" s="13"/>
      <c r="C1034" s="13"/>
      <c r="H1034" s="178"/>
      <c r="J1034" s="42"/>
    </row>
    <row r="1035" spans="1:50" ht="12.45" x14ac:dyDescent="0.3">
      <c r="A1035" s="13"/>
      <c r="B1035" s="13"/>
      <c r="C1035" s="13"/>
      <c r="H1035" s="178"/>
      <c r="J1035" s="42"/>
    </row>
    <row r="1036" spans="1:50" ht="12.45" x14ac:dyDescent="0.3">
      <c r="A1036" s="13"/>
      <c r="B1036" s="13"/>
      <c r="C1036" s="13"/>
      <c r="H1036" s="178"/>
      <c r="J1036" s="42"/>
    </row>
    <row r="1037" spans="1:50" ht="12.45" x14ac:dyDescent="0.3">
      <c r="A1037" s="13"/>
      <c r="B1037" s="13"/>
      <c r="C1037" s="13"/>
      <c r="H1037" s="178"/>
      <c r="J1037" s="42"/>
    </row>
    <row r="1038" spans="1:50" ht="12.45" x14ac:dyDescent="0.3">
      <c r="A1038" s="13"/>
      <c r="B1038" s="13"/>
      <c r="C1038" s="13"/>
      <c r="H1038" s="178"/>
      <c r="J1038" s="42"/>
    </row>
    <row r="1039" spans="1:50" ht="12.45" x14ac:dyDescent="0.3">
      <c r="A1039" s="13"/>
      <c r="B1039" s="13"/>
      <c r="C1039" s="13"/>
      <c r="H1039" s="178"/>
      <c r="J1039" s="42"/>
    </row>
    <row r="1040" spans="1:50" ht="12.45" x14ac:dyDescent="0.3">
      <c r="A1040" s="13"/>
      <c r="B1040" s="13"/>
      <c r="C1040" s="13"/>
      <c r="H1040" s="178"/>
      <c r="J1040" s="42"/>
    </row>
    <row r="1041" spans="1:10" ht="12.45" x14ac:dyDescent="0.3">
      <c r="A1041" s="13"/>
      <c r="B1041" s="13"/>
      <c r="C1041" s="13"/>
      <c r="H1041" s="178"/>
      <c r="J1041" s="42"/>
    </row>
    <row r="1042" spans="1:10" ht="12.45" x14ac:dyDescent="0.3">
      <c r="A1042" s="13"/>
      <c r="B1042" s="13"/>
      <c r="C1042" s="13"/>
      <c r="H1042" s="178"/>
      <c r="J1042" s="42"/>
    </row>
    <row r="1043" spans="1:10" ht="12.45" x14ac:dyDescent="0.3">
      <c r="A1043" s="13"/>
      <c r="B1043" s="13"/>
      <c r="C1043" s="13"/>
      <c r="H1043" s="178"/>
      <c r="J1043" s="42"/>
    </row>
    <row r="1044" spans="1:10" ht="12.45" x14ac:dyDescent="0.3">
      <c r="A1044" s="13"/>
      <c r="B1044" s="13"/>
      <c r="C1044" s="13"/>
      <c r="H1044" s="178"/>
      <c r="J1044" s="42"/>
    </row>
    <row r="1045" spans="1:10" ht="12.45" x14ac:dyDescent="0.3">
      <c r="A1045" s="13"/>
      <c r="B1045" s="13"/>
      <c r="C1045" s="13"/>
      <c r="H1045" s="178"/>
      <c r="J1045" s="42"/>
    </row>
    <row r="1046" spans="1:10" ht="12.45" x14ac:dyDescent="0.3">
      <c r="A1046" s="13"/>
      <c r="B1046" s="13"/>
      <c r="C1046" s="13"/>
      <c r="H1046" s="178"/>
      <c r="J1046" s="42"/>
    </row>
  </sheetData>
  <mergeCells count="1">
    <mergeCell ref="D72:I7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O1094"/>
  <sheetViews>
    <sheetView showGridLines="0" zoomScale="80" zoomScaleNormal="80" workbookViewId="0">
      <pane xSplit="9" ySplit="8" topLeftCell="J70" activePane="bottomRight" state="frozen"/>
      <selection activeCell="G28" sqref="G28"/>
      <selection pane="topRight" activeCell="G28" sqref="G28"/>
      <selection pane="bottomLeft" activeCell="G28" sqref="G28"/>
      <selection pane="bottomRight" activeCell="F85" sqref="F85"/>
    </sheetView>
  </sheetViews>
  <sheetFormatPr defaultColWidth="0" defaultRowHeight="15" customHeight="1" outlineLevelRow="2" x14ac:dyDescent="0.3"/>
  <cols>
    <col min="1" max="3" width="1.07421875" customWidth="1"/>
    <col min="4" max="4" width="57.765625" customWidth="1"/>
    <col min="5" max="5" width="9.765625" customWidth="1"/>
    <col min="6" max="6" width="25.53515625" customWidth="1"/>
    <col min="7" max="7" width="18" customWidth="1"/>
    <col min="8" max="8" width="28" customWidth="1"/>
    <col min="9" max="9" width="16.4609375" customWidth="1"/>
    <col min="10" max="10" width="1" customWidth="1"/>
    <col min="11" max="13" width="14" customWidth="1"/>
    <col min="14" max="14" width="14.69140625" customWidth="1"/>
    <col min="15" max="29" width="15.07421875" customWidth="1"/>
    <col min="30" max="46" width="14.69140625" customWidth="1"/>
    <col min="47" max="67" width="0" hidden="1" customWidth="1"/>
    <col min="68" max="16384" width="14.4609375" hidden="1"/>
  </cols>
  <sheetData>
    <row r="1" spans="1:67" ht="15.75" customHeight="1" x14ac:dyDescent="0.3">
      <c r="A1" s="14"/>
      <c r="B1" s="14"/>
      <c r="C1" s="14"/>
      <c r="D1" s="1" t="s">
        <v>296</v>
      </c>
      <c r="E1" s="4"/>
      <c r="F1" s="74"/>
      <c r="G1" s="4"/>
      <c r="H1" s="4"/>
      <c r="I1" s="2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</row>
    <row r="2" spans="1:67" ht="15.75" customHeight="1" x14ac:dyDescent="0.3">
      <c r="A2" s="13"/>
      <c r="B2" s="13"/>
      <c r="C2" s="13"/>
      <c r="D2" s="16"/>
      <c r="E2" s="17"/>
      <c r="F2" s="16"/>
      <c r="G2" s="16"/>
      <c r="H2" s="17"/>
      <c r="I2" s="16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67" ht="18" customHeight="1" x14ac:dyDescent="0.3">
      <c r="A3" s="19"/>
      <c r="B3" s="20"/>
      <c r="C3" s="20"/>
      <c r="D3" s="21" t="s">
        <v>11</v>
      </c>
      <c r="E3" s="22"/>
      <c r="F3" s="22"/>
      <c r="G3" s="22"/>
      <c r="H3" s="22"/>
      <c r="I3" s="22"/>
      <c r="J3" s="8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</row>
    <row r="4" spans="1:67" s="226" customFormat="1" ht="15.75" customHeight="1" thickBot="1" x14ac:dyDescent="0.35">
      <c r="A4" s="222"/>
      <c r="B4" s="222"/>
      <c r="C4" s="222"/>
      <c r="D4" s="345"/>
      <c r="E4" s="346" t="s">
        <v>12</v>
      </c>
      <c r="F4" s="346" t="s">
        <v>13</v>
      </c>
      <c r="G4" s="346" t="s">
        <v>14</v>
      </c>
      <c r="H4" s="346" t="s">
        <v>15</v>
      </c>
      <c r="I4" s="346" t="s">
        <v>16</v>
      </c>
      <c r="J4" s="27"/>
      <c r="K4" s="349">
        <f t="shared" ref="K4:AT4" si="0" xml:space="preserve"> YEAR(K5)</f>
        <v>2029</v>
      </c>
      <c r="L4" s="349">
        <f t="shared" si="0"/>
        <v>2029</v>
      </c>
      <c r="M4" s="349">
        <f t="shared" si="0"/>
        <v>2029</v>
      </c>
      <c r="N4" s="349">
        <f t="shared" si="0"/>
        <v>2029</v>
      </c>
      <c r="O4" s="349">
        <f t="shared" si="0"/>
        <v>2029</v>
      </c>
      <c r="P4" s="349">
        <f t="shared" si="0"/>
        <v>2029</v>
      </c>
      <c r="Q4" s="349">
        <f t="shared" si="0"/>
        <v>2029</v>
      </c>
      <c r="R4" s="349">
        <f t="shared" si="0"/>
        <v>2029</v>
      </c>
      <c r="S4" s="349">
        <f t="shared" si="0"/>
        <v>2029</v>
      </c>
      <c r="T4" s="349">
        <f t="shared" si="0"/>
        <v>2029</v>
      </c>
      <c r="U4" s="349">
        <f t="shared" si="0"/>
        <v>2029</v>
      </c>
      <c r="V4" s="349">
        <f t="shared" si="0"/>
        <v>2029</v>
      </c>
      <c r="W4" s="349">
        <f t="shared" si="0"/>
        <v>2030</v>
      </c>
      <c r="X4" s="349">
        <f t="shared" si="0"/>
        <v>2030</v>
      </c>
      <c r="Y4" s="349">
        <f t="shared" si="0"/>
        <v>2030</v>
      </c>
      <c r="Z4" s="349">
        <f t="shared" si="0"/>
        <v>2030</v>
      </c>
      <c r="AA4" s="349">
        <f t="shared" si="0"/>
        <v>2030</v>
      </c>
      <c r="AB4" s="349">
        <f t="shared" si="0"/>
        <v>2030</v>
      </c>
      <c r="AC4" s="349">
        <f t="shared" si="0"/>
        <v>2030</v>
      </c>
      <c r="AD4" s="349">
        <f t="shared" si="0"/>
        <v>2030</v>
      </c>
      <c r="AE4" s="349">
        <f t="shared" si="0"/>
        <v>2030</v>
      </c>
      <c r="AF4" s="349">
        <f t="shared" si="0"/>
        <v>2030</v>
      </c>
      <c r="AG4" s="349">
        <f t="shared" si="0"/>
        <v>2030</v>
      </c>
      <c r="AH4" s="349">
        <f t="shared" si="0"/>
        <v>2030</v>
      </c>
      <c r="AI4" s="349">
        <f t="shared" si="0"/>
        <v>2031</v>
      </c>
      <c r="AJ4" s="349">
        <f t="shared" si="0"/>
        <v>2031</v>
      </c>
      <c r="AK4" s="349">
        <f t="shared" si="0"/>
        <v>2031</v>
      </c>
      <c r="AL4" s="349">
        <f t="shared" si="0"/>
        <v>2031</v>
      </c>
      <c r="AM4" s="349">
        <f t="shared" si="0"/>
        <v>2031</v>
      </c>
      <c r="AN4" s="349">
        <f t="shared" si="0"/>
        <v>2031</v>
      </c>
      <c r="AO4" s="349">
        <f t="shared" si="0"/>
        <v>2031</v>
      </c>
      <c r="AP4" s="349">
        <f t="shared" si="0"/>
        <v>2031</v>
      </c>
      <c r="AQ4" s="349">
        <f t="shared" si="0"/>
        <v>2031</v>
      </c>
      <c r="AR4" s="349">
        <f t="shared" si="0"/>
        <v>2031</v>
      </c>
      <c r="AS4" s="349">
        <f t="shared" si="0"/>
        <v>2031</v>
      </c>
      <c r="AT4" s="349">
        <f t="shared" si="0"/>
        <v>2031</v>
      </c>
      <c r="AU4" s="349"/>
      <c r="AV4" s="460"/>
      <c r="AW4" s="460"/>
      <c r="AX4" s="460"/>
    </row>
    <row r="5" spans="1:67" ht="15.75" customHeight="1" x14ac:dyDescent="0.3">
      <c r="A5" s="13"/>
      <c r="B5" s="13"/>
      <c r="C5" s="13"/>
      <c r="D5" s="9" t="s">
        <v>17</v>
      </c>
      <c r="E5" s="8" t="s">
        <v>18</v>
      </c>
      <c r="F5" s="8"/>
      <c r="G5" s="30"/>
      <c r="H5" s="8"/>
      <c r="I5" s="32"/>
      <c r="J5" s="31"/>
      <c r="K5" s="323">
        <f xml:space="preserve"> I6 + 1</f>
        <v>47119</v>
      </c>
      <c r="L5" s="323">
        <f t="shared" ref="L5:AT5" si="1" xml:space="preserve"> K6 + 1</f>
        <v>47150</v>
      </c>
      <c r="M5" s="323">
        <f t="shared" si="1"/>
        <v>47178</v>
      </c>
      <c r="N5" s="323">
        <f t="shared" si="1"/>
        <v>47209</v>
      </c>
      <c r="O5" s="323">
        <f t="shared" si="1"/>
        <v>47239</v>
      </c>
      <c r="P5" s="323">
        <f t="shared" si="1"/>
        <v>47270</v>
      </c>
      <c r="Q5" s="323">
        <f t="shared" si="1"/>
        <v>47300</v>
      </c>
      <c r="R5" s="323">
        <f t="shared" si="1"/>
        <v>47331</v>
      </c>
      <c r="S5" s="323">
        <f t="shared" si="1"/>
        <v>47362</v>
      </c>
      <c r="T5" s="323">
        <f t="shared" si="1"/>
        <v>47392</v>
      </c>
      <c r="U5" s="323">
        <f t="shared" si="1"/>
        <v>47423</v>
      </c>
      <c r="V5" s="323">
        <f t="shared" si="1"/>
        <v>47453</v>
      </c>
      <c r="W5" s="323">
        <f t="shared" si="1"/>
        <v>47484</v>
      </c>
      <c r="X5" s="323">
        <f t="shared" si="1"/>
        <v>47515</v>
      </c>
      <c r="Y5" s="323">
        <f t="shared" si="1"/>
        <v>47543</v>
      </c>
      <c r="Z5" s="323">
        <f t="shared" si="1"/>
        <v>47574</v>
      </c>
      <c r="AA5" s="323">
        <f t="shared" si="1"/>
        <v>47604</v>
      </c>
      <c r="AB5" s="323">
        <f t="shared" si="1"/>
        <v>47635</v>
      </c>
      <c r="AC5" s="323">
        <f t="shared" si="1"/>
        <v>47665</v>
      </c>
      <c r="AD5" s="323">
        <f t="shared" si="1"/>
        <v>47696</v>
      </c>
      <c r="AE5" s="323">
        <f t="shared" si="1"/>
        <v>47727</v>
      </c>
      <c r="AF5" s="323">
        <f t="shared" si="1"/>
        <v>47757</v>
      </c>
      <c r="AG5" s="323">
        <f t="shared" si="1"/>
        <v>47788</v>
      </c>
      <c r="AH5" s="323">
        <f t="shared" si="1"/>
        <v>47818</v>
      </c>
      <c r="AI5" s="323">
        <f t="shared" si="1"/>
        <v>47849</v>
      </c>
      <c r="AJ5" s="323">
        <f t="shared" si="1"/>
        <v>47880</v>
      </c>
      <c r="AK5" s="323">
        <f t="shared" si="1"/>
        <v>47908</v>
      </c>
      <c r="AL5" s="323">
        <f t="shared" si="1"/>
        <v>47939</v>
      </c>
      <c r="AM5" s="323">
        <f t="shared" si="1"/>
        <v>47969</v>
      </c>
      <c r="AN5" s="323">
        <f t="shared" si="1"/>
        <v>48000</v>
      </c>
      <c r="AO5" s="323">
        <f t="shared" si="1"/>
        <v>48030</v>
      </c>
      <c r="AP5" s="323">
        <f t="shared" si="1"/>
        <v>48061</v>
      </c>
      <c r="AQ5" s="323">
        <f t="shared" si="1"/>
        <v>48092</v>
      </c>
      <c r="AR5" s="323">
        <f t="shared" si="1"/>
        <v>48122</v>
      </c>
      <c r="AS5" s="323">
        <f t="shared" si="1"/>
        <v>48153</v>
      </c>
      <c r="AT5" s="323">
        <f t="shared" si="1"/>
        <v>48183</v>
      </c>
      <c r="AU5" s="32"/>
      <c r="AV5" s="8"/>
      <c r="AW5" s="8"/>
      <c r="AX5" s="8"/>
    </row>
    <row r="6" spans="1:67" ht="15.75" customHeight="1" x14ac:dyDescent="0.3">
      <c r="A6" s="13"/>
      <c r="B6" s="13"/>
      <c r="C6" s="13"/>
      <c r="D6" s="9" t="s">
        <v>20</v>
      </c>
      <c r="E6" s="8" t="s">
        <v>18</v>
      </c>
      <c r="F6" s="8"/>
      <c r="G6" s="30"/>
      <c r="H6" s="8"/>
      <c r="I6" s="93">
        <f xml:space="preserve"> 'Assumptions and inputs'!I8</f>
        <v>47118</v>
      </c>
      <c r="J6" s="33"/>
      <c r="K6" s="323">
        <f t="shared" ref="K6:AT6" si="2" xml:space="preserve"> EOMONTH(K5, 0)</f>
        <v>47149</v>
      </c>
      <c r="L6" s="323">
        <f t="shared" si="2"/>
        <v>47177</v>
      </c>
      <c r="M6" s="323">
        <f t="shared" si="2"/>
        <v>47208</v>
      </c>
      <c r="N6" s="323">
        <f t="shared" si="2"/>
        <v>47238</v>
      </c>
      <c r="O6" s="323">
        <f t="shared" si="2"/>
        <v>47269</v>
      </c>
      <c r="P6" s="323">
        <f t="shared" si="2"/>
        <v>47299</v>
      </c>
      <c r="Q6" s="323">
        <f t="shared" si="2"/>
        <v>47330</v>
      </c>
      <c r="R6" s="323">
        <f t="shared" si="2"/>
        <v>47361</v>
      </c>
      <c r="S6" s="323">
        <f t="shared" si="2"/>
        <v>47391</v>
      </c>
      <c r="T6" s="323">
        <f t="shared" si="2"/>
        <v>47422</v>
      </c>
      <c r="U6" s="323">
        <f t="shared" si="2"/>
        <v>47452</v>
      </c>
      <c r="V6" s="323">
        <f t="shared" si="2"/>
        <v>47483</v>
      </c>
      <c r="W6" s="323">
        <f t="shared" si="2"/>
        <v>47514</v>
      </c>
      <c r="X6" s="323">
        <f t="shared" si="2"/>
        <v>47542</v>
      </c>
      <c r="Y6" s="323">
        <f t="shared" si="2"/>
        <v>47573</v>
      </c>
      <c r="Z6" s="323">
        <f t="shared" si="2"/>
        <v>47603</v>
      </c>
      <c r="AA6" s="323">
        <f t="shared" si="2"/>
        <v>47634</v>
      </c>
      <c r="AB6" s="323">
        <f t="shared" si="2"/>
        <v>47664</v>
      </c>
      <c r="AC6" s="323">
        <f t="shared" si="2"/>
        <v>47695</v>
      </c>
      <c r="AD6" s="323">
        <f t="shared" si="2"/>
        <v>47726</v>
      </c>
      <c r="AE6" s="323">
        <f t="shared" si="2"/>
        <v>47756</v>
      </c>
      <c r="AF6" s="323">
        <f t="shared" si="2"/>
        <v>47787</v>
      </c>
      <c r="AG6" s="323">
        <f t="shared" si="2"/>
        <v>47817</v>
      </c>
      <c r="AH6" s="323">
        <f t="shared" si="2"/>
        <v>47848</v>
      </c>
      <c r="AI6" s="323">
        <f t="shared" si="2"/>
        <v>47879</v>
      </c>
      <c r="AJ6" s="323">
        <f t="shared" si="2"/>
        <v>47907</v>
      </c>
      <c r="AK6" s="323">
        <f t="shared" si="2"/>
        <v>47938</v>
      </c>
      <c r="AL6" s="323">
        <f t="shared" si="2"/>
        <v>47968</v>
      </c>
      <c r="AM6" s="323">
        <f t="shared" si="2"/>
        <v>47999</v>
      </c>
      <c r="AN6" s="323">
        <f t="shared" si="2"/>
        <v>48029</v>
      </c>
      <c r="AO6" s="323">
        <f t="shared" si="2"/>
        <v>48060</v>
      </c>
      <c r="AP6" s="323">
        <f t="shared" si="2"/>
        <v>48091</v>
      </c>
      <c r="AQ6" s="323">
        <f t="shared" si="2"/>
        <v>48121</v>
      </c>
      <c r="AR6" s="323">
        <f t="shared" si="2"/>
        <v>48152</v>
      </c>
      <c r="AS6" s="323">
        <f t="shared" si="2"/>
        <v>48182</v>
      </c>
      <c r="AT6" s="323">
        <f t="shared" si="2"/>
        <v>48213</v>
      </c>
      <c r="AU6" s="32"/>
      <c r="AV6" s="8"/>
      <c r="AW6" s="8"/>
      <c r="AX6" s="8"/>
    </row>
    <row r="7" spans="1:67" ht="15.75" customHeight="1" x14ac:dyDescent="0.3">
      <c r="A7" s="13"/>
      <c r="B7" s="13"/>
      <c r="C7" s="13"/>
      <c r="D7" s="9" t="s">
        <v>21</v>
      </c>
      <c r="E7" s="8"/>
      <c r="F7" s="8"/>
      <c r="G7" s="30"/>
      <c r="H7" s="8"/>
      <c r="I7" s="8">
        <v>0</v>
      </c>
      <c r="J7" s="34"/>
      <c r="K7" s="337">
        <f xml:space="preserve"> I7 + 1</f>
        <v>1</v>
      </c>
      <c r="L7" s="337">
        <f t="shared" ref="L7:AT7" si="3" xml:space="preserve"> K7 + 1</f>
        <v>2</v>
      </c>
      <c r="M7" s="337">
        <f t="shared" si="3"/>
        <v>3</v>
      </c>
      <c r="N7" s="337">
        <f t="shared" si="3"/>
        <v>4</v>
      </c>
      <c r="O7" s="90">
        <f t="shared" si="3"/>
        <v>5</v>
      </c>
      <c r="P7" s="90">
        <f t="shared" si="3"/>
        <v>6</v>
      </c>
      <c r="Q7" s="90">
        <f t="shared" si="3"/>
        <v>7</v>
      </c>
      <c r="R7" s="90">
        <f t="shared" si="3"/>
        <v>8</v>
      </c>
      <c r="S7" s="90">
        <f t="shared" si="3"/>
        <v>9</v>
      </c>
      <c r="T7" s="90">
        <f t="shared" si="3"/>
        <v>10</v>
      </c>
      <c r="U7" s="90">
        <f t="shared" si="3"/>
        <v>11</v>
      </c>
      <c r="V7" s="90">
        <f t="shared" si="3"/>
        <v>12</v>
      </c>
      <c r="W7" s="90">
        <f t="shared" si="3"/>
        <v>13</v>
      </c>
      <c r="X7" s="90">
        <f t="shared" si="3"/>
        <v>14</v>
      </c>
      <c r="Y7" s="90">
        <f t="shared" si="3"/>
        <v>15</v>
      </c>
      <c r="Z7" s="90">
        <f t="shared" si="3"/>
        <v>16</v>
      </c>
      <c r="AA7" s="90">
        <f t="shared" si="3"/>
        <v>17</v>
      </c>
      <c r="AB7" s="90">
        <f t="shared" si="3"/>
        <v>18</v>
      </c>
      <c r="AC7" s="90">
        <f t="shared" si="3"/>
        <v>19</v>
      </c>
      <c r="AD7" s="90">
        <f t="shared" si="3"/>
        <v>20</v>
      </c>
      <c r="AE7" s="90">
        <f t="shared" si="3"/>
        <v>21</v>
      </c>
      <c r="AF7" s="90">
        <f t="shared" si="3"/>
        <v>22</v>
      </c>
      <c r="AG7" s="90">
        <f t="shared" si="3"/>
        <v>23</v>
      </c>
      <c r="AH7" s="90">
        <f t="shared" si="3"/>
        <v>24</v>
      </c>
      <c r="AI7" s="90">
        <f t="shared" si="3"/>
        <v>25</v>
      </c>
      <c r="AJ7" s="90">
        <f t="shared" si="3"/>
        <v>26</v>
      </c>
      <c r="AK7" s="90">
        <f t="shared" si="3"/>
        <v>27</v>
      </c>
      <c r="AL7" s="90">
        <f t="shared" si="3"/>
        <v>28</v>
      </c>
      <c r="AM7" s="90">
        <f t="shared" si="3"/>
        <v>29</v>
      </c>
      <c r="AN7" s="90">
        <f t="shared" si="3"/>
        <v>30</v>
      </c>
      <c r="AO7" s="90">
        <f t="shared" si="3"/>
        <v>31</v>
      </c>
      <c r="AP7" s="90">
        <f t="shared" si="3"/>
        <v>32</v>
      </c>
      <c r="AQ7" s="90">
        <f t="shared" si="3"/>
        <v>33</v>
      </c>
      <c r="AR7" s="90">
        <f t="shared" si="3"/>
        <v>34</v>
      </c>
      <c r="AS7" s="90">
        <f t="shared" si="3"/>
        <v>35</v>
      </c>
      <c r="AT7" s="90">
        <f t="shared" si="3"/>
        <v>36</v>
      </c>
      <c r="AU7" s="92"/>
      <c r="AV7" s="8"/>
      <c r="AW7" s="8"/>
      <c r="AX7" s="8"/>
    </row>
    <row r="8" spans="1:67" ht="15.75" customHeight="1" x14ac:dyDescent="0.3">
      <c r="A8" s="13"/>
      <c r="B8" s="13"/>
      <c r="C8" s="13"/>
      <c r="D8" s="95" t="s">
        <v>22</v>
      </c>
      <c r="E8" s="94"/>
      <c r="F8" s="100"/>
      <c r="G8" s="97"/>
      <c r="H8" s="94"/>
      <c r="I8" s="94"/>
      <c r="J8" s="7"/>
      <c r="K8" s="338">
        <f t="shared" ref="K8:AT8" si="4" xml:space="preserve"> (K6 - K5 + 1) / (DATE(YEAR(K6), 12, 31) - DATE(YEAR(K6), 1, 1) + 1)</f>
        <v>8.4931506849315067E-2</v>
      </c>
      <c r="L8" s="338">
        <f t="shared" si="4"/>
        <v>7.6712328767123292E-2</v>
      </c>
      <c r="M8" s="338">
        <f t="shared" si="4"/>
        <v>8.4931506849315067E-2</v>
      </c>
      <c r="N8" s="338">
        <f t="shared" si="4"/>
        <v>8.2191780821917804E-2</v>
      </c>
      <c r="O8" s="338">
        <f t="shared" si="4"/>
        <v>8.4931506849315067E-2</v>
      </c>
      <c r="P8" s="338">
        <f t="shared" si="4"/>
        <v>8.2191780821917804E-2</v>
      </c>
      <c r="Q8" s="338">
        <f t="shared" si="4"/>
        <v>8.4931506849315067E-2</v>
      </c>
      <c r="R8" s="338">
        <f t="shared" si="4"/>
        <v>8.4931506849315067E-2</v>
      </c>
      <c r="S8" s="338">
        <f t="shared" si="4"/>
        <v>8.2191780821917804E-2</v>
      </c>
      <c r="T8" s="338">
        <f t="shared" si="4"/>
        <v>8.4931506849315067E-2</v>
      </c>
      <c r="U8" s="338">
        <f t="shared" si="4"/>
        <v>8.2191780821917804E-2</v>
      </c>
      <c r="V8" s="338">
        <f t="shared" si="4"/>
        <v>8.4931506849315067E-2</v>
      </c>
      <c r="W8" s="338">
        <f t="shared" si="4"/>
        <v>8.4931506849315067E-2</v>
      </c>
      <c r="X8" s="338">
        <f t="shared" si="4"/>
        <v>7.6712328767123292E-2</v>
      </c>
      <c r="Y8" s="338">
        <f t="shared" si="4"/>
        <v>8.4931506849315067E-2</v>
      </c>
      <c r="Z8" s="338">
        <f t="shared" si="4"/>
        <v>8.2191780821917804E-2</v>
      </c>
      <c r="AA8" s="338">
        <f t="shared" si="4"/>
        <v>8.4931506849315067E-2</v>
      </c>
      <c r="AB8" s="338">
        <f t="shared" si="4"/>
        <v>8.2191780821917804E-2</v>
      </c>
      <c r="AC8" s="338">
        <f t="shared" si="4"/>
        <v>8.4931506849315067E-2</v>
      </c>
      <c r="AD8" s="338">
        <f t="shared" si="4"/>
        <v>8.4931506849315067E-2</v>
      </c>
      <c r="AE8" s="338">
        <f t="shared" si="4"/>
        <v>8.2191780821917804E-2</v>
      </c>
      <c r="AF8" s="338">
        <f t="shared" si="4"/>
        <v>8.4931506849315067E-2</v>
      </c>
      <c r="AG8" s="338">
        <f t="shared" si="4"/>
        <v>8.2191780821917804E-2</v>
      </c>
      <c r="AH8" s="338">
        <f t="shared" si="4"/>
        <v>8.4931506849315067E-2</v>
      </c>
      <c r="AI8" s="338">
        <f t="shared" si="4"/>
        <v>8.4931506849315067E-2</v>
      </c>
      <c r="AJ8" s="338">
        <f t="shared" si="4"/>
        <v>7.6712328767123292E-2</v>
      </c>
      <c r="AK8" s="338">
        <f t="shared" si="4"/>
        <v>8.4931506849315067E-2</v>
      </c>
      <c r="AL8" s="338">
        <f t="shared" si="4"/>
        <v>8.2191780821917804E-2</v>
      </c>
      <c r="AM8" s="338">
        <f t="shared" si="4"/>
        <v>8.4931506849315067E-2</v>
      </c>
      <c r="AN8" s="338">
        <f t="shared" si="4"/>
        <v>8.2191780821917804E-2</v>
      </c>
      <c r="AO8" s="338">
        <f t="shared" si="4"/>
        <v>8.4931506849315067E-2</v>
      </c>
      <c r="AP8" s="338">
        <f t="shared" si="4"/>
        <v>8.4931506849315067E-2</v>
      </c>
      <c r="AQ8" s="338">
        <f t="shared" si="4"/>
        <v>8.2191780821917804E-2</v>
      </c>
      <c r="AR8" s="338">
        <f t="shared" si="4"/>
        <v>8.4931506849315067E-2</v>
      </c>
      <c r="AS8" s="338">
        <f t="shared" si="4"/>
        <v>8.2191780821917804E-2</v>
      </c>
      <c r="AT8" s="338">
        <f t="shared" si="4"/>
        <v>8.4931506849315067E-2</v>
      </c>
      <c r="AU8" s="99"/>
      <c r="AV8" s="94"/>
      <c r="AW8" s="94"/>
      <c r="AX8" s="94"/>
    </row>
    <row r="9" spans="1:67" ht="15.75" customHeight="1" x14ac:dyDescent="0.3">
      <c r="A9" s="13"/>
      <c r="B9" s="13"/>
      <c r="C9" s="13"/>
      <c r="D9" s="9"/>
      <c r="E9" s="8"/>
      <c r="F9" s="181"/>
      <c r="G9" s="30"/>
      <c r="H9" s="8"/>
      <c r="I9" s="8"/>
      <c r="J9" s="7"/>
      <c r="K9" s="324"/>
      <c r="L9" s="324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8"/>
      <c r="AW9" s="8"/>
      <c r="AX9" s="8"/>
    </row>
    <row r="10" spans="1:67" ht="15.75" customHeight="1" x14ac:dyDescent="0.3">
      <c r="A10" s="13"/>
      <c r="B10" s="105"/>
      <c r="C10" s="105"/>
      <c r="D10" s="104" t="s">
        <v>288</v>
      </c>
      <c r="E10" s="105"/>
      <c r="F10" s="105"/>
      <c r="G10" s="106"/>
      <c r="H10" s="105"/>
      <c r="I10" s="105"/>
      <c r="J10" s="41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60"/>
      <c r="AX10" s="160"/>
      <c r="AY10" s="160"/>
      <c r="AZ10" s="160"/>
    </row>
    <row r="11" spans="1:67" ht="15.75" customHeight="1" outlineLevel="1" x14ac:dyDescent="0.3">
      <c r="A11" s="233"/>
      <c r="B11" s="233"/>
      <c r="C11" s="233"/>
      <c r="D11" s="246"/>
      <c r="E11" s="218"/>
      <c r="F11" s="451"/>
      <c r="G11" s="450"/>
      <c r="H11" s="218"/>
      <c r="I11" s="218"/>
      <c r="J11" s="494"/>
      <c r="K11" s="458"/>
      <c r="L11" s="458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218"/>
      <c r="AW11" s="218"/>
      <c r="AX11" s="218"/>
    </row>
    <row r="12" spans="1:67" ht="15.75" customHeight="1" outlineLevel="1" x14ac:dyDescent="0.3">
      <c r="A12" s="13"/>
      <c r="B12" s="13"/>
      <c r="C12" s="13"/>
      <c r="D12" s="144" t="s">
        <v>139</v>
      </c>
      <c r="E12" s="143"/>
      <c r="F12" s="143"/>
      <c r="G12" s="148"/>
      <c r="H12" s="143"/>
      <c r="I12" s="144"/>
      <c r="J12" s="7"/>
      <c r="K12" s="350">
        <f xml:space="preserve"> 'Assumptions and inputs'!K18</f>
        <v>4.0182018919749929E-3</v>
      </c>
      <c r="L12" s="350">
        <f xml:space="preserve"> 'Assumptions and inputs'!L18</f>
        <v>3.6156562034164175E-3</v>
      </c>
      <c r="M12" s="182">
        <f xml:space="preserve"> 'Assumptions and inputs'!M18</f>
        <v>4.0182018919749929E-3</v>
      </c>
      <c r="N12" s="182">
        <f xml:space="preserve"> 'Assumptions and inputs'!N18</f>
        <v>3.884002059069358E-3</v>
      </c>
      <c r="O12" s="182">
        <f xml:space="preserve"> 'Assumptions and inputs'!O18</f>
        <v>4.0182018919749929E-3</v>
      </c>
      <c r="P12" s="182">
        <f xml:space="preserve"> 'Assumptions and inputs'!P18</f>
        <v>3.884002059069358E-3</v>
      </c>
      <c r="Q12" s="182">
        <f xml:space="preserve"> 'Assumptions and inputs'!Q18</f>
        <v>4.0182018919749929E-3</v>
      </c>
      <c r="R12" s="182">
        <f xml:space="preserve"> 'Assumptions and inputs'!R18</f>
        <v>4.0182018919749929E-3</v>
      </c>
      <c r="S12" s="182">
        <f xml:space="preserve"> 'Assumptions and inputs'!S18</f>
        <v>3.884002059069358E-3</v>
      </c>
      <c r="T12" s="182">
        <f xml:space="preserve"> 'Assumptions and inputs'!T18</f>
        <v>4.0182018919749929E-3</v>
      </c>
      <c r="U12" s="182">
        <f xml:space="preserve"> 'Assumptions and inputs'!U18</f>
        <v>3.884002059069358E-3</v>
      </c>
      <c r="V12" s="182">
        <f xml:space="preserve"> 'Assumptions and inputs'!V18</f>
        <v>4.0182018919749929E-3</v>
      </c>
      <c r="W12" s="182">
        <f xml:space="preserve"> 'Assumptions and inputs'!W18</f>
        <v>3.0701101296430888E-3</v>
      </c>
      <c r="X12" s="182">
        <f xml:space="preserve"> 'Assumptions and inputs'!X18</f>
        <v>2.7626754424510125E-3</v>
      </c>
      <c r="Y12" s="182">
        <f xml:space="preserve"> 'Assumptions and inputs'!Y18</f>
        <v>3.0701101296430888E-3</v>
      </c>
      <c r="Z12" s="182">
        <f xml:space="preserve"> 'Assumptions and inputs'!Z18</f>
        <v>2.9676214291514125E-3</v>
      </c>
      <c r="AA12" s="182">
        <f xml:space="preserve"> 'Assumptions and inputs'!AA18</f>
        <v>3.0701101296430888E-3</v>
      </c>
      <c r="AB12" s="182">
        <f xml:space="preserve"> 'Assumptions and inputs'!AB18</f>
        <v>2.9676214291514125E-3</v>
      </c>
      <c r="AC12" s="182">
        <f xml:space="preserve"> 'Assumptions and inputs'!AC18</f>
        <v>3.0701101296430888E-3</v>
      </c>
      <c r="AD12" s="182">
        <f xml:space="preserve"> 'Assumptions and inputs'!AD18</f>
        <v>3.0701101296430888E-3</v>
      </c>
      <c r="AE12" s="182">
        <f xml:space="preserve"> 'Assumptions and inputs'!AE18</f>
        <v>2.9676214291514125E-3</v>
      </c>
      <c r="AF12" s="182">
        <f xml:space="preserve"> 'Assumptions and inputs'!AF18</f>
        <v>3.0701101296430888E-3</v>
      </c>
      <c r="AG12" s="182">
        <f xml:space="preserve"> 'Assumptions and inputs'!AG18</f>
        <v>2.9676214291514125E-3</v>
      </c>
      <c r="AH12" s="182">
        <f xml:space="preserve"> 'Assumptions and inputs'!AH18</f>
        <v>3.0701101296430888E-3</v>
      </c>
      <c r="AI12" s="182">
        <f xml:space="preserve"> 'Assumptions and inputs'!AI18</f>
        <v>3.2288217106277717E-3</v>
      </c>
      <c r="AJ12" s="182">
        <f xml:space="preserve"> 'Assumptions and inputs'!AJ18</f>
        <v>2.9054709560047964E-3</v>
      </c>
      <c r="AK12" s="182">
        <f xml:space="preserve"> 'Assumptions and inputs'!AK18</f>
        <v>3.2288217106277717E-3</v>
      </c>
      <c r="AL12" s="182">
        <f xml:space="preserve"> 'Assumptions and inputs'!AL18</f>
        <v>3.1210265437677798E-3</v>
      </c>
      <c r="AM12" s="182">
        <f xml:space="preserve"> 'Assumptions and inputs'!AM18</f>
        <v>3.2288217106277717E-3</v>
      </c>
      <c r="AN12" s="182">
        <f xml:space="preserve"> 'Assumptions and inputs'!AN18</f>
        <v>3.1210265437677798E-3</v>
      </c>
      <c r="AO12" s="182">
        <f xml:space="preserve"> 'Assumptions and inputs'!AO18</f>
        <v>3.2288217106277717E-3</v>
      </c>
      <c r="AP12" s="182">
        <f xml:space="preserve"> 'Assumptions and inputs'!AP18</f>
        <v>3.2288217106277717E-3</v>
      </c>
      <c r="AQ12" s="182">
        <f xml:space="preserve"> 'Assumptions and inputs'!AQ18</f>
        <v>3.1210265437677798E-3</v>
      </c>
      <c r="AR12" s="182">
        <f xml:space="preserve"> 'Assumptions and inputs'!AR18</f>
        <v>3.2288217106277717E-3</v>
      </c>
      <c r="AS12" s="182">
        <f xml:space="preserve"> 'Assumptions and inputs'!AS18</f>
        <v>3.1210265437677798E-3</v>
      </c>
      <c r="AT12" s="182">
        <f xml:space="preserve"> 'Assumptions and inputs'!AT18</f>
        <v>3.2288217106277717E-3</v>
      </c>
      <c r="AU12" s="38"/>
      <c r="AV12" s="8"/>
      <c r="AW12" s="8"/>
      <c r="AX12" s="8"/>
    </row>
    <row r="13" spans="1:67" ht="15.75" customHeight="1" outlineLevel="1" x14ac:dyDescent="0.3">
      <c r="A13" s="233"/>
      <c r="B13" s="233"/>
      <c r="C13" s="233"/>
      <c r="D13" s="144" t="s">
        <v>306</v>
      </c>
      <c r="E13" s="504"/>
      <c r="F13" s="504"/>
      <c r="G13" s="505"/>
      <c r="H13" s="504"/>
      <c r="I13" s="503"/>
      <c r="J13" s="238"/>
      <c r="K13" s="350">
        <f xml:space="preserve"> 'Assumptions and inputs'!K19</f>
        <v>1.004018201891975</v>
      </c>
      <c r="L13" s="350">
        <f xml:space="preserve"> 'Assumptions and inputs'!L19</f>
        <v>1.0076483865319887</v>
      </c>
      <c r="M13" s="182">
        <f xml:space="preserve"> 'Assumptions and inputs'!M19</f>
        <v>1.0116973211851972</v>
      </c>
      <c r="N13" s="182">
        <f xml:space="preserve"> 'Assumptions and inputs'!N19</f>
        <v>1.0156267556638354</v>
      </c>
      <c r="O13" s="182">
        <f xml:space="preserve"> 'Assumptions and inputs'!O19</f>
        <v>1.0197077490149842</v>
      </c>
      <c r="P13" s="182">
        <f xml:space="preserve"> 'Assumptions and inputs'!P19</f>
        <v>1.0236682960118073</v>
      </c>
      <c r="Q13" s="182">
        <f xml:space="preserve"> 'Assumptions and inputs'!Q19</f>
        <v>1.0277816018955968</v>
      </c>
      <c r="R13" s="182">
        <f xml:space="preserve"> 'Assumptions and inputs'!R19</f>
        <v>1.0319114358728707</v>
      </c>
      <c r="S13" s="182">
        <f xml:space="preserve"> 'Assumptions and inputs'!S19</f>
        <v>1.0359193820145782</v>
      </c>
      <c r="T13" s="182">
        <f xml:space="preserve"> 'Assumptions and inputs'!T19</f>
        <v>1.0400819152353227</v>
      </c>
      <c r="U13" s="182">
        <f xml:space="preserve"> 'Assumptions and inputs'!U19</f>
        <v>1.0441215955356975</v>
      </c>
      <c r="V13" s="182">
        <f xml:space="preserve"> 'Assumptions and inputs'!V19</f>
        <v>1.048317086906331</v>
      </c>
      <c r="W13" s="182">
        <f xml:space="preserve"> 'Assumptions and inputs'!W19</f>
        <v>1.05153553581392</v>
      </c>
      <c r="X13" s="182">
        <f xml:space="preserve"> 'Assumptions and inputs'!X19</f>
        <v>1.0544405872155778</v>
      </c>
      <c r="Y13" s="182">
        <f xml:space="preserve"> 'Assumptions and inputs'!Y19</f>
        <v>1.0576778359434951</v>
      </c>
      <c r="Z13" s="182">
        <f xml:space="preserve"> 'Assumptions and inputs'!Z19</f>
        <v>1.0608166233545795</v>
      </c>
      <c r="AA13" s="182">
        <f xml:space="preserve"> 'Assumptions and inputs'!AA19</f>
        <v>1.0640734472156341</v>
      </c>
      <c r="AB13" s="182">
        <f xml:space="preserve"> 'Assumptions and inputs'!AB19</f>
        <v>1.0672312143797822</v>
      </c>
      <c r="AC13" s="182">
        <f xml:space="preserve"> 'Assumptions and inputs'!AC19</f>
        <v>1.0705077317417209</v>
      </c>
      <c r="AD13" s="182">
        <f xml:space="preserve"> 'Assumptions and inputs'!AD19</f>
        <v>1.0737943083728023</v>
      </c>
      <c r="AE13" s="182">
        <f xml:space="preserve"> 'Assumptions and inputs'!AE19</f>
        <v>1.0769809233728302</v>
      </c>
      <c r="AF13" s="182">
        <f xml:space="preserve"> 'Assumptions and inputs'!AF19</f>
        <v>1.0802873734151095</v>
      </c>
      <c r="AG13" s="182">
        <f xml:space="preserve"> 'Assumptions and inputs'!AG19</f>
        <v>1.0834932573740979</v>
      </c>
      <c r="AH13" s="182">
        <f xml:space="preserve"> 'Assumptions and inputs'!AH19</f>
        <v>1.086819700998962</v>
      </c>
      <c r="AI13" s="182">
        <f xml:space="preserve"> 'Assumptions and inputs'!AI19</f>
        <v>1.0903288480450855</v>
      </c>
      <c r="AJ13" s="182">
        <f xml:space="preserve"> 'Assumptions and inputs'!AJ19</f>
        <v>1.0934967668455746</v>
      </c>
      <c r="AK13" s="182">
        <f xml:space="preserve"> 'Assumptions and inputs'!AK19</f>
        <v>1.097027472946867</v>
      </c>
      <c r="AL13" s="182">
        <f xml:space="preserve"> 'Assumptions and inputs'!AL19</f>
        <v>1.1004513248091767</v>
      </c>
      <c r="AM13" s="182">
        <f xml:space="preserve"> 'Assumptions and inputs'!AM19</f>
        <v>1.1040044859382097</v>
      </c>
      <c r="AN13" s="182">
        <f xml:space="preserve"> 'Assumptions and inputs'!AN19</f>
        <v>1.1074501132432615</v>
      </c>
      <c r="AO13" s="182">
        <f xml:space="preserve"> 'Assumptions and inputs'!AO19</f>
        <v>1.1110258722123385</v>
      </c>
      <c r="AP13" s="182">
        <f xml:space="preserve"> 'Assumptions and inputs'!AP19</f>
        <v>1.1146131766696068</v>
      </c>
      <c r="AQ13" s="182">
        <f xml:space="preserve"> 'Assumptions and inputs'!AQ19</f>
        <v>1.1180919139800261</v>
      </c>
      <c r="AR13" s="182">
        <f xml:space="preserve"> 'Assumptions and inputs'!AR19</f>
        <v>1.1217020334263621</v>
      </c>
      <c r="AS13" s="182">
        <f xml:space="preserve"> 'Assumptions and inputs'!AS19</f>
        <v>1.125202895246884</v>
      </c>
      <c r="AT13" s="182">
        <f xml:space="preserve"> 'Assumptions and inputs'!AT19</f>
        <v>1.1288359747839183</v>
      </c>
      <c r="AU13" s="452"/>
      <c r="AV13" s="218"/>
      <c r="AW13" s="218"/>
      <c r="AX13" s="218"/>
    </row>
    <row r="14" spans="1:67" ht="15.75" customHeight="1" outlineLevel="1" x14ac:dyDescent="0.3">
      <c r="A14" s="13"/>
      <c r="B14" s="13"/>
      <c r="C14" s="13"/>
      <c r="D14" s="9"/>
      <c r="E14" s="8"/>
      <c r="F14" s="8"/>
      <c r="G14" s="30"/>
      <c r="H14" s="8"/>
      <c r="I14" s="9"/>
      <c r="J14" s="36"/>
      <c r="K14" s="264"/>
      <c r="L14" s="264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38"/>
      <c r="AV14" s="8"/>
      <c r="AW14" s="8"/>
      <c r="AX14" s="8"/>
    </row>
    <row r="15" spans="1:67" s="415" customFormat="1" ht="15.75" customHeight="1" outlineLevel="1" x14ac:dyDescent="0.3">
      <c r="A15" s="13"/>
      <c r="B15" s="13"/>
      <c r="C15" s="406"/>
      <c r="D15" s="407" t="s">
        <v>140</v>
      </c>
      <c r="E15" s="408"/>
      <c r="F15" s="409"/>
      <c r="G15" s="410"/>
      <c r="H15" s="408"/>
      <c r="I15" s="408"/>
      <c r="J15" s="36"/>
      <c r="K15" s="411"/>
      <c r="L15" s="411"/>
      <c r="M15" s="411"/>
      <c r="N15" s="411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12"/>
      <c r="AD15" s="412"/>
      <c r="AE15" s="412"/>
      <c r="AF15" s="412"/>
      <c r="AG15" s="412"/>
      <c r="AH15" s="412"/>
      <c r="AI15" s="412"/>
      <c r="AJ15" s="412"/>
      <c r="AK15" s="412"/>
      <c r="AL15" s="412"/>
      <c r="AM15" s="412"/>
      <c r="AN15" s="412"/>
      <c r="AO15" s="412"/>
      <c r="AP15" s="412"/>
      <c r="AQ15" s="412"/>
      <c r="AR15" s="412"/>
      <c r="AS15" s="412"/>
      <c r="AT15" s="412"/>
      <c r="AU15" s="413"/>
      <c r="AV15" s="414"/>
      <c r="AW15" s="414"/>
      <c r="AX15" s="414"/>
    </row>
    <row r="16" spans="1:67" ht="15.75" customHeight="1" outlineLevel="1" x14ac:dyDescent="0.3">
      <c r="A16" s="13"/>
      <c r="B16" s="13"/>
      <c r="C16" s="13"/>
      <c r="D16" s="183" t="s">
        <v>141</v>
      </c>
      <c r="E16" s="7" t="s">
        <v>36</v>
      </c>
      <c r="F16" s="67"/>
      <c r="G16" s="40"/>
      <c r="H16" s="67"/>
      <c r="I16" s="67"/>
      <c r="J16" s="36"/>
      <c r="K16" s="268">
        <f ca="1" xml:space="preserve"> Прогнозы!K33</f>
        <v>0</v>
      </c>
      <c r="L16" s="268">
        <f ca="1" xml:space="preserve"> Прогнозы!L33</f>
        <v>0</v>
      </c>
      <c r="M16" s="35">
        <f ca="1" xml:space="preserve"> Прогнозы!M33</f>
        <v>326027.39726027398</v>
      </c>
      <c r="N16" s="35">
        <f ca="1" xml:space="preserve"> Прогнозы!N33</f>
        <v>382191.78082191781</v>
      </c>
      <c r="O16" s="35">
        <f ca="1" xml:space="preserve"> Прогнозы!O33</f>
        <v>452054.79452054796</v>
      </c>
      <c r="P16" s="35">
        <f ca="1" xml:space="preserve"> Прогнозы!P33</f>
        <v>509589.04109589034</v>
      </c>
      <c r="Q16" s="35">
        <f ca="1" xml:space="preserve"> Прогнозы!Q33</f>
        <v>513698.63013698626</v>
      </c>
      <c r="R16" s="35">
        <f ca="1" xml:space="preserve"> Прогнозы!R33</f>
        <v>509589.04109589034</v>
      </c>
      <c r="S16" s="35">
        <f ca="1" xml:space="preserve"> Прогнозы!S33</f>
        <v>467123.28767123289</v>
      </c>
      <c r="T16" s="35">
        <f ca="1" xml:space="preserve"> Прогнозы!T33</f>
        <v>431506.84931506845</v>
      </c>
      <c r="U16" s="35">
        <f ca="1" xml:space="preserve"> Прогнозы!U33</f>
        <v>403424.65753424651</v>
      </c>
      <c r="V16" s="35">
        <f ca="1" xml:space="preserve"> Прогнозы!V33</f>
        <v>349315.06849315064</v>
      </c>
      <c r="W16" s="35">
        <f ca="1" xml:space="preserve"> Прогнозы!W33</f>
        <v>339726.0273972603</v>
      </c>
      <c r="X16" s="35">
        <f ca="1" xml:space="preserve"> Прогнозы!X33</f>
        <v>684760.27397260279</v>
      </c>
      <c r="Y16" s="35">
        <f ca="1" xml:space="preserve"> Прогнозы!Y33</f>
        <v>700958.90410958906</v>
      </c>
      <c r="Z16" s="35">
        <f ca="1" xml:space="preserve"> Прогнозы!Z33</f>
        <v>821712.32876712328</v>
      </c>
      <c r="AA16" s="35">
        <f ca="1" xml:space="preserve"> Прогнозы!AA33</f>
        <v>971917.80821917811</v>
      </c>
      <c r="AB16" s="35">
        <f ca="1" xml:space="preserve"> Прогнозы!AB33</f>
        <v>1095616.4383561644</v>
      </c>
      <c r="AC16" s="35">
        <f ca="1" xml:space="preserve"> Прогнозы!AC33</f>
        <v>1104452.0547945206</v>
      </c>
      <c r="AD16" s="35">
        <f ca="1" xml:space="preserve"> Прогнозы!AD33</f>
        <v>1095616.4383561644</v>
      </c>
      <c r="AE16" s="35">
        <f ca="1" xml:space="preserve"> Прогнозы!AE33</f>
        <v>1004315.0684931508</v>
      </c>
      <c r="AF16" s="35">
        <f ca="1" xml:space="preserve"> Прогнозы!AF33</f>
        <v>927739.72602739732</v>
      </c>
      <c r="AG16" s="35">
        <f ca="1" xml:space="preserve"> Прогнозы!AG33</f>
        <v>867363.01369863015</v>
      </c>
      <c r="AH16" s="35">
        <f ca="1" xml:space="preserve"> Прогнозы!AH33</f>
        <v>751027.39726027392</v>
      </c>
      <c r="AI16" s="35">
        <f ca="1" xml:space="preserve"> Прогнозы!AI33</f>
        <v>730410.95890410966</v>
      </c>
      <c r="AJ16" s="35">
        <f ca="1" xml:space="preserve"> Прогнозы!AJ33</f>
        <v>821712.32876712328</v>
      </c>
      <c r="AK16" s="35">
        <f ca="1" xml:space="preserve"> Прогнозы!AK33</f>
        <v>841150.68493150687</v>
      </c>
      <c r="AL16" s="35">
        <f ca="1" xml:space="preserve"> Прогнозы!AL33</f>
        <v>986054.79452054796</v>
      </c>
      <c r="AM16" s="35">
        <f ca="1" xml:space="preserve"> Прогнозы!AM33</f>
        <v>1166301.3698630137</v>
      </c>
      <c r="AN16" s="35">
        <f ca="1" xml:space="preserve"> Прогнозы!AN33</f>
        <v>1314739.7260273972</v>
      </c>
      <c r="AO16" s="35">
        <f ca="1" xml:space="preserve"> Прогнозы!AO33</f>
        <v>1325342.4657534247</v>
      </c>
      <c r="AP16" s="35">
        <f ca="1" xml:space="preserve"> Прогнозы!AP33</f>
        <v>1314739.7260273972</v>
      </c>
      <c r="AQ16" s="35">
        <f ca="1" xml:space="preserve"> Прогнозы!AQ33</f>
        <v>1205178.0821917809</v>
      </c>
      <c r="AR16" s="35">
        <f ca="1" xml:space="preserve"> Прогнозы!AR33</f>
        <v>1113287.6712328768</v>
      </c>
      <c r="AS16" s="35">
        <f ca="1" xml:space="preserve"> Прогнозы!AS33</f>
        <v>1040835.6164383561</v>
      </c>
      <c r="AT16" s="35">
        <f ca="1" xml:space="preserve"> Прогнозы!AT33</f>
        <v>901232.87671232875</v>
      </c>
      <c r="AU16" s="38"/>
      <c r="AV16" s="8"/>
      <c r="AW16" s="8"/>
      <c r="AX16" s="8"/>
    </row>
    <row r="17" spans="1:62" ht="15.75" customHeight="1" outlineLevel="1" x14ac:dyDescent="0.3">
      <c r="A17" s="13"/>
      <c r="B17" s="13"/>
      <c r="C17" s="13"/>
      <c r="D17" s="183" t="s">
        <v>142</v>
      </c>
      <c r="E17" s="7" t="s">
        <v>143</v>
      </c>
      <c r="F17" s="67"/>
      <c r="G17" s="40"/>
      <c r="H17" s="67"/>
      <c r="I17" s="52">
        <f xml:space="preserve"> Себестоимость!I76</f>
        <v>247.81649048625792</v>
      </c>
      <c r="J17" s="36"/>
      <c r="K17" s="268">
        <f xml:space="preserve"> I17</f>
        <v>247.81649048625792</v>
      </c>
      <c r="L17" s="268">
        <f t="shared" ref="L17:AT17" si="5" xml:space="preserve"> K17 * (1 + L12)</f>
        <v>248.71250971739343</v>
      </c>
      <c r="M17" s="35">
        <f t="shared" si="5"/>
        <v>249.7118867944977</v>
      </c>
      <c r="N17" s="35">
        <f t="shared" si="5"/>
        <v>250.68176827698161</v>
      </c>
      <c r="O17" s="35">
        <f t="shared" si="5"/>
        <v>251.68905823255582</v>
      </c>
      <c r="P17" s="35">
        <f t="shared" si="5"/>
        <v>252.6666190529763</v>
      </c>
      <c r="Q17" s="35">
        <f t="shared" si="5"/>
        <v>253.6818845396939</v>
      </c>
      <c r="R17" s="35">
        <f t="shared" si="5"/>
        <v>254.70122956811107</v>
      </c>
      <c r="S17" s="35">
        <f t="shared" si="5"/>
        <v>255.69048966820111</v>
      </c>
      <c r="T17" s="35">
        <f t="shared" si="5"/>
        <v>256.7179056775459</v>
      </c>
      <c r="U17" s="35">
        <f t="shared" si="5"/>
        <v>257.71499855179746</v>
      </c>
      <c r="V17" s="35">
        <f t="shared" si="5"/>
        <v>258.75054944656864</v>
      </c>
      <c r="W17" s="35">
        <f t="shared" si="5"/>
        <v>259.54494212947526</v>
      </c>
      <c r="X17" s="35">
        <f t="shared" si="5"/>
        <v>260.26198056730874</v>
      </c>
      <c r="Y17" s="35">
        <f t="shared" si="5"/>
        <v>261.06101351020942</v>
      </c>
      <c r="Z17" s="35">
        <f t="shared" si="5"/>
        <v>261.83574376821832</v>
      </c>
      <c r="AA17" s="35">
        <f t="shared" si="5"/>
        <v>262.63960833746376</v>
      </c>
      <c r="AB17" s="35">
        <f t="shared" si="5"/>
        <v>263.41902326730997</v>
      </c>
      <c r="AC17" s="35">
        <f t="shared" si="5"/>
        <v>264.22774867898363</v>
      </c>
      <c r="AD17" s="35">
        <f t="shared" si="5"/>
        <v>265.03895696673578</v>
      </c>
      <c r="AE17" s="35">
        <f t="shared" si="5"/>
        <v>265.82549225499019</v>
      </c>
      <c r="AF17" s="35">
        <f t="shared" si="5"/>
        <v>266.64160579147961</v>
      </c>
      <c r="AG17" s="35">
        <f t="shared" si="5"/>
        <v>267.43289713472973</v>
      </c>
      <c r="AH17" s="35">
        <f t="shared" si="5"/>
        <v>268.25394558122287</v>
      </c>
      <c r="AI17" s="35">
        <f t="shared" si="5"/>
        <v>269.1200897446771</v>
      </c>
      <c r="AJ17" s="35">
        <f t="shared" si="5"/>
        <v>269.90201034910768</v>
      </c>
      <c r="AK17" s="35">
        <f t="shared" si="5"/>
        <v>270.77347581986498</v>
      </c>
      <c r="AL17" s="35">
        <f t="shared" si="5"/>
        <v>271.61856702524705</v>
      </c>
      <c r="AM17" s="35">
        <f t="shared" si="5"/>
        <v>272.49557495146774</v>
      </c>
      <c r="AN17" s="35">
        <f t="shared" si="5"/>
        <v>273.34604087395053</v>
      </c>
      <c r="AO17" s="35">
        <f t="shared" si="5"/>
        <v>274.22862650523848</v>
      </c>
      <c r="AP17" s="35">
        <f t="shared" si="5"/>
        <v>275.11406184817423</v>
      </c>
      <c r="AQ17" s="35">
        <f t="shared" si="5"/>
        <v>275.97270013776614</v>
      </c>
      <c r="AR17" s="35">
        <f t="shared" si="5"/>
        <v>276.86376678351155</v>
      </c>
      <c r="AS17" s="35">
        <f t="shared" si="5"/>
        <v>277.72786594865045</v>
      </c>
      <c r="AT17" s="35">
        <f t="shared" si="5"/>
        <v>278.62459971187178</v>
      </c>
      <c r="AU17" s="38"/>
      <c r="AV17" s="8"/>
      <c r="AW17" s="8"/>
      <c r="AX17" s="8"/>
    </row>
    <row r="18" spans="1:62" ht="15.75" customHeight="1" outlineLevel="1" x14ac:dyDescent="0.3">
      <c r="A18" s="13"/>
      <c r="B18" s="13"/>
      <c r="C18" s="13"/>
      <c r="D18" s="6"/>
      <c r="E18" s="7"/>
      <c r="F18" s="68"/>
      <c r="G18" s="40"/>
      <c r="H18" s="68"/>
      <c r="I18" s="68"/>
      <c r="J18" s="36"/>
      <c r="K18" s="327"/>
      <c r="L18" s="327"/>
      <c r="M18" s="48"/>
      <c r="N18" s="4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38"/>
      <c r="AV18" s="8"/>
      <c r="AW18" s="8"/>
      <c r="AX18" s="8"/>
    </row>
    <row r="19" spans="1:62" s="415" customFormat="1" ht="15.75" customHeight="1" outlineLevel="1" x14ac:dyDescent="0.3">
      <c r="A19" s="13"/>
      <c r="B19" s="13"/>
      <c r="C19" s="406"/>
      <c r="D19" s="407" t="s">
        <v>92</v>
      </c>
      <c r="E19" s="408"/>
      <c r="F19" s="409"/>
      <c r="G19" s="410"/>
      <c r="H19" s="408"/>
      <c r="I19" s="408"/>
      <c r="J19" s="7"/>
      <c r="K19" s="411"/>
      <c r="L19" s="411"/>
      <c r="M19" s="411"/>
      <c r="N19" s="411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12"/>
      <c r="AD19" s="412"/>
      <c r="AE19" s="412"/>
      <c r="AF19" s="412"/>
      <c r="AG19" s="412"/>
      <c r="AH19" s="412"/>
      <c r="AI19" s="412"/>
      <c r="AJ19" s="412"/>
      <c r="AK19" s="412"/>
      <c r="AL19" s="412"/>
      <c r="AM19" s="412"/>
      <c r="AN19" s="412"/>
      <c r="AO19" s="412"/>
      <c r="AP19" s="412"/>
      <c r="AQ19" s="412"/>
      <c r="AR19" s="412"/>
      <c r="AS19" s="412"/>
      <c r="AT19" s="412"/>
      <c r="AU19" s="413"/>
      <c r="AV19" s="414"/>
      <c r="AW19" s="414"/>
      <c r="AX19" s="414"/>
    </row>
    <row r="20" spans="1:62" ht="15.75" customHeight="1" outlineLevel="1" x14ac:dyDescent="0.3">
      <c r="A20" s="13"/>
      <c r="B20" s="13"/>
      <c r="C20" s="13"/>
      <c r="D20" s="9" t="s">
        <v>144</v>
      </c>
      <c r="E20" s="8" t="s">
        <v>63</v>
      </c>
      <c r="F20" s="184"/>
      <c r="G20" s="40"/>
      <c r="H20" s="40"/>
      <c r="I20" s="184"/>
      <c r="J20" s="41"/>
      <c r="K20" s="351">
        <f xml:space="preserve"> INDEX(Себестоимость!$K$70:$M$70, 1, MATCH(K$4, Себестоимость!$K$59:$M$59, 0))</f>
        <v>138.32000000000002</v>
      </c>
      <c r="L20" s="268">
        <f xml:space="preserve"> INDEX(Себестоимость!$K$70:$M$70, 1, MATCH(L$4, Себестоимость!$K$59:$M$59, 0))</f>
        <v>138.32000000000002</v>
      </c>
      <c r="M20" s="35">
        <f xml:space="preserve"> INDEX(Себестоимость!$K$70:$M$70, 1, MATCH(M$4, Себестоимость!$K$59:$M$59, 0))</f>
        <v>138.32000000000002</v>
      </c>
      <c r="N20" s="35">
        <f xml:space="preserve"> INDEX(Себестоимость!$K$70:$M$70, 1, MATCH(N$4, Себестоимость!$K$59:$M$59, 0))</f>
        <v>138.32000000000002</v>
      </c>
      <c r="O20" s="35">
        <f xml:space="preserve"> INDEX(Себестоимость!$K$70:$M$70, 1, MATCH(O$4, Себестоимость!$K$59:$M$59, 0))</f>
        <v>138.32000000000002</v>
      </c>
      <c r="P20" s="35">
        <f xml:space="preserve"> INDEX(Себестоимость!$K$70:$M$70, 1, MATCH(P$4, Себестоимость!$K$59:$M$59, 0))</f>
        <v>138.32000000000002</v>
      </c>
      <c r="Q20" s="35">
        <f xml:space="preserve"> INDEX(Себестоимость!$K$70:$M$70, 1, MATCH(Q$4, Себестоимость!$K$59:$M$59, 0))</f>
        <v>138.32000000000002</v>
      </c>
      <c r="R20" s="35">
        <f xml:space="preserve"> INDEX(Себестоимость!$K$70:$M$70, 1, MATCH(R$4, Себестоимость!$K$59:$M$59, 0))</f>
        <v>138.32000000000002</v>
      </c>
      <c r="S20" s="35">
        <f xml:space="preserve"> INDEX(Себестоимость!$K$70:$M$70, 1, MATCH(S$4, Себестоимость!$K$59:$M$59, 0))</f>
        <v>138.32000000000002</v>
      </c>
      <c r="T20" s="35">
        <f xml:space="preserve"> INDEX(Себестоимость!$K$70:$M$70, 1, MATCH(T$4, Себестоимость!$K$59:$M$59, 0))</f>
        <v>138.32000000000002</v>
      </c>
      <c r="U20" s="35">
        <f xml:space="preserve"> INDEX(Себестоимость!$K$70:$M$70, 1, MATCH(U$4, Себестоимость!$K$59:$M$59, 0))</f>
        <v>138.32000000000002</v>
      </c>
      <c r="V20" s="35">
        <f xml:space="preserve"> INDEX(Себестоимость!$K$70:$M$70, 1, MATCH(V$4, Себестоимость!$K$59:$M$59, 0))</f>
        <v>138.32000000000002</v>
      </c>
      <c r="W20" s="35">
        <f xml:space="preserve"> INDEX(Себестоимость!$K$70:$M$70, 1, MATCH(W$4, Себестоимость!$K$59:$M$59, 0))</f>
        <v>136.55488372093023</v>
      </c>
      <c r="X20" s="35">
        <f xml:space="preserve"> INDEX(Себестоимость!$K$70:$M$70, 1, MATCH(X$4, Себестоимость!$K$59:$M$59, 0))</f>
        <v>136.55488372093023</v>
      </c>
      <c r="Y20" s="35">
        <f xml:space="preserve"> INDEX(Себестоимость!$K$70:$M$70, 1, MATCH(Y$4, Себестоимость!$K$59:$M$59, 0))</f>
        <v>136.55488372093023</v>
      </c>
      <c r="Z20" s="35">
        <f xml:space="preserve"> INDEX(Себестоимость!$K$70:$M$70, 1, MATCH(Z$4, Себестоимость!$K$59:$M$59, 0))</f>
        <v>136.55488372093023</v>
      </c>
      <c r="AA20" s="35">
        <f xml:space="preserve"> INDEX(Себестоимость!$K$70:$M$70, 1, MATCH(AA$4, Себестоимость!$K$59:$M$59, 0))</f>
        <v>136.55488372093023</v>
      </c>
      <c r="AB20" s="35">
        <f xml:space="preserve"> INDEX(Себестоимость!$K$70:$M$70, 1, MATCH(AB$4, Себестоимость!$K$59:$M$59, 0))</f>
        <v>136.55488372093023</v>
      </c>
      <c r="AC20" s="35">
        <f xml:space="preserve"> INDEX(Себестоимость!$K$70:$M$70, 1, MATCH(AC$4, Себестоимость!$K$59:$M$59, 0))</f>
        <v>136.55488372093023</v>
      </c>
      <c r="AD20" s="35">
        <f xml:space="preserve"> INDEX(Себестоимость!$K$70:$M$70, 1, MATCH(AD$4, Себестоимость!$K$59:$M$59, 0))</f>
        <v>136.55488372093023</v>
      </c>
      <c r="AE20" s="35">
        <f xml:space="preserve"> INDEX(Себестоимость!$K$70:$M$70, 1, MATCH(AE$4, Себестоимость!$K$59:$M$59, 0))</f>
        <v>136.55488372093023</v>
      </c>
      <c r="AF20" s="35">
        <f xml:space="preserve"> INDEX(Себестоимость!$K$70:$M$70, 1, MATCH(AF$4, Себестоимость!$K$59:$M$59, 0))</f>
        <v>136.55488372093023</v>
      </c>
      <c r="AG20" s="35">
        <f xml:space="preserve"> INDEX(Себестоимость!$K$70:$M$70, 1, MATCH(AG$4, Себестоимость!$K$59:$M$59, 0))</f>
        <v>136.55488372093023</v>
      </c>
      <c r="AH20" s="35">
        <f xml:space="preserve"> INDEX(Себестоимость!$K$70:$M$70, 1, MATCH(AH$4, Себестоимость!$K$59:$M$59, 0))</f>
        <v>136.55488372093023</v>
      </c>
      <c r="AI20" s="35">
        <f xml:space="preserve"> INDEX(Себестоимость!$K$70:$M$70, 1, MATCH(AI$4, Себестоимость!$K$59:$M$59, 0))</f>
        <v>136.29906976744186</v>
      </c>
      <c r="AJ20" s="35">
        <f xml:space="preserve"> INDEX(Себестоимость!$K$70:$M$70, 1, MATCH(AJ$4, Себестоимость!$K$59:$M$59, 0))</f>
        <v>136.29906976744186</v>
      </c>
      <c r="AK20" s="35">
        <f xml:space="preserve"> INDEX(Себестоимость!$K$70:$M$70, 1, MATCH(AK$4, Себестоимость!$K$59:$M$59, 0))</f>
        <v>136.29906976744186</v>
      </c>
      <c r="AL20" s="35">
        <f xml:space="preserve"> INDEX(Себестоимость!$K$70:$M$70, 1, MATCH(AL$4, Себестоимость!$K$59:$M$59, 0))</f>
        <v>136.29906976744186</v>
      </c>
      <c r="AM20" s="35">
        <f xml:space="preserve"> INDEX(Себестоимость!$K$70:$M$70, 1, MATCH(AM$4, Себестоимость!$K$59:$M$59, 0))</f>
        <v>136.29906976744186</v>
      </c>
      <c r="AN20" s="35">
        <f xml:space="preserve"> INDEX(Себестоимость!$K$70:$M$70, 1, MATCH(AN$4, Себестоимость!$K$59:$M$59, 0))</f>
        <v>136.29906976744186</v>
      </c>
      <c r="AO20" s="35">
        <f xml:space="preserve"> INDEX(Себестоимость!$K$70:$M$70, 1, MATCH(AO$4, Себестоимость!$K$59:$M$59, 0))</f>
        <v>136.29906976744186</v>
      </c>
      <c r="AP20" s="35">
        <f xml:space="preserve"> INDEX(Себестоимость!$K$70:$M$70, 1, MATCH(AP$4, Себестоимость!$K$59:$M$59, 0))</f>
        <v>136.29906976744186</v>
      </c>
      <c r="AQ20" s="35">
        <f xml:space="preserve"> INDEX(Себестоимость!$K$70:$M$70, 1, MATCH(AQ$4, Себестоимость!$K$59:$M$59, 0))</f>
        <v>136.29906976744186</v>
      </c>
      <c r="AR20" s="35">
        <f xml:space="preserve"> INDEX(Себестоимость!$K$70:$M$70, 1, MATCH(AR$4, Себестоимость!$K$59:$M$59, 0))</f>
        <v>136.29906976744186</v>
      </c>
      <c r="AS20" s="35">
        <f xml:space="preserve"> INDEX(Себестоимость!$K$70:$M$70, 1, MATCH(AS$4, Себестоимость!$K$59:$M$59, 0))</f>
        <v>136.29906976744186</v>
      </c>
      <c r="AT20" s="35">
        <f xml:space="preserve"> INDEX(Себестоимость!$K$70:$M$70, 1, MATCH(AT$4, Себестоимость!$K$59:$M$59, 0))</f>
        <v>136.29906976744186</v>
      </c>
      <c r="AU20" s="38"/>
      <c r="AV20" s="8"/>
      <c r="AW20" s="8"/>
      <c r="AX20" s="8"/>
    </row>
    <row r="21" spans="1:62" ht="15.75" customHeight="1" outlineLevel="1" x14ac:dyDescent="0.3">
      <c r="A21" s="13"/>
      <c r="B21" s="13"/>
      <c r="C21" s="13"/>
      <c r="D21" s="9" t="s">
        <v>145</v>
      </c>
      <c r="E21" s="39" t="s">
        <v>63</v>
      </c>
      <c r="F21" s="184"/>
      <c r="G21" s="40"/>
      <c r="H21" s="184"/>
      <c r="I21" s="184"/>
      <c r="J21" s="7"/>
      <c r="K21" s="35">
        <f xml:space="preserve"> K20</f>
        <v>138.32000000000002</v>
      </c>
      <c r="L21" s="268">
        <f t="shared" ref="L21:AT21" si="6" xml:space="preserve"> L20 * L13</f>
        <v>139.37792482510471</v>
      </c>
      <c r="M21" s="268">
        <f t="shared" si="6"/>
        <v>139.9379734663365</v>
      </c>
      <c r="N21" s="268">
        <f t="shared" si="6"/>
        <v>140.48149284342173</v>
      </c>
      <c r="O21" s="268">
        <f t="shared" si="6"/>
        <v>141.04597584375264</v>
      </c>
      <c r="P21" s="268">
        <f t="shared" si="6"/>
        <v>141.59379870435322</v>
      </c>
      <c r="Q21" s="268">
        <f t="shared" si="6"/>
        <v>142.16275117419897</v>
      </c>
      <c r="R21" s="268">
        <f t="shared" si="6"/>
        <v>142.73398980993551</v>
      </c>
      <c r="S21" s="268">
        <f t="shared" si="6"/>
        <v>143.28836892025649</v>
      </c>
      <c r="T21" s="268">
        <f t="shared" si="6"/>
        <v>143.86413051534984</v>
      </c>
      <c r="U21" s="268">
        <f t="shared" si="6"/>
        <v>144.42289909449769</v>
      </c>
      <c r="V21" s="268">
        <f t="shared" si="6"/>
        <v>145.00321946088371</v>
      </c>
      <c r="W21" s="268">
        <f t="shared" si="6"/>
        <v>143.59231282149591</v>
      </c>
      <c r="X21" s="268">
        <f t="shared" si="6"/>
        <v>143.98901177785262</v>
      </c>
      <c r="Y21" s="268">
        <f t="shared" si="6"/>
        <v>144.43107390146909</v>
      </c>
      <c r="Z21" s="268">
        <f t="shared" si="6"/>
        <v>144.85969065141444</v>
      </c>
      <c r="AA21" s="268">
        <f t="shared" si="6"/>
        <v>145.30442585506032</v>
      </c>
      <c r="AB21" s="268">
        <f t="shared" si="6"/>
        <v>145.73563438297833</v>
      </c>
      <c r="AC21" s="268">
        <f t="shared" si="6"/>
        <v>146.18305883034748</v>
      </c>
      <c r="AD21" s="268">
        <f t="shared" si="6"/>
        <v>146.63185692004473</v>
      </c>
      <c r="AE21" s="268">
        <f t="shared" si="6"/>
        <v>147.06700476083691</v>
      </c>
      <c r="AF21" s="268">
        <f t="shared" si="6"/>
        <v>147.51851666188941</v>
      </c>
      <c r="AG21" s="268">
        <f t="shared" si="6"/>
        <v>147.95629577313187</v>
      </c>
      <c r="AH21" s="268">
        <f t="shared" si="6"/>
        <v>148.41053789552942</v>
      </c>
      <c r="AI21" s="268">
        <f t="shared" si="6"/>
        <v>148.61080772915162</v>
      </c>
      <c r="AJ21" s="268">
        <f t="shared" si="6"/>
        <v>149.04259211475707</v>
      </c>
      <c r="AK21" s="268">
        <f t="shared" si="6"/>
        <v>149.52382407198547</v>
      </c>
      <c r="AL21" s="268">
        <f t="shared" si="6"/>
        <v>149.9904918958398</v>
      </c>
      <c r="AM21" s="268">
        <f t="shared" si="6"/>
        <v>150.47478445246082</v>
      </c>
      <c r="AN21" s="268">
        <f t="shared" si="6"/>
        <v>150.94442024890469</v>
      </c>
      <c r="AO21" s="268">
        <f t="shared" si="6"/>
        <v>151.43179287010247</v>
      </c>
      <c r="AP21" s="268">
        <f t="shared" si="6"/>
        <v>151.92073913060074</v>
      </c>
      <c r="AQ21" s="268">
        <f t="shared" si="6"/>
        <v>152.39488778997617</v>
      </c>
      <c r="AR21" s="268">
        <f t="shared" si="6"/>
        <v>152.88694371226114</v>
      </c>
      <c r="AS21" s="268">
        <f t="shared" si="6"/>
        <v>153.36410792178262</v>
      </c>
      <c r="AT21" s="268">
        <f t="shared" si="6"/>
        <v>153.85929328307154</v>
      </c>
      <c r="AU21" s="38"/>
      <c r="AV21" s="8"/>
      <c r="AW21" s="8"/>
      <c r="AX21" s="8"/>
    </row>
    <row r="22" spans="1:62" ht="15.75" customHeight="1" outlineLevel="1" x14ac:dyDescent="0.3">
      <c r="A22" s="13"/>
      <c r="B22" s="13"/>
      <c r="C22" s="13"/>
      <c r="D22" s="9" t="s">
        <v>92</v>
      </c>
      <c r="E22" s="8" t="s">
        <v>36</v>
      </c>
      <c r="F22" s="184"/>
      <c r="G22" s="40"/>
      <c r="H22" s="184"/>
      <c r="I22" s="184"/>
      <c r="J22" s="7"/>
      <c r="K22" s="268">
        <f xml:space="preserve"> Прогнозы!K24</f>
        <v>0</v>
      </c>
      <c r="L22" s="268">
        <f xml:space="preserve"> Прогнозы!L24</f>
        <v>326027.39726027398</v>
      </c>
      <c r="M22" s="35">
        <f xml:space="preserve"> Прогнозы!M24</f>
        <v>382191.78082191781</v>
      </c>
      <c r="N22" s="35">
        <f xml:space="preserve"> Прогнозы!N24</f>
        <v>452054.79452054796</v>
      </c>
      <c r="O22" s="35">
        <f xml:space="preserve"> Прогнозы!O24</f>
        <v>509589.04109589034</v>
      </c>
      <c r="P22" s="35">
        <f xml:space="preserve"> Прогнозы!P24</f>
        <v>513698.63013698626</v>
      </c>
      <c r="Q22" s="35">
        <f xml:space="preserve"> Прогнозы!Q24</f>
        <v>509589.04109589034</v>
      </c>
      <c r="R22" s="35">
        <f xml:space="preserve"> Прогнозы!R24</f>
        <v>467123.28767123289</v>
      </c>
      <c r="S22" s="35">
        <f xml:space="preserve"> Прогнозы!S24</f>
        <v>431506.84931506845</v>
      </c>
      <c r="T22" s="35">
        <f xml:space="preserve"> Прогнозы!T24</f>
        <v>403424.65753424651</v>
      </c>
      <c r="U22" s="35">
        <f xml:space="preserve"> Прогнозы!U24</f>
        <v>349315.06849315064</v>
      </c>
      <c r="V22" s="35">
        <f xml:space="preserve"> Прогнозы!V24</f>
        <v>339726.0273972603</v>
      </c>
      <c r="W22" s="35">
        <f xml:space="preserve"> Прогнозы!W24</f>
        <v>684760.27397260279</v>
      </c>
      <c r="X22" s="35">
        <f xml:space="preserve"> Прогнозы!X24</f>
        <v>700958.90410958906</v>
      </c>
      <c r="Y22" s="35">
        <f xml:space="preserve"> Прогнозы!Y24</f>
        <v>821712.32876712328</v>
      </c>
      <c r="Z22" s="35">
        <f xml:space="preserve"> Прогнозы!Z24</f>
        <v>971917.80821917811</v>
      </c>
      <c r="AA22" s="35">
        <f xml:space="preserve"> Прогнозы!AA24</f>
        <v>1095616.4383561644</v>
      </c>
      <c r="AB22" s="35">
        <f xml:space="preserve"> Прогнозы!AB24</f>
        <v>1104452.0547945206</v>
      </c>
      <c r="AC22" s="35">
        <f xml:space="preserve"> Прогнозы!AC24</f>
        <v>1095616.4383561644</v>
      </c>
      <c r="AD22" s="35">
        <f xml:space="preserve"> Прогнозы!AD24</f>
        <v>1004315.0684931508</v>
      </c>
      <c r="AE22" s="35">
        <f xml:space="preserve"> Прогнозы!AE24</f>
        <v>927739.72602739732</v>
      </c>
      <c r="AF22" s="35">
        <f xml:space="preserve"> Прогнозы!AF24</f>
        <v>867363.01369863015</v>
      </c>
      <c r="AG22" s="35">
        <f xml:space="preserve"> Прогнозы!AG24</f>
        <v>751027.39726027392</v>
      </c>
      <c r="AH22" s="35">
        <f xml:space="preserve"> Прогнозы!AH24</f>
        <v>730410.95890410966</v>
      </c>
      <c r="AI22" s="35">
        <f xml:space="preserve"> Прогнозы!AI24</f>
        <v>821712.32876712328</v>
      </c>
      <c r="AJ22" s="35">
        <f xml:space="preserve"> Прогнозы!AJ24</f>
        <v>841150.68493150687</v>
      </c>
      <c r="AK22" s="35">
        <f xml:space="preserve"> Прогнозы!AK24</f>
        <v>986054.79452054796</v>
      </c>
      <c r="AL22" s="35">
        <f xml:space="preserve"> Прогнозы!AL24</f>
        <v>1166301.3698630137</v>
      </c>
      <c r="AM22" s="35">
        <f xml:space="preserve"> Прогнозы!AM24</f>
        <v>1314739.7260273972</v>
      </c>
      <c r="AN22" s="35">
        <f xml:space="preserve"> Прогнозы!AN24</f>
        <v>1325342.4657534247</v>
      </c>
      <c r="AO22" s="35">
        <f xml:space="preserve"> Прогнозы!AO24</f>
        <v>1314739.7260273972</v>
      </c>
      <c r="AP22" s="35">
        <f xml:space="preserve"> Прогнозы!AP24</f>
        <v>1205178.0821917809</v>
      </c>
      <c r="AQ22" s="35">
        <f xml:space="preserve"> Прогнозы!AQ24</f>
        <v>1113287.6712328768</v>
      </c>
      <c r="AR22" s="35">
        <f xml:space="preserve"> Прогнозы!AR24</f>
        <v>1040835.6164383561</v>
      </c>
      <c r="AS22" s="35">
        <f xml:space="preserve"> Прогнозы!AS24</f>
        <v>901232.87671232875</v>
      </c>
      <c r="AT22" s="35">
        <f xml:space="preserve"> Прогнозы!AT24</f>
        <v>876493.15068493155</v>
      </c>
      <c r="AU22" s="38"/>
      <c r="AV22" s="8"/>
      <c r="AW22" s="8"/>
      <c r="AX22" s="8"/>
    </row>
    <row r="23" spans="1:62" ht="15.75" customHeight="1" outlineLevel="1" x14ac:dyDescent="0.3">
      <c r="A23" s="13"/>
      <c r="B23" s="13"/>
      <c r="C23" s="13"/>
      <c r="D23" s="9"/>
      <c r="E23" s="8"/>
      <c r="F23" s="181"/>
      <c r="G23" s="30"/>
      <c r="H23" s="8"/>
      <c r="I23" s="8"/>
      <c r="J23" s="47"/>
      <c r="K23" s="324"/>
      <c r="L23" s="324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8"/>
      <c r="AW23" s="8"/>
      <c r="AX23" s="8"/>
    </row>
    <row r="24" spans="1:62" ht="15.75" customHeight="1" outlineLevel="1" x14ac:dyDescent="0.3">
      <c r="A24" s="13"/>
      <c r="B24" s="13"/>
      <c r="C24" s="13"/>
      <c r="D24" s="9" t="str">
        <f xml:space="preserve"> 'Assumptions and inputs'!D21</f>
        <v>Налог на прибыль</v>
      </c>
      <c r="E24" s="8" t="str">
        <f xml:space="preserve"> 'Assumptions and inputs'!E21</f>
        <v>%</v>
      </c>
      <c r="F24" s="8"/>
      <c r="G24" s="8"/>
      <c r="H24" s="43">
        <f xml:space="preserve"> 'Assumptions and inputs'!H21</f>
        <v>0.2</v>
      </c>
      <c r="I24" s="8">
        <f xml:space="preserve"> 'Assumptions and inputs'!I21</f>
        <v>0</v>
      </c>
      <c r="J24" s="47"/>
      <c r="K24" s="324"/>
      <c r="L24" s="324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8"/>
      <c r="AW24" s="8"/>
      <c r="AX24" s="8"/>
    </row>
    <row r="25" spans="1:62" ht="12.45" outlineLevel="1" x14ac:dyDescent="0.3">
      <c r="A25" s="13"/>
      <c r="B25" s="13"/>
      <c r="C25" s="13"/>
      <c r="D25" s="9" t="str">
        <f xml:space="preserve"> 'Assumptions and inputs'!D22</f>
        <v>НДС</v>
      </c>
      <c r="E25" s="8" t="str">
        <f xml:space="preserve"> 'Assumptions and inputs'!E22</f>
        <v>%</v>
      </c>
      <c r="F25" s="8"/>
      <c r="G25" s="8"/>
      <c r="H25" s="43">
        <f xml:space="preserve"> 'Assumptions and inputs'!H22</f>
        <v>0.2</v>
      </c>
      <c r="I25" s="8">
        <f xml:space="preserve"> 'Assumptions and inputs'!I22</f>
        <v>0</v>
      </c>
      <c r="J25" s="41"/>
      <c r="K25" s="324"/>
      <c r="L25" s="324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8"/>
      <c r="AW25" s="8"/>
      <c r="AX25" s="8"/>
    </row>
    <row r="26" spans="1:62" ht="15.75" customHeight="1" x14ac:dyDescent="0.3">
      <c r="A26" s="13"/>
      <c r="B26" s="13"/>
      <c r="C26" s="13"/>
      <c r="D26" s="9"/>
      <c r="E26" s="8"/>
      <c r="F26" s="181"/>
      <c r="G26" s="30"/>
      <c r="H26" s="8"/>
      <c r="I26" s="8"/>
      <c r="J26" s="494"/>
      <c r="K26" s="324"/>
      <c r="L26" s="324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8"/>
      <c r="AW26" s="8"/>
      <c r="AX26" s="8"/>
    </row>
    <row r="27" spans="1:62" ht="15.75" customHeight="1" x14ac:dyDescent="0.3">
      <c r="A27" s="13"/>
      <c r="B27" s="105"/>
      <c r="C27" s="105"/>
      <c r="D27" s="104" t="s">
        <v>289</v>
      </c>
      <c r="E27" s="105"/>
      <c r="F27" s="105"/>
      <c r="G27" s="106"/>
      <c r="H27" s="105"/>
      <c r="I27" s="105"/>
      <c r="J27" s="47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60"/>
      <c r="AX27" s="160"/>
      <c r="AY27" s="160"/>
      <c r="AZ27" s="160"/>
    </row>
    <row r="28" spans="1:62" s="344" customFormat="1" ht="15.75" customHeight="1" outlineLevel="1" x14ac:dyDescent="0.3">
      <c r="A28" s="453"/>
      <c r="B28" s="453"/>
      <c r="C28" s="453"/>
      <c r="D28" s="491"/>
      <c r="E28" s="492"/>
      <c r="F28" s="492"/>
      <c r="G28" s="493"/>
      <c r="H28" s="492"/>
      <c r="I28" s="492"/>
      <c r="J28" s="49"/>
      <c r="K28" s="494"/>
      <c r="L28" s="495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495"/>
      <c r="Y28" s="495"/>
      <c r="Z28" s="495"/>
      <c r="AA28" s="495"/>
      <c r="AB28" s="495"/>
      <c r="AC28" s="495"/>
      <c r="AD28" s="495"/>
      <c r="AE28" s="495"/>
      <c r="AF28" s="495"/>
      <c r="AG28" s="495"/>
      <c r="AH28" s="495"/>
      <c r="AI28" s="495"/>
      <c r="AJ28" s="495"/>
      <c r="AK28" s="495"/>
      <c r="AL28" s="495"/>
      <c r="AM28" s="495"/>
      <c r="AN28" s="495"/>
      <c r="AO28" s="495"/>
      <c r="AP28" s="495"/>
      <c r="AQ28" s="495"/>
      <c r="AR28" s="495"/>
      <c r="AS28" s="495"/>
      <c r="AT28" s="495"/>
      <c r="AU28" s="495"/>
      <c r="AV28" s="495"/>
      <c r="AW28" s="496"/>
      <c r="AX28" s="496"/>
      <c r="AY28" s="496"/>
      <c r="AZ28" s="496"/>
    </row>
    <row r="29" spans="1:62" ht="15.75" customHeight="1" outlineLevel="1" x14ac:dyDescent="0.3">
      <c r="A29" s="13"/>
      <c r="B29" s="431"/>
      <c r="C29" s="20"/>
      <c r="D29" s="185" t="s">
        <v>230</v>
      </c>
      <c r="E29" s="186"/>
      <c r="F29" s="187"/>
      <c r="G29" s="188"/>
      <c r="H29" s="189"/>
      <c r="I29" s="187"/>
      <c r="J29" s="52"/>
      <c r="K29" s="190"/>
      <c r="L29" s="190"/>
      <c r="M29" s="190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</row>
    <row r="30" spans="1:62" ht="15.75" customHeight="1" outlineLevel="1" x14ac:dyDescent="0.3">
      <c r="A30" s="13"/>
      <c r="B30" s="13"/>
      <c r="C30" s="13"/>
      <c r="D30" s="136"/>
      <c r="E30" s="137"/>
      <c r="F30" s="138"/>
      <c r="G30" s="139"/>
      <c r="H30" s="140"/>
      <c r="I30" s="138"/>
      <c r="J30" s="52"/>
      <c r="K30" s="352"/>
      <c r="L30" s="352"/>
      <c r="M30" s="14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62" s="429" customFormat="1" ht="15.75" customHeight="1" outlineLevel="1" x14ac:dyDescent="0.3">
      <c r="A31" s="13"/>
      <c r="B31" s="13"/>
      <c r="C31" s="421"/>
      <c r="D31" s="422" t="s">
        <v>146</v>
      </c>
      <c r="E31" s="423"/>
      <c r="F31" s="424"/>
      <c r="G31" s="425"/>
      <c r="H31" s="423"/>
      <c r="I31" s="423"/>
      <c r="J31" s="52"/>
      <c r="K31" s="509">
        <f t="shared" ref="K31:AT31" ca="1" si="7" xml:space="preserve"> K32 - K33 - K37 - K38</f>
        <v>0</v>
      </c>
      <c r="L31" s="426">
        <f t="shared" ca="1" si="7"/>
        <v>-45441022.066267021</v>
      </c>
      <c r="M31" s="426">
        <f t="shared" ca="1" si="7"/>
        <v>7576544.1037122756</v>
      </c>
      <c r="N31" s="426">
        <f t="shared" ca="1" si="7"/>
        <v>8351051.1967523843</v>
      </c>
      <c r="O31" s="426">
        <f t="shared" ca="1" si="7"/>
        <v>13457450.546139166</v>
      </c>
      <c r="P31" s="426">
        <f t="shared" ca="1" si="7"/>
        <v>23016153.450121887</v>
      </c>
      <c r="Q31" s="426">
        <f t="shared" ca="1" si="7"/>
        <v>23249411.233665995</v>
      </c>
      <c r="R31" s="426">
        <f t="shared" ca="1" si="7"/>
        <v>28643839.339196995</v>
      </c>
      <c r="S31" s="426">
        <f t="shared" ca="1" si="7"/>
        <v>26050006.896286506</v>
      </c>
      <c r="T31" s="426">
        <f t="shared" ca="1" si="7"/>
        <v>23617764.514455058</v>
      </c>
      <c r="U31" s="426">
        <f t="shared" ca="1" si="7"/>
        <v>26316897.190499861</v>
      </c>
      <c r="V31" s="426">
        <f t="shared" ca="1" si="7"/>
        <v>17746516.738130502</v>
      </c>
      <c r="W31" s="426">
        <f t="shared" ca="1" si="7"/>
        <v>-33012112.892632108</v>
      </c>
      <c r="X31" s="426">
        <f t="shared" ca="1" si="7"/>
        <v>28963278.324749757</v>
      </c>
      <c r="Y31" s="426">
        <f t="shared" ca="1" si="7"/>
        <v>14638231.674887534</v>
      </c>
      <c r="Z31" s="426">
        <f t="shared" ca="1" si="7"/>
        <v>15593155.983287966</v>
      </c>
      <c r="AA31" s="426">
        <f t="shared" ca="1" si="7"/>
        <v>25954479.288531132</v>
      </c>
      <c r="AB31" s="426">
        <f t="shared" ca="1" si="7"/>
        <v>48107587.805097654</v>
      </c>
      <c r="AC31" s="426">
        <f t="shared" ca="1" si="7"/>
        <v>51214934.329568692</v>
      </c>
      <c r="AD31" s="426">
        <f t="shared" ca="1" si="7"/>
        <v>63073944.164737299</v>
      </c>
      <c r="AE31" s="426">
        <f t="shared" ca="1" si="7"/>
        <v>57109874.28539829</v>
      </c>
      <c r="AF31" s="426">
        <f t="shared" ca="1" si="7"/>
        <v>51541449.290744781</v>
      </c>
      <c r="AG31" s="426">
        <f t="shared" ca="1" si="7"/>
        <v>55910835.472742423</v>
      </c>
      <c r="AH31" s="426">
        <f t="shared" ca="1" si="7"/>
        <v>31050858.531154975</v>
      </c>
      <c r="AI31" s="426">
        <f t="shared" ca="1" si="7"/>
        <v>16687514.418975163</v>
      </c>
      <c r="AJ31" s="426">
        <f t="shared" ca="1" si="7"/>
        <v>28904861.939051729</v>
      </c>
      <c r="AK31" s="426">
        <f t="shared" ca="1" si="7"/>
        <v>14052088.811180096</v>
      </c>
      <c r="AL31" s="426">
        <f t="shared" ca="1" si="7"/>
        <v>14861772.288633198</v>
      </c>
      <c r="AM31" s="426">
        <f t="shared" ca="1" si="7"/>
        <v>25368158.308994308</v>
      </c>
      <c r="AN31" s="426">
        <f t="shared" ca="1" si="7"/>
        <v>48129011.961543515</v>
      </c>
      <c r="AO31" s="426">
        <f t="shared" ca="1" si="7"/>
        <v>51337091.417404316</v>
      </c>
      <c r="AP31" s="426">
        <f t="shared" ca="1" si="7"/>
        <v>63639777.448538102</v>
      </c>
      <c r="AQ31" s="426">
        <f t="shared" ca="1" si="7"/>
        <v>57600829.732170932</v>
      </c>
      <c r="AR31" s="426">
        <f t="shared" ca="1" si="7"/>
        <v>51948887.086705148</v>
      </c>
      <c r="AS31" s="426">
        <f t="shared" ca="1" si="7"/>
        <v>58033351.440794051</v>
      </c>
      <c r="AT31" s="426">
        <f t="shared" ca="1" si="7"/>
        <v>38357819.73311685</v>
      </c>
      <c r="AU31" s="427"/>
      <c r="AV31" s="427"/>
      <c r="AW31" s="427"/>
      <c r="AX31" s="427"/>
      <c r="AY31" s="428"/>
      <c r="AZ31" s="428"/>
      <c r="BA31" s="428"/>
      <c r="BB31" s="428"/>
      <c r="BC31" s="428"/>
      <c r="BD31" s="428"/>
      <c r="BE31" s="428"/>
      <c r="BF31" s="428"/>
      <c r="BG31" s="428"/>
      <c r="BH31" s="428"/>
      <c r="BI31" s="428"/>
      <c r="BJ31" s="428"/>
    </row>
    <row r="32" spans="1:62" ht="15.75" customHeight="1" outlineLevel="1" x14ac:dyDescent="0.3">
      <c r="A32" s="13"/>
      <c r="B32" s="13"/>
      <c r="C32" s="13"/>
      <c r="D32" s="19" t="s">
        <v>147</v>
      </c>
      <c r="E32" s="7" t="s">
        <v>63</v>
      </c>
      <c r="F32" s="138"/>
      <c r="G32" s="139"/>
      <c r="H32" s="140"/>
      <c r="I32" s="138"/>
      <c r="J32" s="7"/>
      <c r="K32" s="267">
        <f t="shared" ref="K32:AT32" ca="1" si="8" xml:space="preserve"> K16 * K17</f>
        <v>0</v>
      </c>
      <c r="L32" s="267">
        <f t="shared" ca="1" si="8"/>
        <v>0</v>
      </c>
      <c r="M32" s="36">
        <f t="shared" ca="1" si="8"/>
        <v>81412916.516562268</v>
      </c>
      <c r="N32" s="36">
        <f t="shared" ca="1" si="8"/>
        <v>95808511.437366948</v>
      </c>
      <c r="O32" s="36">
        <f t="shared" ca="1" si="8"/>
        <v>113777245.50238825</v>
      </c>
      <c r="P32" s="36">
        <f t="shared" ca="1" si="8"/>
        <v>128756140.12014681</v>
      </c>
      <c r="Q32" s="36">
        <f t="shared" ca="1" si="8"/>
        <v>130316036.57860987</v>
      </c>
      <c r="R32" s="36">
        <f t="shared" ca="1" si="8"/>
        <v>129792955.34155795</v>
      </c>
      <c r="S32" s="36">
        <f t="shared" ca="1" si="8"/>
        <v>119438982.16007751</v>
      </c>
      <c r="T32" s="36">
        <f t="shared" ca="1" si="8"/>
        <v>110775534.64168075</v>
      </c>
      <c r="U32" s="36">
        <f t="shared" ca="1" si="8"/>
        <v>103968585.03219773</v>
      </c>
      <c r="V32" s="36">
        <f t="shared" ca="1" si="8"/>
        <v>90385465.902568489</v>
      </c>
      <c r="W32" s="36">
        <f t="shared" ca="1" si="8"/>
        <v>88174172.120698452</v>
      </c>
      <c r="X32" s="36">
        <f t="shared" ca="1" si="8"/>
        <v>178217065.11792254</v>
      </c>
      <c r="Y32" s="36">
        <f t="shared" ca="1" si="8"/>
        <v>182993041.93585503</v>
      </c>
      <c r="Z32" s="36">
        <f t="shared" ca="1" si="8"/>
        <v>215153658.76625445</v>
      </c>
      <c r="AA32" s="36">
        <f t="shared" ca="1" si="8"/>
        <v>255264112.48689115</v>
      </c>
      <c r="AB32" s="36">
        <f t="shared" ca="1" si="8"/>
        <v>288606212.06738973</v>
      </c>
      <c r="AC32" s="36">
        <f t="shared" ca="1" si="8"/>
        <v>291826879.96223366</v>
      </c>
      <c r="AD32" s="36">
        <f t="shared" ca="1" si="8"/>
        <v>290381038.05752778</v>
      </c>
      <c r="AE32" s="36">
        <f t="shared" ca="1" si="8"/>
        <v>266972547.46129599</v>
      </c>
      <c r="AF32" s="36">
        <f t="shared" ca="1" si="8"/>
        <v>247374010.30449256</v>
      </c>
      <c r="AG32" s="36">
        <f t="shared" ca="1" si="8"/>
        <v>231961403.62093493</v>
      </c>
      <c r="AH32" s="36">
        <f t="shared" ca="1" si="8"/>
        <v>201466062.55466497</v>
      </c>
      <c r="AI32" s="36">
        <f t="shared" ca="1" si="8"/>
        <v>196568262.81076965</v>
      </c>
      <c r="AJ32" s="36">
        <f t="shared" ca="1" si="8"/>
        <v>221781809.46289349</v>
      </c>
      <c r="AK32" s="36">
        <f t="shared" ca="1" si="8"/>
        <v>227761294.64716426</v>
      </c>
      <c r="AL32" s="36">
        <f t="shared" ca="1" si="8"/>
        <v>267830790.29604566</v>
      </c>
      <c r="AM32" s="36">
        <f t="shared" ca="1" si="8"/>
        <v>317811962.34750634</v>
      </c>
      <c r="AN32" s="36">
        <f t="shared" ca="1" si="8"/>
        <v>359378898.88929147</v>
      </c>
      <c r="AO32" s="36">
        <f t="shared" ca="1" si="8"/>
        <v>363446844.0326277</v>
      </c>
      <c r="AP32" s="36">
        <f t="shared" ca="1" si="8"/>
        <v>361703386.30055302</v>
      </c>
      <c r="AQ32" s="36">
        <f t="shared" ca="1" si="8"/>
        <v>332596249.4893204</v>
      </c>
      <c r="AR32" s="36">
        <f t="shared" ca="1" si="8"/>
        <v>308229018.17117786</v>
      </c>
      <c r="AS32" s="36">
        <f t="shared" ca="1" si="8"/>
        <v>289069054.55677271</v>
      </c>
      <c r="AT32" s="36">
        <f t="shared" ca="1" si="8"/>
        <v>251105649.5211513</v>
      </c>
      <c r="AU32" s="194"/>
      <c r="AV32" s="194"/>
      <c r="AW32" s="194"/>
      <c r="AX32" s="194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</row>
    <row r="33" spans="1:62" ht="15.75" customHeight="1" outlineLevel="1" x14ac:dyDescent="0.3">
      <c r="A33" s="13"/>
      <c r="B33" s="13"/>
      <c r="C33" s="13"/>
      <c r="D33" s="19" t="s">
        <v>148</v>
      </c>
      <c r="E33" s="7" t="s">
        <v>63</v>
      </c>
      <c r="F33" s="138"/>
      <c r="G33" s="139"/>
      <c r="H33" s="140"/>
      <c r="I33" s="138"/>
      <c r="J33" s="7"/>
      <c r="K33" s="267">
        <f t="shared" ref="K33:AT33" ca="1" si="9" xml:space="preserve"> SUM(K34:K36)</f>
        <v>0</v>
      </c>
      <c r="L33" s="267">
        <f t="shared" ca="1" si="9"/>
        <v>45441022.066267021</v>
      </c>
      <c r="M33" s="36">
        <f t="shared" ca="1" si="9"/>
        <v>73836372.412849993</v>
      </c>
      <c r="N33" s="36">
        <f t="shared" ca="1" si="9"/>
        <v>87457460.240614563</v>
      </c>
      <c r="O33" s="36">
        <f t="shared" ca="1" si="9"/>
        <v>100319794.95624909</v>
      </c>
      <c r="P33" s="36">
        <f t="shared" ca="1" si="9"/>
        <v>104925575.46035513</v>
      </c>
      <c r="Q33" s="36">
        <f t="shared" ca="1" si="9"/>
        <v>105023589.19506618</v>
      </c>
      <c r="R33" s="36">
        <f t="shared" ca="1" si="9"/>
        <v>99122609.417838812</v>
      </c>
      <c r="S33" s="36">
        <f t="shared" ca="1" si="9"/>
        <v>91689658.156294435</v>
      </c>
      <c r="T33" s="36">
        <f t="shared" ca="1" si="9"/>
        <v>85732221.245037332</v>
      </c>
      <c r="U33" s="36">
        <f t="shared" ca="1" si="9"/>
        <v>76441241.147223279</v>
      </c>
      <c r="V33" s="36">
        <f t="shared" ca="1" si="9"/>
        <v>71857734.182901248</v>
      </c>
      <c r="W33" s="36">
        <f t="shared" ca="1" si="9"/>
        <v>120369854.49818183</v>
      </c>
      <c r="X33" s="36">
        <f t="shared" ca="1" si="9"/>
        <v>145484646.17910692</v>
      </c>
      <c r="Y33" s="36">
        <f t="shared" ca="1" si="9"/>
        <v>164429054.56587642</v>
      </c>
      <c r="Z33" s="36">
        <f t="shared" ca="1" si="9"/>
        <v>194580127.72879449</v>
      </c>
      <c r="AA33" s="36">
        <f t="shared" ca="1" si="9"/>
        <v>223013945.65443134</v>
      </c>
      <c r="AB33" s="36">
        <f t="shared" ca="1" si="9"/>
        <v>233109573.86791083</v>
      </c>
      <c r="AC33" s="36">
        <f t="shared" ca="1" si="9"/>
        <v>233117282.25427336</v>
      </c>
      <c r="AD33" s="36">
        <f t="shared" ca="1" si="9"/>
        <v>219859842.94031453</v>
      </c>
      <c r="AE33" s="36">
        <f t="shared" ca="1" si="9"/>
        <v>203183039.56981277</v>
      </c>
      <c r="AF33" s="36">
        <f t="shared" ca="1" si="9"/>
        <v>189795607.7643311</v>
      </c>
      <c r="AG33" s="36">
        <f t="shared" ca="1" si="9"/>
        <v>169109582.62800026</v>
      </c>
      <c r="AH33" s="36">
        <f t="shared" ca="1" si="9"/>
        <v>158767198.9344146</v>
      </c>
      <c r="AI33" s="36">
        <f t="shared" ca="1" si="9"/>
        <v>171257398.60177678</v>
      </c>
      <c r="AJ33" s="36">
        <f t="shared" ca="1" si="9"/>
        <v>180812730.80701849</v>
      </c>
      <c r="AK33" s="36">
        <f t="shared" ca="1" si="9"/>
        <v>204379007.28301924</v>
      </c>
      <c r="AL33" s="36">
        <f t="shared" ca="1" si="9"/>
        <v>241891813.73855662</v>
      </c>
      <c r="AM33" s="36">
        <f t="shared" ca="1" si="9"/>
        <v>277288167.47193658</v>
      </c>
      <c r="AN33" s="36">
        <f t="shared" ca="1" si="9"/>
        <v>289897774.84672737</v>
      </c>
      <c r="AO33" s="36">
        <f t="shared" ca="1" si="9"/>
        <v>289955104.87803304</v>
      </c>
      <c r="AP33" s="36">
        <f t="shared" ca="1" si="9"/>
        <v>273517391.60571349</v>
      </c>
      <c r="AQ33" s="36">
        <f t="shared" ca="1" si="9"/>
        <v>252808412.10782823</v>
      </c>
      <c r="AR33" s="36">
        <f t="shared" ca="1" si="9"/>
        <v>236187430.84692204</v>
      </c>
      <c r="AS33" s="36">
        <f t="shared" ca="1" si="9"/>
        <v>210484039.80596137</v>
      </c>
      <c r="AT33" s="36">
        <f t="shared" ca="1" si="9"/>
        <v>197633029.11212409</v>
      </c>
      <c r="AU33" s="194"/>
      <c r="AV33" s="194"/>
      <c r="AW33" s="194"/>
      <c r="AX33" s="194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</row>
    <row r="34" spans="1:62" ht="15.75" customHeight="1" outlineLevel="1" x14ac:dyDescent="0.3">
      <c r="A34" s="13"/>
      <c r="B34" s="13"/>
      <c r="C34" s="13"/>
      <c r="D34" s="6" t="s">
        <v>149</v>
      </c>
      <c r="E34" s="7" t="s">
        <v>63</v>
      </c>
      <c r="F34" s="69"/>
      <c r="G34" s="40"/>
      <c r="H34" s="69"/>
      <c r="I34" s="69"/>
      <c r="J34" s="47"/>
      <c r="K34" s="267">
        <f t="shared" ref="K34:AT34" si="10" xml:space="preserve"> K21 * K22</f>
        <v>0</v>
      </c>
      <c r="L34" s="267">
        <f t="shared" si="10"/>
        <v>45441022.066267021</v>
      </c>
      <c r="M34" s="36">
        <f t="shared" si="10"/>
        <v>53483143.283709429</v>
      </c>
      <c r="N34" s="36">
        <f t="shared" si="10"/>
        <v>63505332.381272838</v>
      </c>
      <c r="O34" s="36">
        <f t="shared" si="10"/>
        <v>71875483.580652028</v>
      </c>
      <c r="P34" s="36">
        <f t="shared" si="10"/>
        <v>72736540.43031843</v>
      </c>
      <c r="Q34" s="36">
        <f t="shared" si="10"/>
        <v>72444580.050413713</v>
      </c>
      <c r="R34" s="36">
        <f t="shared" si="10"/>
        <v>66674370.582449324</v>
      </c>
      <c r="S34" s="36">
        <f t="shared" si="10"/>
        <v>61829912.616275057</v>
      </c>
      <c r="T34" s="36">
        <f t="shared" si="10"/>
        <v>58038337.584617153</v>
      </c>
      <c r="U34" s="36">
        <f t="shared" si="10"/>
        <v>50449094.889173843</v>
      </c>
      <c r="V34" s="36">
        <f t="shared" si="10"/>
        <v>49261367.707259126</v>
      </c>
      <c r="W34" s="36">
        <f t="shared" si="10"/>
        <v>98326311.468007222</v>
      </c>
      <c r="X34" s="36">
        <f t="shared" si="10"/>
        <v>100930379.89962628</v>
      </c>
      <c r="Y34" s="36">
        <f t="shared" si="10"/>
        <v>118680794.08191265</v>
      </c>
      <c r="Z34" s="36">
        <f t="shared" si="10"/>
        <v>140791713.03723088</v>
      </c>
      <c r="AA34" s="36">
        <f t="shared" si="10"/>
        <v>159197917.53270856</v>
      </c>
      <c r="AB34" s="36">
        <f t="shared" si="10"/>
        <v>160958020.8510634</v>
      </c>
      <c r="AC34" s="36">
        <f t="shared" si="10"/>
        <v>160160562.26371494</v>
      </c>
      <c r="AD34" s="36">
        <f t="shared" si="10"/>
        <v>147264583.42593259</v>
      </c>
      <c r="AE34" s="36">
        <f t="shared" si="10"/>
        <v>136439902.70448878</v>
      </c>
      <c r="AF34" s="36">
        <f t="shared" si="10"/>
        <v>127952105.18820798</v>
      </c>
      <c r="AG34" s="36">
        <f t="shared" si="10"/>
        <v>111119231.7227665</v>
      </c>
      <c r="AH34" s="36">
        <f t="shared" si="10"/>
        <v>108400683.29574835</v>
      </c>
      <c r="AI34" s="36">
        <f t="shared" si="10"/>
        <v>122115332.89908437</v>
      </c>
      <c r="AJ34" s="36">
        <f t="shared" si="10"/>
        <v>125367278.44129512</v>
      </c>
      <c r="AK34" s="36">
        <f t="shared" si="10"/>
        <v>147438683.62122819</v>
      </c>
      <c r="AL34" s="36">
        <f t="shared" si="10"/>
        <v>174934116.16454521</v>
      </c>
      <c r="AM34" s="36">
        <f t="shared" si="10"/>
        <v>197835176.88505998</v>
      </c>
      <c r="AN34" s="36">
        <f t="shared" si="10"/>
        <v>200053050.12440452</v>
      </c>
      <c r="AO34" s="36">
        <f t="shared" si="10"/>
        <v>199093393.86987609</v>
      </c>
      <c r="AP34" s="36">
        <f t="shared" si="10"/>
        <v>183091545.03057525</v>
      </c>
      <c r="AQ34" s="36">
        <f t="shared" si="10"/>
        <v>169659349.73549813</v>
      </c>
      <c r="AR34" s="36">
        <f t="shared" si="10"/>
        <v>159130176.30412757</v>
      </c>
      <c r="AS34" s="36">
        <f t="shared" si="10"/>
        <v>138216776.16676819</v>
      </c>
      <c r="AT34" s="36">
        <f t="shared" si="10"/>
        <v>134856616.73183629</v>
      </c>
      <c r="AU34" s="194"/>
      <c r="AV34" s="194"/>
      <c r="AW34" s="194"/>
      <c r="AX34" s="194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</row>
    <row r="35" spans="1:62" ht="15.75" customHeight="1" outlineLevel="1" x14ac:dyDescent="0.3">
      <c r="A35" s="13"/>
      <c r="B35" s="13"/>
      <c r="C35" s="13"/>
      <c r="D35" s="6" t="s">
        <v>150</v>
      </c>
      <c r="E35" s="7" t="s">
        <v>63</v>
      </c>
      <c r="F35" s="37" t="s">
        <v>382</v>
      </c>
      <c r="G35" s="40"/>
      <c r="H35" s="49">
        <f xml:space="preserve"> 'Assumptions and inputs'!H88</f>
        <v>0.15</v>
      </c>
      <c r="I35" s="69"/>
      <c r="J35" s="47"/>
      <c r="K35" s="267">
        <f t="shared" ref="K35:AT35" ca="1" si="11" xml:space="preserve"> K32 * $H$35</f>
        <v>0</v>
      </c>
      <c r="L35" s="267">
        <f t="shared" ca="1" si="11"/>
        <v>0</v>
      </c>
      <c r="M35" s="36">
        <f t="shared" ca="1" si="11"/>
        <v>12211937.47748434</v>
      </c>
      <c r="N35" s="36">
        <f t="shared" ca="1" si="11"/>
        <v>14371276.715605041</v>
      </c>
      <c r="O35" s="36">
        <f t="shared" ca="1" si="11"/>
        <v>17066586.825358238</v>
      </c>
      <c r="P35" s="36">
        <f t="shared" ca="1" si="11"/>
        <v>19313421.018022019</v>
      </c>
      <c r="Q35" s="36">
        <f t="shared" ca="1" si="11"/>
        <v>19547405.48679148</v>
      </c>
      <c r="R35" s="36">
        <f t="shared" ca="1" si="11"/>
        <v>19468943.30123369</v>
      </c>
      <c r="S35" s="36">
        <f t="shared" ca="1" si="11"/>
        <v>17915847.324011628</v>
      </c>
      <c r="T35" s="36">
        <f t="shared" ca="1" si="11"/>
        <v>16616330.196252111</v>
      </c>
      <c r="U35" s="36">
        <f t="shared" ca="1" si="11"/>
        <v>15595287.754829658</v>
      </c>
      <c r="V35" s="36">
        <f t="shared" ca="1" si="11"/>
        <v>13557819.885385273</v>
      </c>
      <c r="W35" s="36">
        <f t="shared" ca="1" si="11"/>
        <v>13226125.818104768</v>
      </c>
      <c r="X35" s="36">
        <f t="shared" ca="1" si="11"/>
        <v>26732559.767688382</v>
      </c>
      <c r="Y35" s="36">
        <f t="shared" ca="1" si="11"/>
        <v>27448956.290378254</v>
      </c>
      <c r="Z35" s="36">
        <f t="shared" ca="1" si="11"/>
        <v>32273048.814938165</v>
      </c>
      <c r="AA35" s="36">
        <f t="shared" ca="1" si="11"/>
        <v>38289616.873033673</v>
      </c>
      <c r="AB35" s="36">
        <f t="shared" ca="1" si="11"/>
        <v>43290931.81010846</v>
      </c>
      <c r="AC35" s="36">
        <f t="shared" ca="1" si="11"/>
        <v>43774031.994335048</v>
      </c>
      <c r="AD35" s="36">
        <f t="shared" ca="1" si="11"/>
        <v>43557155.708629169</v>
      </c>
      <c r="AE35" s="36">
        <f t="shared" ca="1" si="11"/>
        <v>40045882.119194396</v>
      </c>
      <c r="AF35" s="36">
        <f t="shared" ca="1" si="11"/>
        <v>37106101.545673884</v>
      </c>
      <c r="AG35" s="36">
        <f t="shared" ca="1" si="11"/>
        <v>34794210.54314024</v>
      </c>
      <c r="AH35" s="36">
        <f t="shared" ca="1" si="11"/>
        <v>30219909.383199744</v>
      </c>
      <c r="AI35" s="36">
        <f t="shared" ca="1" si="11"/>
        <v>29485239.421615448</v>
      </c>
      <c r="AJ35" s="36">
        <f t="shared" ca="1" si="11"/>
        <v>33267271.419434022</v>
      </c>
      <c r="AK35" s="36">
        <f t="shared" ca="1" si="11"/>
        <v>34164194.197074637</v>
      </c>
      <c r="AL35" s="36">
        <f t="shared" ca="1" si="11"/>
        <v>40174618.544406846</v>
      </c>
      <c r="AM35" s="36">
        <f t="shared" ca="1" si="11"/>
        <v>47671794.35212595</v>
      </c>
      <c r="AN35" s="36">
        <f t="shared" ca="1" si="11"/>
        <v>53906834.833393715</v>
      </c>
      <c r="AO35" s="36">
        <f t="shared" ca="1" si="11"/>
        <v>54517026.604894154</v>
      </c>
      <c r="AP35" s="36">
        <f t="shared" ca="1" si="11"/>
        <v>54255507.945082955</v>
      </c>
      <c r="AQ35" s="36">
        <f t="shared" ca="1" si="11"/>
        <v>49889437.423398055</v>
      </c>
      <c r="AR35" s="36">
        <f t="shared" ca="1" si="11"/>
        <v>46234352.725676678</v>
      </c>
      <c r="AS35" s="36">
        <f t="shared" ca="1" si="11"/>
        <v>43360358.183515906</v>
      </c>
      <c r="AT35" s="36">
        <f t="shared" ca="1" si="11"/>
        <v>37665847.428172693</v>
      </c>
      <c r="AU35" s="194"/>
      <c r="AV35" s="194"/>
      <c r="AW35" s="194"/>
      <c r="AX35" s="194"/>
      <c r="AY35" s="195"/>
      <c r="AZ35" s="195"/>
      <c r="BA35" s="195"/>
      <c r="BB35" s="195"/>
      <c r="BC35" s="195"/>
      <c r="BD35" s="195"/>
      <c r="BE35" s="195"/>
      <c r="BF35" s="195"/>
      <c r="BG35" s="195"/>
      <c r="BH35" s="195"/>
      <c r="BI35" s="195"/>
      <c r="BJ35" s="195"/>
    </row>
    <row r="36" spans="1:62" ht="15.75" customHeight="1" outlineLevel="1" x14ac:dyDescent="0.3">
      <c r="A36" s="13"/>
      <c r="B36" s="13"/>
      <c r="C36" s="13"/>
      <c r="D36" s="19" t="s">
        <v>151</v>
      </c>
      <c r="E36" s="7" t="s">
        <v>63</v>
      </c>
      <c r="F36" s="37" t="s">
        <v>382</v>
      </c>
      <c r="G36" s="40"/>
      <c r="H36" s="49">
        <f xml:space="preserve"> 'Assumptions and inputs'!H89</f>
        <v>0.1</v>
      </c>
      <c r="I36" s="69"/>
      <c r="J36" s="47"/>
      <c r="K36" s="267">
        <f t="shared" ref="K36:AT36" ca="1" si="12" xml:space="preserve"> K32 * $H$36</f>
        <v>0</v>
      </c>
      <c r="L36" s="267">
        <f t="shared" ca="1" si="12"/>
        <v>0</v>
      </c>
      <c r="M36" s="36">
        <f t="shared" ca="1" si="12"/>
        <v>8141291.6516562272</v>
      </c>
      <c r="N36" s="36">
        <f t="shared" ca="1" si="12"/>
        <v>9580851.1437366959</v>
      </c>
      <c r="O36" s="36">
        <f t="shared" ca="1" si="12"/>
        <v>11377724.550238825</v>
      </c>
      <c r="P36" s="36">
        <f t="shared" ca="1" si="12"/>
        <v>12875614.012014681</v>
      </c>
      <c r="Q36" s="36">
        <f t="shared" ca="1" si="12"/>
        <v>13031603.657860987</v>
      </c>
      <c r="R36" s="36">
        <f t="shared" ca="1" si="12"/>
        <v>12979295.534155795</v>
      </c>
      <c r="S36" s="36">
        <f t="shared" ca="1" si="12"/>
        <v>11943898.216007752</v>
      </c>
      <c r="T36" s="36">
        <f t="shared" ca="1" si="12"/>
        <v>11077553.464168075</v>
      </c>
      <c r="U36" s="36">
        <f t="shared" ca="1" si="12"/>
        <v>10396858.503219774</v>
      </c>
      <c r="V36" s="36">
        <f t="shared" ca="1" si="12"/>
        <v>9038546.5902568493</v>
      </c>
      <c r="W36" s="36">
        <f t="shared" ca="1" si="12"/>
        <v>8817417.2120698448</v>
      </c>
      <c r="X36" s="36">
        <f t="shared" ca="1" si="12"/>
        <v>17821706.511792254</v>
      </c>
      <c r="Y36" s="36">
        <f t="shared" ca="1" si="12"/>
        <v>18299304.193585504</v>
      </c>
      <c r="Z36" s="36">
        <f t="shared" ca="1" si="12"/>
        <v>21515365.876625448</v>
      </c>
      <c r="AA36" s="36">
        <f t="shared" ca="1" si="12"/>
        <v>25526411.248689115</v>
      </c>
      <c r="AB36" s="36">
        <f t="shared" ca="1" si="12"/>
        <v>28860621.206738975</v>
      </c>
      <c r="AC36" s="36">
        <f t="shared" ca="1" si="12"/>
        <v>29182687.996223368</v>
      </c>
      <c r="AD36" s="36">
        <f t="shared" ca="1" si="12"/>
        <v>29038103.80575278</v>
      </c>
      <c r="AE36" s="36">
        <f t="shared" ca="1" si="12"/>
        <v>26697254.746129602</v>
      </c>
      <c r="AF36" s="36">
        <f t="shared" ca="1" si="12"/>
        <v>24737401.030449256</v>
      </c>
      <c r="AG36" s="36">
        <f t="shared" ca="1" si="12"/>
        <v>23196140.362093493</v>
      </c>
      <c r="AH36" s="36">
        <f t="shared" ca="1" si="12"/>
        <v>20146606.255466498</v>
      </c>
      <c r="AI36" s="36">
        <f t="shared" ca="1" si="12"/>
        <v>19656826.281076964</v>
      </c>
      <c r="AJ36" s="36">
        <f t="shared" ca="1" si="12"/>
        <v>22178180.946289349</v>
      </c>
      <c r="AK36" s="36">
        <f t="shared" ca="1" si="12"/>
        <v>22776129.464716427</v>
      </c>
      <c r="AL36" s="36">
        <f t="shared" ca="1" si="12"/>
        <v>26783079.029604569</v>
      </c>
      <c r="AM36" s="36">
        <f t="shared" ca="1" si="12"/>
        <v>31781196.234750636</v>
      </c>
      <c r="AN36" s="36">
        <f t="shared" ca="1" si="12"/>
        <v>35937889.888929151</v>
      </c>
      <c r="AO36" s="36">
        <f t="shared" ca="1" si="12"/>
        <v>36344684.403262772</v>
      </c>
      <c r="AP36" s="36">
        <f t="shared" ca="1" si="12"/>
        <v>36170338.630055301</v>
      </c>
      <c r="AQ36" s="36">
        <f t="shared" ca="1" si="12"/>
        <v>33259624.94893204</v>
      </c>
      <c r="AR36" s="36">
        <f t="shared" ca="1" si="12"/>
        <v>30822901.817117788</v>
      </c>
      <c r="AS36" s="36">
        <f t="shared" ca="1" si="12"/>
        <v>28906905.455677271</v>
      </c>
      <c r="AT36" s="36">
        <f t="shared" ca="1" si="12"/>
        <v>25110564.952115133</v>
      </c>
      <c r="AU36" s="194"/>
      <c r="AV36" s="194"/>
      <c r="AW36" s="194"/>
      <c r="AX36" s="194"/>
      <c r="AY36" s="195"/>
      <c r="AZ36" s="195"/>
      <c r="BA36" s="195"/>
      <c r="BB36" s="195"/>
      <c r="BC36" s="195"/>
      <c r="BD36" s="195"/>
      <c r="BE36" s="195"/>
      <c r="BF36" s="195"/>
      <c r="BG36" s="195"/>
      <c r="BH36" s="195"/>
      <c r="BI36" s="195"/>
      <c r="BJ36" s="195"/>
    </row>
    <row r="37" spans="1:62" ht="15.75" customHeight="1" outlineLevel="1" x14ac:dyDescent="0.3">
      <c r="A37" s="13"/>
      <c r="B37" s="13"/>
      <c r="C37" s="13"/>
      <c r="D37" s="196" t="s">
        <v>31</v>
      </c>
      <c r="E37" s="197"/>
      <c r="F37" s="143"/>
      <c r="G37" s="148"/>
      <c r="H37" s="142"/>
      <c r="I37" s="143"/>
      <c r="J37" s="49"/>
      <c r="K37" s="36">
        <f xml:space="preserve"> 'P&amp;L'!K37</f>
        <v>0</v>
      </c>
      <c r="L37" s="267">
        <f ca="1" xml:space="preserve"> 'P&amp;L'!L37</f>
        <v>0</v>
      </c>
      <c r="M37" s="36">
        <f ca="1" xml:space="preserve"> 'P&amp;L'!M37</f>
        <v>0</v>
      </c>
      <c r="N37" s="267">
        <f ca="1" xml:space="preserve"> 'P&amp;L'!N37</f>
        <v>0</v>
      </c>
      <c r="O37" s="267">
        <f ca="1" xml:space="preserve"> 'P&amp;L'!O37</f>
        <v>0</v>
      </c>
      <c r="P37" s="267">
        <f ca="1" xml:space="preserve"> 'P&amp;L'!P37</f>
        <v>814411.20966978977</v>
      </c>
      <c r="Q37" s="267">
        <f ca="1" xml:space="preserve"> 'P&amp;L'!Q37</f>
        <v>2043036.1498776914</v>
      </c>
      <c r="R37" s="267">
        <f ca="1" xml:space="preserve"> 'P&amp;L'!R37</f>
        <v>2026506.584522143</v>
      </c>
      <c r="S37" s="267">
        <f ca="1" xml:space="preserve"> 'P&amp;L'!S37</f>
        <v>1699317.1074965717</v>
      </c>
      <c r="T37" s="267">
        <f ca="1" xml:space="preserve"> 'P&amp;L'!T37</f>
        <v>1425548.882188359</v>
      </c>
      <c r="U37" s="267">
        <f ca="1" xml:space="preserve"> 'P&amp;L'!U37</f>
        <v>1210446.6944745898</v>
      </c>
      <c r="V37" s="267">
        <f ca="1" xml:space="preserve"> 'P&amp;L'!V37</f>
        <v>781214.98153673718</v>
      </c>
      <c r="W37" s="36">
        <f ca="1" xml:space="preserve"> 'P&amp;L'!W37</f>
        <v>816430.51514872466</v>
      </c>
      <c r="X37" s="267">
        <f ca="1" xml:space="preserve"> 'P&amp;L'!X37</f>
        <v>3769140.6140658678</v>
      </c>
      <c r="Y37" s="267">
        <f ca="1" xml:space="preserve"> 'P&amp;L'!Y37</f>
        <v>3925755.695091072</v>
      </c>
      <c r="Z37" s="267">
        <f ca="1" xml:space="preserve"> 'P&amp;L'!Z37</f>
        <v>4980375.0541720036</v>
      </c>
      <c r="AA37" s="267">
        <f ca="1" xml:space="preserve"> 'P&amp;L'!AA37</f>
        <v>6295687.5439286772</v>
      </c>
      <c r="AB37" s="267">
        <f ca="1" xml:space="preserve"> 'P&amp;L'!AB37</f>
        <v>7389050.3943812372</v>
      </c>
      <c r="AC37" s="267">
        <f ca="1" xml:space="preserve"> 'P&amp;L'!AC37</f>
        <v>7494663.3783916179</v>
      </c>
      <c r="AD37" s="267">
        <f ca="1" xml:space="preserve"> 'P&amp;L'!AD37</f>
        <v>7447250.9524759538</v>
      </c>
      <c r="AE37" s="267">
        <f ca="1" xml:space="preserve"> 'P&amp;L'!AE37</f>
        <v>6679633.6060849251</v>
      </c>
      <c r="AF37" s="267">
        <f ca="1" xml:space="preserve"> 'P&amp;L'!AF37</f>
        <v>6036953.2494166791</v>
      </c>
      <c r="AG37" s="267">
        <f ca="1" xml:space="preserve"> 'P&amp;L'!AG37</f>
        <v>5531539.0197052779</v>
      </c>
      <c r="AH37" s="267">
        <f ca="1" xml:space="preserve"> 'P&amp;L'!AH37</f>
        <v>4531527.8190536676</v>
      </c>
      <c r="AI37" s="267">
        <f ca="1" xml:space="preserve"> 'P&amp;L'!AI37</f>
        <v>4404872.4218522226</v>
      </c>
      <c r="AJ37" s="267">
        <f ca="1" xml:space="preserve"> 'P&amp;L'!AJ37</f>
        <v>5236036.9408441009</v>
      </c>
      <c r="AK37" s="267">
        <f ca="1" xml:space="preserve"> 'P&amp;L'!AK37</f>
        <v>5433150.6589407446</v>
      </c>
      <c r="AL37" s="267">
        <f ca="1" xml:space="preserve"> 'P&amp;L'!AL37</f>
        <v>6754041.5092743337</v>
      </c>
      <c r="AM37" s="267">
        <f ca="1" xml:space="preserve"> 'P&amp;L'!AM37</f>
        <v>8401670.7539805006</v>
      </c>
      <c r="AN37" s="267">
        <f ca="1" xml:space="preserve"> 'P&amp;L'!AN37</f>
        <v>9771924.7405932248</v>
      </c>
      <c r="AO37" s="267">
        <f ca="1" xml:space="preserve"> 'P&amp;L'!AO37</f>
        <v>9906024.5447578859</v>
      </c>
      <c r="AP37" s="267">
        <f ca="1" xml:space="preserve"> 'P&amp;L'!AP37</f>
        <v>9848551.4638281707</v>
      </c>
      <c r="AQ37" s="267">
        <f ca="1" xml:space="preserve"> 'P&amp;L'!AQ37</f>
        <v>8889034.7524058651</v>
      </c>
      <c r="AR37" s="267">
        <f ca="1" xml:space="preserve"> 'P&amp;L'!AR37</f>
        <v>8085769.0168413762</v>
      </c>
      <c r="AS37" s="267">
        <f ca="1" xml:space="preserve"> 'P&amp;L'!AS37</f>
        <v>7454160.8515487257</v>
      </c>
      <c r="AT37" s="267">
        <f ca="1" xml:space="preserve"> 'P&amp;L'!AT37</f>
        <v>6202697.2744058371</v>
      </c>
      <c r="AU37" s="194"/>
      <c r="AV37" s="194"/>
      <c r="AW37" s="194"/>
      <c r="AX37" s="194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</row>
    <row r="38" spans="1:62" ht="15.75" customHeight="1" outlineLevel="1" x14ac:dyDescent="0.3">
      <c r="A38" s="13"/>
      <c r="B38" s="13"/>
      <c r="C38" s="13"/>
      <c r="D38" s="19" t="s">
        <v>32</v>
      </c>
      <c r="E38" s="197"/>
      <c r="F38" s="138"/>
      <c r="G38" s="139"/>
      <c r="H38" s="140"/>
      <c r="I38" s="138"/>
      <c r="J38" s="67"/>
      <c r="K38" s="52">
        <f ca="1" xml:space="preserve"> K41 + SUM(K44:K45)</f>
        <v>0</v>
      </c>
      <c r="L38" s="52">
        <f t="shared" ref="L38:AT38" ca="1" si="13" xml:space="preserve"> L41 + SUM(L44:L45)</f>
        <v>0</v>
      </c>
      <c r="M38" s="52">
        <f t="shared" ca="1" si="13"/>
        <v>0</v>
      </c>
      <c r="N38" s="52">
        <f t="shared" ca="1" si="13"/>
        <v>0</v>
      </c>
      <c r="O38" s="52">
        <f t="shared" ca="1" si="13"/>
        <v>0</v>
      </c>
      <c r="P38" s="52">
        <f t="shared" ca="1" si="13"/>
        <v>0</v>
      </c>
      <c r="Q38" s="52">
        <f t="shared" ca="1" si="13"/>
        <v>0</v>
      </c>
      <c r="R38" s="52">
        <f t="shared" ca="1" si="13"/>
        <v>0</v>
      </c>
      <c r="S38" s="52">
        <f t="shared" ca="1" si="13"/>
        <v>0</v>
      </c>
      <c r="T38" s="52">
        <f t="shared" ca="1" si="13"/>
        <v>0</v>
      </c>
      <c r="U38" s="52">
        <f t="shared" ca="1" si="13"/>
        <v>0</v>
      </c>
      <c r="V38" s="52">
        <f t="shared" ca="1" si="13"/>
        <v>0</v>
      </c>
      <c r="W38" s="52">
        <f t="shared" ca="1" si="13"/>
        <v>0</v>
      </c>
      <c r="X38" s="52">
        <f t="shared" ca="1" si="13"/>
        <v>0</v>
      </c>
      <c r="Y38" s="52">
        <f t="shared" ca="1" si="13"/>
        <v>0</v>
      </c>
      <c r="Z38" s="52">
        <f t="shared" ca="1" si="13"/>
        <v>0</v>
      </c>
      <c r="AA38" s="52">
        <f t="shared" ca="1" si="13"/>
        <v>0</v>
      </c>
      <c r="AB38" s="52">
        <f t="shared" ca="1" si="13"/>
        <v>0</v>
      </c>
      <c r="AC38" s="52">
        <f t="shared" ca="1" si="13"/>
        <v>0</v>
      </c>
      <c r="AD38" s="52">
        <f t="shared" ca="1" si="13"/>
        <v>0</v>
      </c>
      <c r="AE38" s="52">
        <f t="shared" ca="1" si="13"/>
        <v>0</v>
      </c>
      <c r="AF38" s="52">
        <f t="shared" ca="1" si="13"/>
        <v>0</v>
      </c>
      <c r="AG38" s="52">
        <f t="shared" ca="1" si="13"/>
        <v>1409446.5004869699</v>
      </c>
      <c r="AH38" s="52">
        <f t="shared" ca="1" si="13"/>
        <v>7116477.270041734</v>
      </c>
      <c r="AI38" s="52">
        <f t="shared" ca="1" si="13"/>
        <v>4218477.3681654818</v>
      </c>
      <c r="AJ38" s="52">
        <f t="shared" ca="1" si="13"/>
        <v>6828179.775979165</v>
      </c>
      <c r="AK38" s="52">
        <f t="shared" ca="1" si="13"/>
        <v>3897047.8940241709</v>
      </c>
      <c r="AL38" s="52">
        <f t="shared" ca="1" si="13"/>
        <v>4323162.7595815063</v>
      </c>
      <c r="AM38" s="52">
        <f t="shared" ca="1" si="13"/>
        <v>6753965.8125949502</v>
      </c>
      <c r="AN38" s="52">
        <f t="shared" ca="1" si="13"/>
        <v>11580187.340427354</v>
      </c>
      <c r="AO38" s="52">
        <f t="shared" ca="1" si="13"/>
        <v>12248623.192432456</v>
      </c>
      <c r="AP38" s="52">
        <f t="shared" ca="1" si="13"/>
        <v>14697665.782473259</v>
      </c>
      <c r="AQ38" s="52">
        <f t="shared" ca="1" si="13"/>
        <v>13297972.896915369</v>
      </c>
      <c r="AR38" s="52">
        <f t="shared" ca="1" si="13"/>
        <v>12006931.220709302</v>
      </c>
      <c r="AS38" s="52">
        <f t="shared" ca="1" si="13"/>
        <v>13097502.458468556</v>
      </c>
      <c r="AT38" s="52">
        <f t="shared" ca="1" si="13"/>
        <v>8912103.4015045352</v>
      </c>
      <c r="AU38" s="194"/>
      <c r="AV38" s="194"/>
      <c r="AW38" s="194"/>
      <c r="AX38" s="194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</row>
    <row r="39" spans="1:62" ht="15.75" customHeight="1" outlineLevel="2" x14ac:dyDescent="0.3">
      <c r="A39" s="13"/>
      <c r="B39" s="13"/>
      <c r="C39" s="13"/>
      <c r="D39" s="508" t="s">
        <v>313</v>
      </c>
      <c r="E39" s="197" t="s">
        <v>63</v>
      </c>
      <c r="F39" s="198"/>
      <c r="G39" s="198"/>
      <c r="H39" s="199"/>
      <c r="I39" s="198"/>
      <c r="J39" s="68"/>
      <c r="K39" s="36">
        <f t="shared" ref="K39:AT39" ca="1" si="14" xml:space="preserve"> (K32 / (1 + $H$25)) * $H$25</f>
        <v>0</v>
      </c>
      <c r="L39" s="267">
        <f t="shared" ca="1" si="14"/>
        <v>0</v>
      </c>
      <c r="M39" s="36">
        <f t="shared" ca="1" si="14"/>
        <v>13568819.419427047</v>
      </c>
      <c r="N39" s="36">
        <f t="shared" ca="1" si="14"/>
        <v>15968085.239561159</v>
      </c>
      <c r="O39" s="36">
        <f t="shared" ca="1" si="14"/>
        <v>18962874.250398044</v>
      </c>
      <c r="P39" s="36">
        <f t="shared" ca="1" si="14"/>
        <v>21459356.686691135</v>
      </c>
      <c r="Q39" s="36">
        <f t="shared" ca="1" si="14"/>
        <v>21719339.429768313</v>
      </c>
      <c r="R39" s="36">
        <f t="shared" ca="1" si="14"/>
        <v>21632159.223592997</v>
      </c>
      <c r="S39" s="36">
        <f t="shared" ca="1" si="14"/>
        <v>19906497.026679587</v>
      </c>
      <c r="T39" s="36">
        <f t="shared" ca="1" si="14"/>
        <v>18462589.106946792</v>
      </c>
      <c r="U39" s="36">
        <f t="shared" ca="1" si="14"/>
        <v>17328097.505366292</v>
      </c>
      <c r="V39" s="36">
        <f t="shared" ca="1" si="14"/>
        <v>15064244.317094751</v>
      </c>
      <c r="W39" s="36">
        <f t="shared" ca="1" si="14"/>
        <v>14695695.353449745</v>
      </c>
      <c r="X39" s="36">
        <f t="shared" ca="1" si="14"/>
        <v>29702844.186320424</v>
      </c>
      <c r="Y39" s="36">
        <f t="shared" ca="1" si="14"/>
        <v>30498840.322642505</v>
      </c>
      <c r="Z39" s="36">
        <f t="shared" ca="1" si="14"/>
        <v>35858943.127709083</v>
      </c>
      <c r="AA39" s="36">
        <f t="shared" ca="1" si="14"/>
        <v>42544018.747815192</v>
      </c>
      <c r="AB39" s="36">
        <f t="shared" ca="1" si="14"/>
        <v>48101035.344564959</v>
      </c>
      <c r="AC39" s="36">
        <f t="shared" ca="1" si="14"/>
        <v>48637813.327038944</v>
      </c>
      <c r="AD39" s="36">
        <f t="shared" ca="1" si="14"/>
        <v>48396839.67625463</v>
      </c>
      <c r="AE39" s="36">
        <f t="shared" ca="1" si="14"/>
        <v>44495424.576882668</v>
      </c>
      <c r="AF39" s="36">
        <f t="shared" ca="1" si="14"/>
        <v>41229001.71741543</v>
      </c>
      <c r="AG39" s="36">
        <f t="shared" ca="1" si="14"/>
        <v>38660233.936822496</v>
      </c>
      <c r="AH39" s="36">
        <f t="shared" ca="1" si="14"/>
        <v>33577677.092444167</v>
      </c>
      <c r="AI39" s="36">
        <f t="shared" ca="1" si="14"/>
        <v>32761377.135128278</v>
      </c>
      <c r="AJ39" s="36">
        <f t="shared" ca="1" si="14"/>
        <v>36963634.91048225</v>
      </c>
      <c r="AK39" s="36">
        <f t="shared" ca="1" si="14"/>
        <v>37960215.774527378</v>
      </c>
      <c r="AL39" s="36">
        <f t="shared" ca="1" si="14"/>
        <v>44638465.049340948</v>
      </c>
      <c r="AM39" s="36">
        <f t="shared" ca="1" si="14"/>
        <v>52968660.391251057</v>
      </c>
      <c r="AN39" s="36">
        <f t="shared" ca="1" si="14"/>
        <v>59896483.148215249</v>
      </c>
      <c r="AO39" s="36">
        <f t="shared" ca="1" si="14"/>
        <v>60574474.005437963</v>
      </c>
      <c r="AP39" s="36">
        <f t="shared" ca="1" si="14"/>
        <v>60283897.71675884</v>
      </c>
      <c r="AQ39" s="36">
        <f t="shared" ca="1" si="14"/>
        <v>55432708.248220079</v>
      </c>
      <c r="AR39" s="36">
        <f t="shared" ca="1" si="14"/>
        <v>51371503.028529644</v>
      </c>
      <c r="AS39" s="36">
        <f t="shared" ca="1" si="14"/>
        <v>48178175.759462118</v>
      </c>
      <c r="AT39" s="36">
        <f t="shared" ca="1" si="14"/>
        <v>41850941.586858556</v>
      </c>
      <c r="AU39" s="194"/>
      <c r="AV39" s="194"/>
      <c r="AW39" s="194"/>
      <c r="AX39" s="194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</row>
    <row r="40" spans="1:62" ht="15.75" customHeight="1" outlineLevel="2" x14ac:dyDescent="0.3">
      <c r="A40" s="13"/>
      <c r="B40" s="13"/>
      <c r="C40" s="175"/>
      <c r="D40" s="508" t="s">
        <v>307</v>
      </c>
      <c r="E40" s="197" t="s">
        <v>63</v>
      </c>
      <c r="F40" s="198"/>
      <c r="G40" s="198"/>
      <c r="H40" s="199"/>
      <c r="I40" s="198"/>
      <c r="J40" s="67"/>
      <c r="K40" s="36">
        <f t="shared" ref="K40:AT40" ca="1" si="15" xml:space="preserve"> (SUM(K33, K48) / (1 + $H$25)) * $H$25</f>
        <v>49583333.333333343</v>
      </c>
      <c r="L40" s="36">
        <f t="shared" ca="1" si="15"/>
        <v>57156837.011044502</v>
      </c>
      <c r="M40" s="36">
        <f t="shared" ca="1" si="15"/>
        <v>12306062.068808332</v>
      </c>
      <c r="N40" s="36">
        <f t="shared" ca="1" si="15"/>
        <v>14576243.373435764</v>
      </c>
      <c r="O40" s="36">
        <f t="shared" ca="1" si="15"/>
        <v>16719965.826041518</v>
      </c>
      <c r="P40" s="36">
        <f t="shared" ca="1" si="15"/>
        <v>17487595.910059191</v>
      </c>
      <c r="Q40" s="36">
        <f t="shared" ca="1" si="15"/>
        <v>17503931.532511033</v>
      </c>
      <c r="R40" s="36">
        <f t="shared" ca="1" si="15"/>
        <v>16520434.902973138</v>
      </c>
      <c r="S40" s="36">
        <f t="shared" ca="1" si="15"/>
        <v>15281609.692715742</v>
      </c>
      <c r="T40" s="36">
        <f t="shared" ca="1" si="15"/>
        <v>14288703.540839557</v>
      </c>
      <c r="U40" s="36">
        <f t="shared" ca="1" si="15"/>
        <v>12740206.857870549</v>
      </c>
      <c r="V40" s="36">
        <f t="shared" ca="1" si="15"/>
        <v>11976289.030483544</v>
      </c>
      <c r="W40" s="36">
        <f t="shared" ca="1" si="15"/>
        <v>20061642.416363638</v>
      </c>
      <c r="X40" s="36">
        <f t="shared" ca="1" si="15"/>
        <v>24247441.029851153</v>
      </c>
      <c r="Y40" s="36">
        <f t="shared" ca="1" si="15"/>
        <v>27404842.427646071</v>
      </c>
      <c r="Z40" s="36">
        <f t="shared" ca="1" si="15"/>
        <v>32430021.288132418</v>
      </c>
      <c r="AA40" s="36">
        <f t="shared" ca="1" si="15"/>
        <v>37168990.942405224</v>
      </c>
      <c r="AB40" s="36">
        <f t="shared" ca="1" si="15"/>
        <v>38851595.644651808</v>
      </c>
      <c r="AC40" s="36">
        <f t="shared" ca="1" si="15"/>
        <v>38852880.375712231</v>
      </c>
      <c r="AD40" s="36">
        <f t="shared" ca="1" si="15"/>
        <v>36643307.156719089</v>
      </c>
      <c r="AE40" s="36">
        <f t="shared" ca="1" si="15"/>
        <v>33863839.928302132</v>
      </c>
      <c r="AF40" s="36">
        <f t="shared" ca="1" si="15"/>
        <v>31632601.29405519</v>
      </c>
      <c r="AG40" s="36">
        <f t="shared" ca="1" si="15"/>
        <v>28184930.438000049</v>
      </c>
      <c r="AH40" s="36">
        <f t="shared" ca="1" si="15"/>
        <v>26461199.822402433</v>
      </c>
      <c r="AI40" s="36">
        <f t="shared" ca="1" si="15"/>
        <v>28542899.766962796</v>
      </c>
      <c r="AJ40" s="36">
        <f t="shared" ca="1" si="15"/>
        <v>30135455.134503085</v>
      </c>
      <c r="AK40" s="36">
        <f t="shared" ca="1" si="15"/>
        <v>34063167.880503207</v>
      </c>
      <c r="AL40" s="36">
        <f t="shared" ca="1" si="15"/>
        <v>40315302.289759442</v>
      </c>
      <c r="AM40" s="36">
        <f t="shared" ca="1" si="15"/>
        <v>46214694.578656107</v>
      </c>
      <c r="AN40" s="36">
        <f t="shared" ca="1" si="15"/>
        <v>48316295.807787895</v>
      </c>
      <c r="AO40" s="36">
        <f t="shared" ca="1" si="15"/>
        <v>48325850.813005507</v>
      </c>
      <c r="AP40" s="36">
        <f t="shared" ca="1" si="15"/>
        <v>45586231.934285581</v>
      </c>
      <c r="AQ40" s="36">
        <f t="shared" ca="1" si="15"/>
        <v>42134735.35130471</v>
      </c>
      <c r="AR40" s="36">
        <f t="shared" ca="1" si="15"/>
        <v>39364571.807820342</v>
      </c>
      <c r="AS40" s="36">
        <f t="shared" ca="1" si="15"/>
        <v>35080673.300993562</v>
      </c>
      <c r="AT40" s="36">
        <f t="shared" ca="1" si="15"/>
        <v>32938838.18535402</v>
      </c>
      <c r="AU40" s="192"/>
      <c r="AV40" s="192"/>
      <c r="AW40" s="192"/>
      <c r="AX40" s="192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</row>
    <row r="41" spans="1:62" ht="15.75" customHeight="1" outlineLevel="2" x14ac:dyDescent="0.3">
      <c r="A41" s="233"/>
      <c r="B41" s="233"/>
      <c r="C41" s="515"/>
      <c r="D41" s="516" t="s">
        <v>318</v>
      </c>
      <c r="E41" s="197" t="s">
        <v>63</v>
      </c>
      <c r="F41" s="506"/>
      <c r="G41" s="506"/>
      <c r="H41" s="507"/>
      <c r="I41" s="506"/>
      <c r="J41" s="263"/>
      <c r="K41" s="237">
        <f ca="1" xml:space="preserve"> K39 - K40</f>
        <v>-49583333.333333343</v>
      </c>
      <c r="L41" s="237">
        <f t="shared" ref="L41:AT41" ca="1" si="16" xml:space="preserve"> L39 - L40</f>
        <v>-57156837.011044502</v>
      </c>
      <c r="M41" s="237">
        <f t="shared" ca="1" si="16"/>
        <v>1262757.3506187145</v>
      </c>
      <c r="N41" s="237">
        <f t="shared" ca="1" si="16"/>
        <v>1391841.8661253955</v>
      </c>
      <c r="O41" s="237">
        <f t="shared" ca="1" si="16"/>
        <v>2242908.4243565258</v>
      </c>
      <c r="P41" s="237">
        <f t="shared" ca="1" si="16"/>
        <v>3971760.7766319439</v>
      </c>
      <c r="Q41" s="237">
        <f t="shared" ca="1" si="16"/>
        <v>4215407.8972572796</v>
      </c>
      <c r="R41" s="237">
        <f t="shared" ca="1" si="16"/>
        <v>5111724.3206198588</v>
      </c>
      <c r="S41" s="237">
        <f t="shared" ca="1" si="16"/>
        <v>4624887.3339638449</v>
      </c>
      <c r="T41" s="237">
        <f t="shared" ca="1" si="16"/>
        <v>4173885.5661072358</v>
      </c>
      <c r="U41" s="237">
        <f t="shared" ca="1" si="16"/>
        <v>4587890.6474957429</v>
      </c>
      <c r="V41" s="237">
        <f t="shared" ca="1" si="16"/>
        <v>3087955.2866112068</v>
      </c>
      <c r="W41" s="237">
        <f t="shared" ca="1" si="16"/>
        <v>-5365947.0629138928</v>
      </c>
      <c r="X41" s="237">
        <f t="shared" ca="1" si="16"/>
        <v>5455403.1564692706</v>
      </c>
      <c r="Y41" s="237">
        <f t="shared" ca="1" si="16"/>
        <v>3093997.8949964345</v>
      </c>
      <c r="Z41" s="237">
        <f t="shared" ca="1" si="16"/>
        <v>3428921.8395766653</v>
      </c>
      <c r="AA41" s="237">
        <f t="shared" ca="1" si="16"/>
        <v>5375027.8054099679</v>
      </c>
      <c r="AB41" s="237">
        <f t="shared" ca="1" si="16"/>
        <v>9249439.6999131516</v>
      </c>
      <c r="AC41" s="237">
        <f t="shared" ca="1" si="16"/>
        <v>9784932.951326713</v>
      </c>
      <c r="AD41" s="237">
        <f t="shared" ca="1" si="16"/>
        <v>11753532.519535542</v>
      </c>
      <c r="AE41" s="237">
        <f t="shared" ca="1" si="16"/>
        <v>10631584.648580536</v>
      </c>
      <c r="AF41" s="237">
        <f t="shared" ca="1" si="16"/>
        <v>9596400.4233602397</v>
      </c>
      <c r="AG41" s="237">
        <f t="shared" ca="1" si="16"/>
        <v>10475303.498822447</v>
      </c>
      <c r="AH41" s="237">
        <f t="shared" ca="1" si="16"/>
        <v>7116477.270041734</v>
      </c>
      <c r="AI41" s="237">
        <f t="shared" ca="1" si="16"/>
        <v>4218477.3681654818</v>
      </c>
      <c r="AJ41" s="237">
        <f t="shared" ca="1" si="16"/>
        <v>6828179.775979165</v>
      </c>
      <c r="AK41" s="237">
        <f t="shared" ca="1" si="16"/>
        <v>3897047.8940241709</v>
      </c>
      <c r="AL41" s="237">
        <f t="shared" ca="1" si="16"/>
        <v>4323162.7595815063</v>
      </c>
      <c r="AM41" s="237">
        <f t="shared" ca="1" si="16"/>
        <v>6753965.8125949502</v>
      </c>
      <c r="AN41" s="237">
        <f t="shared" ca="1" si="16"/>
        <v>11580187.340427354</v>
      </c>
      <c r="AO41" s="237">
        <f t="shared" ca="1" si="16"/>
        <v>12248623.192432456</v>
      </c>
      <c r="AP41" s="237">
        <f t="shared" ca="1" si="16"/>
        <v>14697665.782473259</v>
      </c>
      <c r="AQ41" s="237">
        <f t="shared" ca="1" si="16"/>
        <v>13297972.896915369</v>
      </c>
      <c r="AR41" s="237">
        <f t="shared" ca="1" si="16"/>
        <v>12006931.220709302</v>
      </c>
      <c r="AS41" s="237">
        <f t="shared" ca="1" si="16"/>
        <v>13097502.458468556</v>
      </c>
      <c r="AT41" s="237">
        <f t="shared" ca="1" si="16"/>
        <v>8912103.4015045352</v>
      </c>
      <c r="AU41" s="517"/>
      <c r="AV41" s="517"/>
      <c r="AW41" s="517"/>
      <c r="AX41" s="517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  <c r="BI41" s="193"/>
      <c r="BJ41" s="193"/>
    </row>
    <row r="42" spans="1:62" ht="15.75" customHeight="1" outlineLevel="2" x14ac:dyDescent="0.3">
      <c r="A42" s="233"/>
      <c r="B42" s="233"/>
      <c r="C42" s="515"/>
      <c r="D42" s="516"/>
      <c r="E42" s="197"/>
      <c r="F42" s="506"/>
      <c r="G42" s="506"/>
      <c r="H42" s="507"/>
      <c r="I42" s="506"/>
      <c r="J42" s="263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517"/>
      <c r="AV42" s="517"/>
      <c r="AW42" s="517"/>
      <c r="AX42" s="517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</row>
    <row r="43" spans="1:62" ht="15.75" customHeight="1" outlineLevel="2" x14ac:dyDescent="0.3">
      <c r="A43" s="233"/>
      <c r="B43" s="233"/>
      <c r="C43" s="515"/>
      <c r="D43" s="516" t="s">
        <v>319</v>
      </c>
      <c r="E43" s="197" t="s">
        <v>63</v>
      </c>
      <c r="F43" s="506"/>
      <c r="G43" s="506"/>
      <c r="H43" s="507"/>
      <c r="I43" s="506"/>
      <c r="J43" s="263"/>
      <c r="K43" s="237">
        <f xml:space="preserve"> J46</f>
        <v>0</v>
      </c>
      <c r="L43" s="237">
        <f t="shared" ref="L43:AT43" ca="1" si="17" xml:space="preserve"> K46</f>
        <v>49583333.333333343</v>
      </c>
      <c r="M43" s="237">
        <f t="shared" ca="1" si="17"/>
        <v>106740170.34437785</v>
      </c>
      <c r="N43" s="237">
        <f t="shared" ca="1" si="17"/>
        <v>105477412.99375913</v>
      </c>
      <c r="O43" s="237">
        <f t="shared" ca="1" si="17"/>
        <v>104085571.12763374</v>
      </c>
      <c r="P43" s="237">
        <f t="shared" ca="1" si="17"/>
        <v>101842662.70327722</v>
      </c>
      <c r="Q43" s="237">
        <f t="shared" ca="1" si="17"/>
        <v>97870901.926645279</v>
      </c>
      <c r="R43" s="237">
        <f t="shared" ca="1" si="17"/>
        <v>93655494.029387996</v>
      </c>
      <c r="S43" s="237">
        <f t="shared" ca="1" si="17"/>
        <v>88543769.708768129</v>
      </c>
      <c r="T43" s="237">
        <f t="shared" ca="1" si="17"/>
        <v>83918882.374804288</v>
      </c>
      <c r="U43" s="237">
        <f t="shared" ca="1" si="17"/>
        <v>79744996.808697045</v>
      </c>
      <c r="V43" s="237">
        <f t="shared" ca="1" si="17"/>
        <v>75157106.161201298</v>
      </c>
      <c r="W43" s="237">
        <f t="shared" ca="1" si="17"/>
        <v>72069150.874590099</v>
      </c>
      <c r="X43" s="237">
        <f t="shared" ca="1" si="17"/>
        <v>77435097.937503994</v>
      </c>
      <c r="Y43" s="237">
        <f t="shared" ca="1" si="17"/>
        <v>71979694.781034723</v>
      </c>
      <c r="Z43" s="237">
        <f t="shared" ca="1" si="17"/>
        <v>68885696.886038288</v>
      </c>
      <c r="AA43" s="237">
        <f t="shared" ca="1" si="17"/>
        <v>65456775.046461627</v>
      </c>
      <c r="AB43" s="237">
        <f t="shared" ca="1" si="17"/>
        <v>60081747.241051659</v>
      </c>
      <c r="AC43" s="237">
        <f t="shared" ca="1" si="17"/>
        <v>50832307.541138507</v>
      </c>
      <c r="AD43" s="237">
        <f t="shared" ca="1" si="17"/>
        <v>41047374.589811794</v>
      </c>
      <c r="AE43" s="237">
        <f t="shared" ca="1" si="17"/>
        <v>29293842.070276253</v>
      </c>
      <c r="AF43" s="237">
        <f t="shared" ca="1" si="17"/>
        <v>18662257.421695717</v>
      </c>
      <c r="AG43" s="237">
        <f t="shared" ca="1" si="17"/>
        <v>9065856.998335477</v>
      </c>
      <c r="AH43" s="237">
        <f t="shared" ca="1" si="17"/>
        <v>0</v>
      </c>
      <c r="AI43" s="237">
        <f t="shared" ca="1" si="17"/>
        <v>0</v>
      </c>
      <c r="AJ43" s="237">
        <f t="shared" ca="1" si="17"/>
        <v>0</v>
      </c>
      <c r="AK43" s="237">
        <f t="shared" ca="1" si="17"/>
        <v>0</v>
      </c>
      <c r="AL43" s="237">
        <f t="shared" ca="1" si="17"/>
        <v>0</v>
      </c>
      <c r="AM43" s="237">
        <f t="shared" ca="1" si="17"/>
        <v>0</v>
      </c>
      <c r="AN43" s="237">
        <f t="shared" ca="1" si="17"/>
        <v>0</v>
      </c>
      <c r="AO43" s="237">
        <f t="shared" ca="1" si="17"/>
        <v>0</v>
      </c>
      <c r="AP43" s="237">
        <f t="shared" ca="1" si="17"/>
        <v>0</v>
      </c>
      <c r="AQ43" s="237">
        <f t="shared" ca="1" si="17"/>
        <v>0</v>
      </c>
      <c r="AR43" s="237">
        <f t="shared" ca="1" si="17"/>
        <v>0</v>
      </c>
      <c r="AS43" s="237">
        <f t="shared" ca="1" si="17"/>
        <v>0</v>
      </c>
      <c r="AT43" s="237">
        <f t="shared" ca="1" si="17"/>
        <v>0</v>
      </c>
      <c r="AU43" s="517"/>
      <c r="AV43" s="517"/>
      <c r="AW43" s="517"/>
      <c r="AX43" s="517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</row>
    <row r="44" spans="1:62" ht="15.75" customHeight="1" outlineLevel="2" x14ac:dyDescent="0.3">
      <c r="A44" s="233"/>
      <c r="B44" s="233"/>
      <c r="C44" s="515"/>
      <c r="D44" s="516" t="s">
        <v>320</v>
      </c>
      <c r="E44" s="197" t="s">
        <v>63</v>
      </c>
      <c r="F44" s="506"/>
      <c r="G44" s="506"/>
      <c r="H44" s="507"/>
      <c r="I44" s="506"/>
      <c r="J44" s="263"/>
      <c r="K44" s="237">
        <f ca="1" xml:space="preserve"> - K41 * (K41 &lt; 0)</f>
        <v>49583333.333333343</v>
      </c>
      <c r="L44" s="237">
        <f t="shared" ref="L44:AT44" ca="1" si="18" xml:space="preserve"> - L41 * (L41 &lt; 0)</f>
        <v>57156837.011044502</v>
      </c>
      <c r="M44" s="237">
        <f t="shared" ca="1" si="18"/>
        <v>0</v>
      </c>
      <c r="N44" s="237">
        <f t="shared" ca="1" si="18"/>
        <v>0</v>
      </c>
      <c r="O44" s="237">
        <f t="shared" ca="1" si="18"/>
        <v>0</v>
      </c>
      <c r="P44" s="237">
        <f t="shared" ca="1" si="18"/>
        <v>0</v>
      </c>
      <c r="Q44" s="237">
        <f t="shared" ca="1" si="18"/>
        <v>0</v>
      </c>
      <c r="R44" s="237">
        <f t="shared" ca="1" si="18"/>
        <v>0</v>
      </c>
      <c r="S44" s="237">
        <f t="shared" ca="1" si="18"/>
        <v>0</v>
      </c>
      <c r="T44" s="237">
        <f t="shared" ca="1" si="18"/>
        <v>0</v>
      </c>
      <c r="U44" s="237">
        <f t="shared" ca="1" si="18"/>
        <v>0</v>
      </c>
      <c r="V44" s="237">
        <f t="shared" ca="1" si="18"/>
        <v>0</v>
      </c>
      <c r="W44" s="237">
        <f t="shared" ca="1" si="18"/>
        <v>5365947.0629138928</v>
      </c>
      <c r="X44" s="237">
        <f t="shared" ca="1" si="18"/>
        <v>0</v>
      </c>
      <c r="Y44" s="237">
        <f t="shared" ca="1" si="18"/>
        <v>0</v>
      </c>
      <c r="Z44" s="237">
        <f t="shared" ca="1" si="18"/>
        <v>0</v>
      </c>
      <c r="AA44" s="237">
        <f t="shared" ca="1" si="18"/>
        <v>0</v>
      </c>
      <c r="AB44" s="237">
        <f t="shared" ca="1" si="18"/>
        <v>0</v>
      </c>
      <c r="AC44" s="237">
        <f t="shared" ca="1" si="18"/>
        <v>0</v>
      </c>
      <c r="AD44" s="237">
        <f t="shared" ca="1" si="18"/>
        <v>0</v>
      </c>
      <c r="AE44" s="237">
        <f t="shared" ca="1" si="18"/>
        <v>0</v>
      </c>
      <c r="AF44" s="237">
        <f t="shared" ca="1" si="18"/>
        <v>0</v>
      </c>
      <c r="AG44" s="237">
        <f t="shared" ca="1" si="18"/>
        <v>0</v>
      </c>
      <c r="AH44" s="237">
        <f t="shared" ca="1" si="18"/>
        <v>0</v>
      </c>
      <c r="AI44" s="237">
        <f t="shared" ca="1" si="18"/>
        <v>0</v>
      </c>
      <c r="AJ44" s="237">
        <f t="shared" ca="1" si="18"/>
        <v>0</v>
      </c>
      <c r="AK44" s="237">
        <f t="shared" ca="1" si="18"/>
        <v>0</v>
      </c>
      <c r="AL44" s="237">
        <f t="shared" ca="1" si="18"/>
        <v>0</v>
      </c>
      <c r="AM44" s="237">
        <f t="shared" ca="1" si="18"/>
        <v>0</v>
      </c>
      <c r="AN44" s="237">
        <f t="shared" ca="1" si="18"/>
        <v>0</v>
      </c>
      <c r="AO44" s="237">
        <f t="shared" ca="1" si="18"/>
        <v>0</v>
      </c>
      <c r="AP44" s="237">
        <f t="shared" ca="1" si="18"/>
        <v>0</v>
      </c>
      <c r="AQ44" s="237">
        <f t="shared" ca="1" si="18"/>
        <v>0</v>
      </c>
      <c r="AR44" s="237">
        <f t="shared" ca="1" si="18"/>
        <v>0</v>
      </c>
      <c r="AS44" s="237">
        <f t="shared" ca="1" si="18"/>
        <v>0</v>
      </c>
      <c r="AT44" s="237">
        <f t="shared" ca="1" si="18"/>
        <v>0</v>
      </c>
      <c r="AU44" s="517"/>
      <c r="AV44" s="517"/>
      <c r="AW44" s="517"/>
      <c r="AX44" s="517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</row>
    <row r="45" spans="1:62" ht="15.75" customHeight="1" outlineLevel="2" x14ac:dyDescent="0.3">
      <c r="A45" s="233"/>
      <c r="B45" s="233"/>
      <c r="C45" s="515"/>
      <c r="D45" s="516" t="s">
        <v>321</v>
      </c>
      <c r="E45" s="197" t="s">
        <v>63</v>
      </c>
      <c r="F45" s="506"/>
      <c r="G45" s="506"/>
      <c r="H45" s="507"/>
      <c r="I45" s="506"/>
      <c r="J45" s="263"/>
      <c r="K45" s="237">
        <f ca="1" xml:space="preserve"> - MIN(SUM(K43:K44), K41 * (K41 &gt; 0))</f>
        <v>0</v>
      </c>
      <c r="L45" s="237">
        <f t="shared" ref="L45:AT45" ca="1" si="19" xml:space="preserve"> - MIN(SUM(L43:L44), L41 * (L41 &gt; 0))</f>
        <v>0</v>
      </c>
      <c r="M45" s="237">
        <f t="shared" ca="1" si="19"/>
        <v>-1262757.3506187145</v>
      </c>
      <c r="N45" s="237">
        <f t="shared" ca="1" si="19"/>
        <v>-1391841.8661253955</v>
      </c>
      <c r="O45" s="237">
        <f t="shared" ca="1" si="19"/>
        <v>-2242908.4243565258</v>
      </c>
      <c r="P45" s="237">
        <f t="shared" ca="1" si="19"/>
        <v>-3971760.7766319439</v>
      </c>
      <c r="Q45" s="237">
        <f t="shared" ca="1" si="19"/>
        <v>-4215407.8972572796</v>
      </c>
      <c r="R45" s="237">
        <f t="shared" ca="1" si="19"/>
        <v>-5111724.3206198588</v>
      </c>
      <c r="S45" s="237">
        <f t="shared" ca="1" si="19"/>
        <v>-4624887.3339638449</v>
      </c>
      <c r="T45" s="237">
        <f t="shared" ca="1" si="19"/>
        <v>-4173885.5661072358</v>
      </c>
      <c r="U45" s="237">
        <f t="shared" ca="1" si="19"/>
        <v>-4587890.6474957429</v>
      </c>
      <c r="V45" s="237">
        <f t="shared" ca="1" si="19"/>
        <v>-3087955.2866112068</v>
      </c>
      <c r="W45" s="237">
        <f t="shared" ca="1" si="19"/>
        <v>0</v>
      </c>
      <c r="X45" s="237">
        <f t="shared" ca="1" si="19"/>
        <v>-5455403.1564692706</v>
      </c>
      <c r="Y45" s="237">
        <f t="shared" ca="1" si="19"/>
        <v>-3093997.8949964345</v>
      </c>
      <c r="Z45" s="237">
        <f t="shared" ca="1" si="19"/>
        <v>-3428921.8395766653</v>
      </c>
      <c r="AA45" s="237">
        <f t="shared" ca="1" si="19"/>
        <v>-5375027.8054099679</v>
      </c>
      <c r="AB45" s="237">
        <f t="shared" ca="1" si="19"/>
        <v>-9249439.6999131516</v>
      </c>
      <c r="AC45" s="237">
        <f t="shared" ca="1" si="19"/>
        <v>-9784932.951326713</v>
      </c>
      <c r="AD45" s="237">
        <f t="shared" ca="1" si="19"/>
        <v>-11753532.519535542</v>
      </c>
      <c r="AE45" s="237">
        <f t="shared" ca="1" si="19"/>
        <v>-10631584.648580536</v>
      </c>
      <c r="AF45" s="237">
        <f t="shared" ca="1" si="19"/>
        <v>-9596400.4233602397</v>
      </c>
      <c r="AG45" s="237">
        <f t="shared" ca="1" si="19"/>
        <v>-9065856.998335477</v>
      </c>
      <c r="AH45" s="237">
        <f t="shared" ca="1" si="19"/>
        <v>0</v>
      </c>
      <c r="AI45" s="237">
        <f t="shared" ca="1" si="19"/>
        <v>0</v>
      </c>
      <c r="AJ45" s="237">
        <f t="shared" ca="1" si="19"/>
        <v>0</v>
      </c>
      <c r="AK45" s="237">
        <f t="shared" ca="1" si="19"/>
        <v>0</v>
      </c>
      <c r="AL45" s="237">
        <f t="shared" ca="1" si="19"/>
        <v>0</v>
      </c>
      <c r="AM45" s="237">
        <f t="shared" ca="1" si="19"/>
        <v>0</v>
      </c>
      <c r="AN45" s="237">
        <f t="shared" ca="1" si="19"/>
        <v>0</v>
      </c>
      <c r="AO45" s="237">
        <f t="shared" ca="1" si="19"/>
        <v>0</v>
      </c>
      <c r="AP45" s="237">
        <f t="shared" ca="1" si="19"/>
        <v>0</v>
      </c>
      <c r="AQ45" s="237">
        <f t="shared" ca="1" si="19"/>
        <v>0</v>
      </c>
      <c r="AR45" s="237">
        <f t="shared" ca="1" si="19"/>
        <v>0</v>
      </c>
      <c r="AS45" s="237">
        <f t="shared" ca="1" si="19"/>
        <v>0</v>
      </c>
      <c r="AT45" s="237">
        <f t="shared" ca="1" si="19"/>
        <v>0</v>
      </c>
      <c r="AU45" s="517"/>
      <c r="AV45" s="517"/>
      <c r="AW45" s="517"/>
      <c r="AX45" s="517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</row>
    <row r="46" spans="1:62" ht="15.75" customHeight="1" outlineLevel="2" x14ac:dyDescent="0.3">
      <c r="A46" s="233"/>
      <c r="B46" s="233"/>
      <c r="C46" s="515"/>
      <c r="D46" s="516" t="s">
        <v>322</v>
      </c>
      <c r="E46" s="197" t="s">
        <v>63</v>
      </c>
      <c r="F46" s="506"/>
      <c r="G46" s="506"/>
      <c r="H46" s="507"/>
      <c r="I46" s="506"/>
      <c r="J46" s="263"/>
      <c r="K46" s="237">
        <f ca="1" xml:space="preserve"> SUM(K43:K45)</f>
        <v>49583333.333333343</v>
      </c>
      <c r="L46" s="237">
        <f t="shared" ref="L46:AT46" ca="1" si="20" xml:space="preserve"> SUM(L43:L45)</f>
        <v>106740170.34437785</v>
      </c>
      <c r="M46" s="237">
        <f t="shared" ca="1" si="20"/>
        <v>105477412.99375913</v>
      </c>
      <c r="N46" s="237">
        <f t="shared" ca="1" si="20"/>
        <v>104085571.12763374</v>
      </c>
      <c r="O46" s="237">
        <f t="shared" ca="1" si="20"/>
        <v>101842662.70327722</v>
      </c>
      <c r="P46" s="237">
        <f t="shared" ca="1" si="20"/>
        <v>97870901.926645279</v>
      </c>
      <c r="Q46" s="237">
        <f t="shared" ca="1" si="20"/>
        <v>93655494.029387996</v>
      </c>
      <c r="R46" s="237">
        <f t="shared" ca="1" si="20"/>
        <v>88543769.708768129</v>
      </c>
      <c r="S46" s="237">
        <f t="shared" ca="1" si="20"/>
        <v>83918882.374804288</v>
      </c>
      <c r="T46" s="237">
        <f t="shared" ca="1" si="20"/>
        <v>79744996.808697045</v>
      </c>
      <c r="U46" s="237">
        <f t="shared" ca="1" si="20"/>
        <v>75157106.161201298</v>
      </c>
      <c r="V46" s="237">
        <f t="shared" ca="1" si="20"/>
        <v>72069150.874590099</v>
      </c>
      <c r="W46" s="237">
        <f t="shared" ca="1" si="20"/>
        <v>77435097.937503994</v>
      </c>
      <c r="X46" s="237">
        <f t="shared" ca="1" si="20"/>
        <v>71979694.781034723</v>
      </c>
      <c r="Y46" s="237">
        <f t="shared" ca="1" si="20"/>
        <v>68885696.886038288</v>
      </c>
      <c r="Z46" s="237">
        <f t="shared" ca="1" si="20"/>
        <v>65456775.046461627</v>
      </c>
      <c r="AA46" s="237">
        <f t="shared" ca="1" si="20"/>
        <v>60081747.241051659</v>
      </c>
      <c r="AB46" s="237">
        <f t="shared" ca="1" si="20"/>
        <v>50832307.541138507</v>
      </c>
      <c r="AC46" s="237">
        <f t="shared" ca="1" si="20"/>
        <v>41047374.589811794</v>
      </c>
      <c r="AD46" s="237">
        <f t="shared" ca="1" si="20"/>
        <v>29293842.070276253</v>
      </c>
      <c r="AE46" s="237">
        <f t="shared" ca="1" si="20"/>
        <v>18662257.421695717</v>
      </c>
      <c r="AF46" s="237">
        <f t="shared" ca="1" si="20"/>
        <v>9065856.998335477</v>
      </c>
      <c r="AG46" s="237">
        <f t="shared" ca="1" si="20"/>
        <v>0</v>
      </c>
      <c r="AH46" s="237">
        <f t="shared" ca="1" si="20"/>
        <v>0</v>
      </c>
      <c r="AI46" s="237">
        <f t="shared" ca="1" si="20"/>
        <v>0</v>
      </c>
      <c r="AJ46" s="237">
        <f t="shared" ca="1" si="20"/>
        <v>0</v>
      </c>
      <c r="AK46" s="237">
        <f t="shared" ca="1" si="20"/>
        <v>0</v>
      </c>
      <c r="AL46" s="237">
        <f t="shared" ca="1" si="20"/>
        <v>0</v>
      </c>
      <c r="AM46" s="237">
        <f t="shared" ca="1" si="20"/>
        <v>0</v>
      </c>
      <c r="AN46" s="237">
        <f t="shared" ca="1" si="20"/>
        <v>0</v>
      </c>
      <c r="AO46" s="237">
        <f t="shared" ca="1" si="20"/>
        <v>0</v>
      </c>
      <c r="AP46" s="237">
        <f t="shared" ca="1" si="20"/>
        <v>0</v>
      </c>
      <c r="AQ46" s="237">
        <f t="shared" ca="1" si="20"/>
        <v>0</v>
      </c>
      <c r="AR46" s="237">
        <f t="shared" ca="1" si="20"/>
        <v>0</v>
      </c>
      <c r="AS46" s="237">
        <f t="shared" ca="1" si="20"/>
        <v>0</v>
      </c>
      <c r="AT46" s="237">
        <f t="shared" ca="1" si="20"/>
        <v>0</v>
      </c>
      <c r="AU46" s="517"/>
      <c r="AV46" s="517"/>
      <c r="AW46" s="517"/>
      <c r="AX46" s="517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</row>
    <row r="47" spans="1:62" ht="15.75" customHeight="1" outlineLevel="1" x14ac:dyDescent="0.3">
      <c r="A47" s="13"/>
      <c r="B47" s="13"/>
      <c r="C47" s="13"/>
      <c r="D47" s="136"/>
      <c r="E47" s="137"/>
      <c r="F47" s="138"/>
      <c r="G47" s="139"/>
      <c r="H47" s="140"/>
      <c r="I47" s="138"/>
      <c r="J47" s="41"/>
      <c r="K47" s="267"/>
      <c r="L47" s="267"/>
      <c r="M47" s="36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</row>
    <row r="48" spans="1:62" s="429" customFormat="1" ht="15.75" customHeight="1" outlineLevel="1" x14ac:dyDescent="0.3">
      <c r="A48" s="13"/>
      <c r="B48" s="13"/>
      <c r="C48" s="421"/>
      <c r="D48" s="422" t="s">
        <v>152</v>
      </c>
      <c r="E48" s="423"/>
      <c r="F48" s="424"/>
      <c r="G48" s="425"/>
      <c r="H48" s="423"/>
      <c r="I48" s="423"/>
      <c r="J48" s="64"/>
      <c r="K48" s="509">
        <f t="shared" ref="K48:AT48" si="21" xml:space="preserve"> K49 + K54 + K57</f>
        <v>297500000</v>
      </c>
      <c r="L48" s="426">
        <f t="shared" si="21"/>
        <v>297500000</v>
      </c>
      <c r="M48" s="426">
        <f t="shared" si="21"/>
        <v>0</v>
      </c>
      <c r="N48" s="426">
        <f t="shared" si="21"/>
        <v>0</v>
      </c>
      <c r="O48" s="426">
        <f t="shared" si="21"/>
        <v>0</v>
      </c>
      <c r="P48" s="426">
        <f t="shared" si="21"/>
        <v>0</v>
      </c>
      <c r="Q48" s="426">
        <f t="shared" si="21"/>
        <v>0</v>
      </c>
      <c r="R48" s="426">
        <f t="shared" si="21"/>
        <v>0</v>
      </c>
      <c r="S48" s="426">
        <f t="shared" si="21"/>
        <v>0</v>
      </c>
      <c r="T48" s="426">
        <f t="shared" si="21"/>
        <v>0</v>
      </c>
      <c r="U48" s="426">
        <f t="shared" si="21"/>
        <v>0</v>
      </c>
      <c r="V48" s="426">
        <f t="shared" si="21"/>
        <v>0</v>
      </c>
      <c r="W48" s="426">
        <f t="shared" si="21"/>
        <v>0</v>
      </c>
      <c r="X48" s="426">
        <f t="shared" si="21"/>
        <v>0</v>
      </c>
      <c r="Y48" s="426">
        <f t="shared" si="21"/>
        <v>0</v>
      </c>
      <c r="Z48" s="426">
        <f t="shared" si="21"/>
        <v>0</v>
      </c>
      <c r="AA48" s="426">
        <f t="shared" si="21"/>
        <v>0</v>
      </c>
      <c r="AB48" s="426">
        <f t="shared" si="21"/>
        <v>0</v>
      </c>
      <c r="AC48" s="426">
        <f t="shared" si="21"/>
        <v>0</v>
      </c>
      <c r="AD48" s="426">
        <f t="shared" si="21"/>
        <v>0</v>
      </c>
      <c r="AE48" s="426">
        <f t="shared" si="21"/>
        <v>0</v>
      </c>
      <c r="AF48" s="426">
        <f t="shared" si="21"/>
        <v>0</v>
      </c>
      <c r="AG48" s="426">
        <f t="shared" si="21"/>
        <v>0</v>
      </c>
      <c r="AH48" s="426">
        <f t="shared" si="21"/>
        <v>0</v>
      </c>
      <c r="AI48" s="426">
        <f t="shared" si="21"/>
        <v>0</v>
      </c>
      <c r="AJ48" s="426">
        <f t="shared" si="21"/>
        <v>0</v>
      </c>
      <c r="AK48" s="426">
        <f t="shared" si="21"/>
        <v>0</v>
      </c>
      <c r="AL48" s="426">
        <f t="shared" si="21"/>
        <v>0</v>
      </c>
      <c r="AM48" s="426">
        <f t="shared" si="21"/>
        <v>0</v>
      </c>
      <c r="AN48" s="426">
        <f t="shared" si="21"/>
        <v>0</v>
      </c>
      <c r="AO48" s="426">
        <f t="shared" si="21"/>
        <v>0</v>
      </c>
      <c r="AP48" s="426">
        <f t="shared" si="21"/>
        <v>0</v>
      </c>
      <c r="AQ48" s="426">
        <f t="shared" si="21"/>
        <v>0</v>
      </c>
      <c r="AR48" s="426">
        <f t="shared" si="21"/>
        <v>0</v>
      </c>
      <c r="AS48" s="426">
        <f t="shared" si="21"/>
        <v>0</v>
      </c>
      <c r="AT48" s="426">
        <f t="shared" si="21"/>
        <v>0</v>
      </c>
      <c r="AU48" s="427"/>
      <c r="AV48" s="427"/>
      <c r="AW48" s="427"/>
      <c r="AX48" s="427"/>
      <c r="AY48" s="428"/>
      <c r="AZ48" s="428"/>
      <c r="BA48" s="428"/>
      <c r="BB48" s="428"/>
      <c r="BC48" s="428"/>
      <c r="BD48" s="428"/>
      <c r="BE48" s="428"/>
      <c r="BF48" s="428"/>
      <c r="BG48" s="428"/>
      <c r="BH48" s="428"/>
      <c r="BI48" s="428"/>
      <c r="BJ48" s="428"/>
    </row>
    <row r="49" spans="1:62" ht="15.75" customHeight="1" outlineLevel="1" x14ac:dyDescent="0.3">
      <c r="A49" s="13"/>
      <c r="B49" s="13"/>
      <c r="C49" s="13"/>
      <c r="D49" s="371" t="str">
        <f xml:space="preserve"> 'Assumptions and inputs'!D77</f>
        <v>Процессное оборудование</v>
      </c>
      <c r="E49" s="372"/>
      <c r="F49" s="371"/>
      <c r="G49" s="371"/>
      <c r="H49" s="371"/>
      <c r="I49" s="56"/>
      <c r="J49" s="67"/>
      <c r="K49" s="268">
        <f t="shared" ref="K49:AT49" si="22" xml:space="preserve"> SUM(K50:K53)</f>
        <v>152500000</v>
      </c>
      <c r="L49" s="268">
        <f t="shared" si="22"/>
        <v>152500000</v>
      </c>
      <c r="M49" s="35">
        <f t="shared" si="22"/>
        <v>0</v>
      </c>
      <c r="N49" s="35">
        <f t="shared" si="22"/>
        <v>0</v>
      </c>
      <c r="O49" s="35">
        <f t="shared" si="22"/>
        <v>0</v>
      </c>
      <c r="P49" s="35">
        <f t="shared" si="22"/>
        <v>0</v>
      </c>
      <c r="Q49" s="35">
        <f t="shared" si="22"/>
        <v>0</v>
      </c>
      <c r="R49" s="35">
        <f t="shared" si="22"/>
        <v>0</v>
      </c>
      <c r="S49" s="35">
        <f t="shared" si="22"/>
        <v>0</v>
      </c>
      <c r="T49" s="35">
        <f t="shared" si="22"/>
        <v>0</v>
      </c>
      <c r="U49" s="35">
        <f t="shared" si="22"/>
        <v>0</v>
      </c>
      <c r="V49" s="35">
        <f t="shared" si="22"/>
        <v>0</v>
      </c>
      <c r="W49" s="35">
        <f t="shared" si="22"/>
        <v>0</v>
      </c>
      <c r="X49" s="35">
        <f t="shared" si="22"/>
        <v>0</v>
      </c>
      <c r="Y49" s="35">
        <f t="shared" si="22"/>
        <v>0</v>
      </c>
      <c r="Z49" s="35">
        <f t="shared" si="22"/>
        <v>0</v>
      </c>
      <c r="AA49" s="35">
        <f t="shared" si="22"/>
        <v>0</v>
      </c>
      <c r="AB49" s="35">
        <f t="shared" si="22"/>
        <v>0</v>
      </c>
      <c r="AC49" s="35">
        <f t="shared" si="22"/>
        <v>0</v>
      </c>
      <c r="AD49" s="35">
        <f t="shared" si="22"/>
        <v>0</v>
      </c>
      <c r="AE49" s="35">
        <f t="shared" si="22"/>
        <v>0</v>
      </c>
      <c r="AF49" s="35">
        <f t="shared" si="22"/>
        <v>0</v>
      </c>
      <c r="AG49" s="35">
        <f t="shared" si="22"/>
        <v>0</v>
      </c>
      <c r="AH49" s="35">
        <f t="shared" si="22"/>
        <v>0</v>
      </c>
      <c r="AI49" s="35">
        <f t="shared" si="22"/>
        <v>0</v>
      </c>
      <c r="AJ49" s="35">
        <f t="shared" si="22"/>
        <v>0</v>
      </c>
      <c r="AK49" s="35">
        <f t="shared" si="22"/>
        <v>0</v>
      </c>
      <c r="AL49" s="35">
        <f t="shared" si="22"/>
        <v>0</v>
      </c>
      <c r="AM49" s="35">
        <f t="shared" si="22"/>
        <v>0</v>
      </c>
      <c r="AN49" s="35">
        <f t="shared" si="22"/>
        <v>0</v>
      </c>
      <c r="AO49" s="35">
        <f t="shared" si="22"/>
        <v>0</v>
      </c>
      <c r="AP49" s="35">
        <f t="shared" si="22"/>
        <v>0</v>
      </c>
      <c r="AQ49" s="35">
        <f t="shared" si="22"/>
        <v>0</v>
      </c>
      <c r="AR49" s="35">
        <f t="shared" si="22"/>
        <v>0</v>
      </c>
      <c r="AS49" s="35">
        <f t="shared" si="22"/>
        <v>0</v>
      </c>
      <c r="AT49" s="35">
        <f t="shared" si="22"/>
        <v>0</v>
      </c>
      <c r="AU49" s="194"/>
      <c r="AV49" s="194"/>
      <c r="AW49" s="194"/>
      <c r="AX49" s="194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</row>
    <row r="50" spans="1:62" ht="15.75" customHeight="1" outlineLevel="1" x14ac:dyDescent="0.3">
      <c r="A50" s="13"/>
      <c r="B50" s="13"/>
      <c r="C50" s="13"/>
      <c r="D50" s="270" t="str">
        <f xml:space="preserve"> 'Assumptions and inputs'!D78</f>
        <v xml:space="preserve">  Приемка сырья  </v>
      </c>
      <c r="E50" s="326" t="str">
        <f xml:space="preserve"> 'Assumptions and inputs'!E78</f>
        <v>руб.</v>
      </c>
      <c r="F50" s="270"/>
      <c r="G50" s="270"/>
      <c r="H50" s="270"/>
      <c r="I50" s="19"/>
      <c r="J50" s="67"/>
      <c r="K50" s="268">
        <f xml:space="preserve"> 'Assumptions and inputs'!K78</f>
        <v>45000000</v>
      </c>
      <c r="L50" s="268">
        <f xml:space="preserve"> 'Assumptions and inputs'!L78</f>
        <v>45000000</v>
      </c>
      <c r="M50" s="35">
        <f xml:space="preserve"> 'Assumptions and inputs'!M78</f>
        <v>0</v>
      </c>
      <c r="N50" s="35">
        <f xml:space="preserve"> 'Assumptions and inputs'!N78</f>
        <v>0</v>
      </c>
      <c r="O50" s="35">
        <f xml:space="preserve"> 'Assumptions and inputs'!O78</f>
        <v>0</v>
      </c>
      <c r="P50" s="35">
        <f xml:space="preserve"> 'Assumptions and inputs'!P78</f>
        <v>0</v>
      </c>
      <c r="Q50" s="35">
        <f xml:space="preserve"> 'Assumptions and inputs'!Q78</f>
        <v>0</v>
      </c>
      <c r="R50" s="35">
        <f xml:space="preserve"> 'Assumptions and inputs'!R78</f>
        <v>0</v>
      </c>
      <c r="S50" s="35">
        <f xml:space="preserve"> 'Assumptions and inputs'!S78</f>
        <v>0</v>
      </c>
      <c r="T50" s="35">
        <f xml:space="preserve"> 'Assumptions and inputs'!T78</f>
        <v>0</v>
      </c>
      <c r="U50" s="35">
        <f xml:space="preserve"> 'Assumptions and inputs'!U78</f>
        <v>0</v>
      </c>
      <c r="V50" s="35">
        <f xml:space="preserve"> 'Assumptions and inputs'!V78</f>
        <v>0</v>
      </c>
      <c r="W50" s="35">
        <f xml:space="preserve"> 'Assumptions and inputs'!W78</f>
        <v>0</v>
      </c>
      <c r="X50" s="35">
        <f xml:space="preserve"> 'Assumptions and inputs'!X78</f>
        <v>0</v>
      </c>
      <c r="Y50" s="35">
        <f xml:space="preserve"> 'Assumptions and inputs'!Y78</f>
        <v>0</v>
      </c>
      <c r="Z50" s="35">
        <f xml:space="preserve"> 'Assumptions and inputs'!Z78</f>
        <v>0</v>
      </c>
      <c r="AA50" s="35">
        <f xml:space="preserve"> 'Assumptions and inputs'!AA78</f>
        <v>0</v>
      </c>
      <c r="AB50" s="35">
        <f xml:space="preserve"> 'Assumptions and inputs'!AB78</f>
        <v>0</v>
      </c>
      <c r="AC50" s="35">
        <f xml:space="preserve"> 'Assumptions and inputs'!AC78</f>
        <v>0</v>
      </c>
      <c r="AD50" s="35">
        <f xml:space="preserve"> 'Assumptions and inputs'!AD78</f>
        <v>0</v>
      </c>
      <c r="AE50" s="35">
        <f xml:space="preserve"> 'Assumptions and inputs'!AE78</f>
        <v>0</v>
      </c>
      <c r="AF50" s="35">
        <f xml:space="preserve"> 'Assumptions and inputs'!AF78</f>
        <v>0</v>
      </c>
      <c r="AG50" s="35">
        <f xml:space="preserve"> 'Assumptions and inputs'!AG78</f>
        <v>0</v>
      </c>
      <c r="AH50" s="35">
        <f xml:space="preserve"> 'Assumptions and inputs'!AH78</f>
        <v>0</v>
      </c>
      <c r="AI50" s="35">
        <f xml:space="preserve"> 'Assumptions and inputs'!AI78</f>
        <v>0</v>
      </c>
      <c r="AJ50" s="35">
        <f xml:space="preserve"> 'Assumptions and inputs'!AJ78</f>
        <v>0</v>
      </c>
      <c r="AK50" s="35">
        <f xml:space="preserve"> 'Assumptions and inputs'!AK78</f>
        <v>0</v>
      </c>
      <c r="AL50" s="35">
        <f xml:space="preserve"> 'Assumptions and inputs'!AL78</f>
        <v>0</v>
      </c>
      <c r="AM50" s="35">
        <f xml:space="preserve"> 'Assumptions and inputs'!AM78</f>
        <v>0</v>
      </c>
      <c r="AN50" s="35">
        <f xml:space="preserve"> 'Assumptions and inputs'!AN78</f>
        <v>0</v>
      </c>
      <c r="AO50" s="35">
        <f xml:space="preserve"> 'Assumptions and inputs'!AO78</f>
        <v>0</v>
      </c>
      <c r="AP50" s="35">
        <f xml:space="preserve"> 'Assumptions and inputs'!AP78</f>
        <v>0</v>
      </c>
      <c r="AQ50" s="35">
        <f xml:space="preserve"> 'Assumptions and inputs'!AQ78</f>
        <v>0</v>
      </c>
      <c r="AR50" s="35">
        <f xml:space="preserve"> 'Assumptions and inputs'!AR78</f>
        <v>0</v>
      </c>
      <c r="AS50" s="35">
        <f xml:space="preserve"> 'Assumptions and inputs'!AS78</f>
        <v>0</v>
      </c>
      <c r="AT50" s="35">
        <f xml:space="preserve"> 'Assumptions and inputs'!AT78</f>
        <v>0</v>
      </c>
      <c r="AU50" s="194"/>
      <c r="AV50" s="194"/>
      <c r="AW50" s="194"/>
      <c r="AX50" s="194"/>
      <c r="AY50" s="195"/>
      <c r="AZ50" s="195"/>
      <c r="BA50" s="195"/>
      <c r="BB50" s="195"/>
      <c r="BC50" s="195"/>
      <c r="BD50" s="195"/>
      <c r="BE50" s="195"/>
      <c r="BF50" s="195"/>
      <c r="BG50" s="195"/>
      <c r="BH50" s="195"/>
      <c r="BI50" s="195"/>
      <c r="BJ50" s="195"/>
    </row>
    <row r="51" spans="1:62" ht="15.75" customHeight="1" outlineLevel="1" x14ac:dyDescent="0.3">
      <c r="A51" s="13"/>
      <c r="B51" s="13"/>
      <c r="C51" s="13"/>
      <c r="D51" s="270" t="str">
        <f xml:space="preserve"> 'Assumptions and inputs'!D79</f>
        <v xml:space="preserve">  Миксинг </v>
      </c>
      <c r="E51" s="326" t="str">
        <f xml:space="preserve"> 'Assumptions and inputs'!E79</f>
        <v>руб.</v>
      </c>
      <c r="F51" s="270"/>
      <c r="G51" s="270"/>
      <c r="H51" s="270"/>
      <c r="I51" s="19"/>
      <c r="J51" s="67"/>
      <c r="K51" s="268">
        <f xml:space="preserve"> 'Assumptions and inputs'!K79</f>
        <v>35000000</v>
      </c>
      <c r="L51" s="268">
        <f xml:space="preserve"> 'Assumptions and inputs'!L79</f>
        <v>35000000</v>
      </c>
      <c r="M51" s="35">
        <f xml:space="preserve"> 'Assumptions and inputs'!M79</f>
        <v>0</v>
      </c>
      <c r="N51" s="35">
        <f xml:space="preserve"> 'Assumptions and inputs'!N79</f>
        <v>0</v>
      </c>
      <c r="O51" s="35">
        <f xml:space="preserve"> 'Assumptions and inputs'!O79</f>
        <v>0</v>
      </c>
      <c r="P51" s="35">
        <f xml:space="preserve"> 'Assumptions and inputs'!P79</f>
        <v>0</v>
      </c>
      <c r="Q51" s="35">
        <f xml:space="preserve"> 'Assumptions and inputs'!Q79</f>
        <v>0</v>
      </c>
      <c r="R51" s="35">
        <f xml:space="preserve"> 'Assumptions and inputs'!R79</f>
        <v>0</v>
      </c>
      <c r="S51" s="35">
        <f xml:space="preserve"> 'Assumptions and inputs'!S79</f>
        <v>0</v>
      </c>
      <c r="T51" s="35">
        <f xml:space="preserve"> 'Assumptions and inputs'!T79</f>
        <v>0</v>
      </c>
      <c r="U51" s="35">
        <f xml:space="preserve"> 'Assumptions and inputs'!U79</f>
        <v>0</v>
      </c>
      <c r="V51" s="35">
        <f xml:space="preserve"> 'Assumptions and inputs'!V79</f>
        <v>0</v>
      </c>
      <c r="W51" s="35">
        <f xml:space="preserve"> 'Assumptions and inputs'!W79</f>
        <v>0</v>
      </c>
      <c r="X51" s="35">
        <f xml:space="preserve"> 'Assumptions and inputs'!X79</f>
        <v>0</v>
      </c>
      <c r="Y51" s="35">
        <f xml:space="preserve"> 'Assumptions and inputs'!Y79</f>
        <v>0</v>
      </c>
      <c r="Z51" s="35">
        <f xml:space="preserve"> 'Assumptions and inputs'!Z79</f>
        <v>0</v>
      </c>
      <c r="AA51" s="35">
        <f xml:space="preserve"> 'Assumptions and inputs'!AA79</f>
        <v>0</v>
      </c>
      <c r="AB51" s="35">
        <f xml:space="preserve"> 'Assumptions and inputs'!AB79</f>
        <v>0</v>
      </c>
      <c r="AC51" s="35">
        <f xml:space="preserve"> 'Assumptions and inputs'!AC79</f>
        <v>0</v>
      </c>
      <c r="AD51" s="35">
        <f xml:space="preserve"> 'Assumptions and inputs'!AD79</f>
        <v>0</v>
      </c>
      <c r="AE51" s="35">
        <f xml:space="preserve"> 'Assumptions and inputs'!AE79</f>
        <v>0</v>
      </c>
      <c r="AF51" s="35">
        <f xml:space="preserve"> 'Assumptions and inputs'!AF79</f>
        <v>0</v>
      </c>
      <c r="AG51" s="35">
        <f xml:space="preserve"> 'Assumptions and inputs'!AG79</f>
        <v>0</v>
      </c>
      <c r="AH51" s="35">
        <f xml:space="preserve"> 'Assumptions and inputs'!AH79</f>
        <v>0</v>
      </c>
      <c r="AI51" s="35">
        <f xml:space="preserve"> 'Assumptions and inputs'!AI79</f>
        <v>0</v>
      </c>
      <c r="AJ51" s="35">
        <f xml:space="preserve"> 'Assumptions and inputs'!AJ79</f>
        <v>0</v>
      </c>
      <c r="AK51" s="35">
        <f xml:space="preserve"> 'Assumptions and inputs'!AK79</f>
        <v>0</v>
      </c>
      <c r="AL51" s="35">
        <f xml:space="preserve"> 'Assumptions and inputs'!AL79</f>
        <v>0</v>
      </c>
      <c r="AM51" s="35">
        <f xml:space="preserve"> 'Assumptions and inputs'!AM79</f>
        <v>0</v>
      </c>
      <c r="AN51" s="35">
        <f xml:space="preserve"> 'Assumptions and inputs'!AN79</f>
        <v>0</v>
      </c>
      <c r="AO51" s="35">
        <f xml:space="preserve"> 'Assumptions and inputs'!AO79</f>
        <v>0</v>
      </c>
      <c r="AP51" s="35">
        <f xml:space="preserve"> 'Assumptions and inputs'!AP79</f>
        <v>0</v>
      </c>
      <c r="AQ51" s="35">
        <f xml:space="preserve"> 'Assumptions and inputs'!AQ79</f>
        <v>0</v>
      </c>
      <c r="AR51" s="35">
        <f xml:space="preserve"> 'Assumptions and inputs'!AR79</f>
        <v>0</v>
      </c>
      <c r="AS51" s="35">
        <f xml:space="preserve"> 'Assumptions and inputs'!AS79</f>
        <v>0</v>
      </c>
      <c r="AT51" s="35">
        <f xml:space="preserve"> 'Assumptions and inputs'!AT79</f>
        <v>0</v>
      </c>
      <c r="AU51" s="194"/>
      <c r="AV51" s="194"/>
      <c r="AW51" s="194"/>
      <c r="AX51" s="194"/>
      <c r="AY51" s="195"/>
      <c r="AZ51" s="195"/>
      <c r="BA51" s="195"/>
      <c r="BB51" s="195"/>
      <c r="BC51" s="195"/>
      <c r="BD51" s="195"/>
      <c r="BE51" s="195"/>
      <c r="BF51" s="195"/>
      <c r="BG51" s="195"/>
      <c r="BH51" s="195"/>
      <c r="BI51" s="195"/>
      <c r="BJ51" s="195"/>
    </row>
    <row r="52" spans="1:62" ht="15.75" customHeight="1" outlineLevel="1" x14ac:dyDescent="0.3">
      <c r="A52" s="13"/>
      <c r="B52" s="13"/>
      <c r="C52" s="115"/>
      <c r="D52" s="270" t="str">
        <f xml:space="preserve"> 'Assumptions and inputs'!D80</f>
        <v xml:space="preserve">  Декантация и деактивация</v>
      </c>
      <c r="E52" s="326" t="str">
        <f xml:space="preserve"> 'Assumptions and inputs'!E80</f>
        <v>руб.</v>
      </c>
      <c r="F52" s="270"/>
      <c r="G52" s="270"/>
      <c r="H52" s="270"/>
      <c r="I52" s="19"/>
      <c r="J52" s="69"/>
      <c r="K52" s="268">
        <f xml:space="preserve"> 'Assumptions and inputs'!K80</f>
        <v>27500000</v>
      </c>
      <c r="L52" s="268">
        <f xml:space="preserve"> 'Assumptions and inputs'!L80</f>
        <v>27500000</v>
      </c>
      <c r="M52" s="35">
        <f xml:space="preserve"> 'Assumptions and inputs'!M80</f>
        <v>0</v>
      </c>
      <c r="N52" s="35">
        <f xml:space="preserve"> 'Assumptions and inputs'!N80</f>
        <v>0</v>
      </c>
      <c r="O52" s="35">
        <f xml:space="preserve"> 'Assumptions and inputs'!O80</f>
        <v>0</v>
      </c>
      <c r="P52" s="35">
        <f xml:space="preserve"> 'Assumptions and inputs'!P80</f>
        <v>0</v>
      </c>
      <c r="Q52" s="35">
        <f xml:space="preserve"> 'Assumptions and inputs'!Q80</f>
        <v>0</v>
      </c>
      <c r="R52" s="35">
        <f xml:space="preserve"> 'Assumptions and inputs'!R80</f>
        <v>0</v>
      </c>
      <c r="S52" s="35">
        <f xml:space="preserve"> 'Assumptions and inputs'!S80</f>
        <v>0</v>
      </c>
      <c r="T52" s="35">
        <f xml:space="preserve"> 'Assumptions and inputs'!T80</f>
        <v>0</v>
      </c>
      <c r="U52" s="35">
        <f xml:space="preserve"> 'Assumptions and inputs'!U80</f>
        <v>0</v>
      </c>
      <c r="V52" s="35">
        <f xml:space="preserve"> 'Assumptions and inputs'!V80</f>
        <v>0</v>
      </c>
      <c r="W52" s="35">
        <f xml:space="preserve"> 'Assumptions and inputs'!W80</f>
        <v>0</v>
      </c>
      <c r="X52" s="35">
        <f xml:space="preserve"> 'Assumptions and inputs'!X80</f>
        <v>0</v>
      </c>
      <c r="Y52" s="35">
        <f xml:space="preserve"> 'Assumptions and inputs'!Y80</f>
        <v>0</v>
      </c>
      <c r="Z52" s="35">
        <f xml:space="preserve"> 'Assumptions and inputs'!Z80</f>
        <v>0</v>
      </c>
      <c r="AA52" s="35">
        <f xml:space="preserve"> 'Assumptions and inputs'!AA80</f>
        <v>0</v>
      </c>
      <c r="AB52" s="35">
        <f xml:space="preserve"> 'Assumptions and inputs'!AB80</f>
        <v>0</v>
      </c>
      <c r="AC52" s="35">
        <f xml:space="preserve"> 'Assumptions and inputs'!AC80</f>
        <v>0</v>
      </c>
      <c r="AD52" s="35">
        <f xml:space="preserve"> 'Assumptions and inputs'!AD80</f>
        <v>0</v>
      </c>
      <c r="AE52" s="35">
        <f xml:space="preserve"> 'Assumptions and inputs'!AE80</f>
        <v>0</v>
      </c>
      <c r="AF52" s="35">
        <f xml:space="preserve"> 'Assumptions and inputs'!AF80</f>
        <v>0</v>
      </c>
      <c r="AG52" s="35">
        <f xml:space="preserve"> 'Assumptions and inputs'!AG80</f>
        <v>0</v>
      </c>
      <c r="AH52" s="35">
        <f xml:space="preserve"> 'Assumptions and inputs'!AH80</f>
        <v>0</v>
      </c>
      <c r="AI52" s="35">
        <f xml:space="preserve"> 'Assumptions and inputs'!AI80</f>
        <v>0</v>
      </c>
      <c r="AJ52" s="35">
        <f xml:space="preserve"> 'Assumptions and inputs'!AJ80</f>
        <v>0</v>
      </c>
      <c r="AK52" s="35">
        <f xml:space="preserve"> 'Assumptions and inputs'!AK80</f>
        <v>0</v>
      </c>
      <c r="AL52" s="35">
        <f xml:space="preserve"> 'Assumptions and inputs'!AL80</f>
        <v>0</v>
      </c>
      <c r="AM52" s="35">
        <f xml:space="preserve"> 'Assumptions and inputs'!AM80</f>
        <v>0</v>
      </c>
      <c r="AN52" s="35">
        <f xml:space="preserve"> 'Assumptions and inputs'!AN80</f>
        <v>0</v>
      </c>
      <c r="AO52" s="35">
        <f xml:space="preserve"> 'Assumptions and inputs'!AO80</f>
        <v>0</v>
      </c>
      <c r="AP52" s="35">
        <f xml:space="preserve"> 'Assumptions and inputs'!AP80</f>
        <v>0</v>
      </c>
      <c r="AQ52" s="35">
        <f xml:space="preserve"> 'Assumptions and inputs'!AQ80</f>
        <v>0</v>
      </c>
      <c r="AR52" s="35">
        <f xml:space="preserve"> 'Assumptions and inputs'!AR80</f>
        <v>0</v>
      </c>
      <c r="AS52" s="35">
        <f xml:space="preserve"> 'Assumptions and inputs'!AS80</f>
        <v>0</v>
      </c>
      <c r="AT52" s="35">
        <f xml:space="preserve"> 'Assumptions and inputs'!AT80</f>
        <v>0</v>
      </c>
      <c r="AU52" s="194"/>
      <c r="AV52" s="194"/>
      <c r="AW52" s="194"/>
      <c r="AX52" s="194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</row>
    <row r="53" spans="1:62" ht="15.75" customHeight="1" outlineLevel="1" x14ac:dyDescent="0.3">
      <c r="A53" s="13"/>
      <c r="B53" s="13"/>
      <c r="C53" s="175"/>
      <c r="D53" s="270" t="str">
        <f xml:space="preserve"> 'Assumptions and inputs'!D81</f>
        <v xml:space="preserve">  Гомогенизация и стерилизация</v>
      </c>
      <c r="E53" s="326" t="str">
        <f xml:space="preserve"> 'Assumptions and inputs'!E81</f>
        <v>руб.</v>
      </c>
      <c r="F53" s="270"/>
      <c r="G53" s="270"/>
      <c r="H53" s="270"/>
      <c r="I53" s="19"/>
      <c r="J53" s="41"/>
      <c r="K53" s="268">
        <f xml:space="preserve"> 'Assumptions and inputs'!K81</f>
        <v>45000000</v>
      </c>
      <c r="L53" s="268">
        <f xml:space="preserve"> 'Assumptions and inputs'!L81</f>
        <v>45000000</v>
      </c>
      <c r="M53" s="35">
        <f xml:space="preserve"> 'Assumptions and inputs'!M81</f>
        <v>0</v>
      </c>
      <c r="N53" s="35">
        <f xml:space="preserve"> 'Assumptions and inputs'!N81</f>
        <v>0</v>
      </c>
      <c r="O53" s="35">
        <f xml:space="preserve"> 'Assumptions and inputs'!O81</f>
        <v>0</v>
      </c>
      <c r="P53" s="35">
        <f xml:space="preserve"> 'Assumptions and inputs'!P81</f>
        <v>0</v>
      </c>
      <c r="Q53" s="35">
        <f xml:space="preserve"> 'Assumptions and inputs'!Q81</f>
        <v>0</v>
      </c>
      <c r="R53" s="35">
        <f xml:space="preserve"> 'Assumptions and inputs'!R81</f>
        <v>0</v>
      </c>
      <c r="S53" s="35">
        <f xml:space="preserve"> 'Assumptions and inputs'!S81</f>
        <v>0</v>
      </c>
      <c r="T53" s="35">
        <f xml:space="preserve"> 'Assumptions and inputs'!T81</f>
        <v>0</v>
      </c>
      <c r="U53" s="35">
        <f xml:space="preserve"> 'Assumptions and inputs'!U81</f>
        <v>0</v>
      </c>
      <c r="V53" s="35">
        <f xml:space="preserve"> 'Assumptions and inputs'!V81</f>
        <v>0</v>
      </c>
      <c r="W53" s="35">
        <f xml:space="preserve"> 'Assumptions and inputs'!W81</f>
        <v>0</v>
      </c>
      <c r="X53" s="35">
        <f xml:space="preserve"> 'Assumptions and inputs'!X81</f>
        <v>0</v>
      </c>
      <c r="Y53" s="35">
        <f xml:space="preserve"> 'Assumptions and inputs'!Y81</f>
        <v>0</v>
      </c>
      <c r="Z53" s="35">
        <f xml:space="preserve"> 'Assumptions and inputs'!Z81</f>
        <v>0</v>
      </c>
      <c r="AA53" s="35">
        <f xml:space="preserve"> 'Assumptions and inputs'!AA81</f>
        <v>0</v>
      </c>
      <c r="AB53" s="35">
        <f xml:space="preserve"> 'Assumptions and inputs'!AB81</f>
        <v>0</v>
      </c>
      <c r="AC53" s="35">
        <f xml:space="preserve"> 'Assumptions and inputs'!AC81</f>
        <v>0</v>
      </c>
      <c r="AD53" s="35">
        <f xml:space="preserve"> 'Assumptions and inputs'!AD81</f>
        <v>0</v>
      </c>
      <c r="AE53" s="35">
        <f xml:space="preserve"> 'Assumptions and inputs'!AE81</f>
        <v>0</v>
      </c>
      <c r="AF53" s="35">
        <f xml:space="preserve"> 'Assumptions and inputs'!AF81</f>
        <v>0</v>
      </c>
      <c r="AG53" s="35">
        <f xml:space="preserve"> 'Assumptions and inputs'!AG81</f>
        <v>0</v>
      </c>
      <c r="AH53" s="35">
        <f xml:space="preserve"> 'Assumptions and inputs'!AH81</f>
        <v>0</v>
      </c>
      <c r="AI53" s="35">
        <f xml:space="preserve"> 'Assumptions and inputs'!AI81</f>
        <v>0</v>
      </c>
      <c r="AJ53" s="35">
        <f xml:space="preserve"> 'Assumptions and inputs'!AJ81</f>
        <v>0</v>
      </c>
      <c r="AK53" s="35">
        <f xml:space="preserve"> 'Assumptions and inputs'!AK81</f>
        <v>0</v>
      </c>
      <c r="AL53" s="35">
        <f xml:space="preserve"> 'Assumptions and inputs'!AL81</f>
        <v>0</v>
      </c>
      <c r="AM53" s="35">
        <f xml:space="preserve"> 'Assumptions and inputs'!AM81</f>
        <v>0</v>
      </c>
      <c r="AN53" s="35">
        <f xml:space="preserve"> 'Assumptions and inputs'!AN81</f>
        <v>0</v>
      </c>
      <c r="AO53" s="35">
        <f xml:space="preserve"> 'Assumptions and inputs'!AO81</f>
        <v>0</v>
      </c>
      <c r="AP53" s="35">
        <f xml:space="preserve"> 'Assumptions and inputs'!AP81</f>
        <v>0</v>
      </c>
      <c r="AQ53" s="35">
        <f xml:space="preserve"> 'Assumptions and inputs'!AQ81</f>
        <v>0</v>
      </c>
      <c r="AR53" s="35">
        <f xml:space="preserve"> 'Assumptions and inputs'!AR81</f>
        <v>0</v>
      </c>
      <c r="AS53" s="35">
        <f xml:space="preserve"> 'Assumptions and inputs'!AS81</f>
        <v>0</v>
      </c>
      <c r="AT53" s="35">
        <f xml:space="preserve"> 'Assumptions and inputs'!AT81</f>
        <v>0</v>
      </c>
      <c r="AU53" s="194"/>
      <c r="AV53" s="194"/>
      <c r="AW53" s="194"/>
      <c r="AX53" s="194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</row>
    <row r="54" spans="1:62" ht="15.75" customHeight="1" outlineLevel="1" x14ac:dyDescent="0.3">
      <c r="A54" s="13"/>
      <c r="B54" s="13"/>
      <c r="C54" s="13"/>
      <c r="D54" s="371" t="str">
        <f xml:space="preserve"> 'Assumptions and inputs'!D82</f>
        <v>Упаковочная линия</v>
      </c>
      <c r="E54" s="372"/>
      <c r="F54" s="371"/>
      <c r="G54" s="371"/>
      <c r="H54" s="371"/>
      <c r="I54" s="56"/>
      <c r="J54" s="69"/>
      <c r="K54" s="268">
        <f t="shared" ref="K54:AT54" si="23" xml:space="preserve"> SUM(K55:K56)</f>
        <v>55000000</v>
      </c>
      <c r="L54" s="268">
        <f t="shared" si="23"/>
        <v>55000000</v>
      </c>
      <c r="M54" s="35">
        <f t="shared" si="23"/>
        <v>0</v>
      </c>
      <c r="N54" s="35">
        <f t="shared" si="23"/>
        <v>0</v>
      </c>
      <c r="O54" s="35">
        <f t="shared" si="23"/>
        <v>0</v>
      </c>
      <c r="P54" s="35">
        <f t="shared" si="23"/>
        <v>0</v>
      </c>
      <c r="Q54" s="35">
        <f t="shared" si="23"/>
        <v>0</v>
      </c>
      <c r="R54" s="35">
        <f t="shared" si="23"/>
        <v>0</v>
      </c>
      <c r="S54" s="35">
        <f t="shared" si="23"/>
        <v>0</v>
      </c>
      <c r="T54" s="35">
        <f t="shared" si="23"/>
        <v>0</v>
      </c>
      <c r="U54" s="35">
        <f t="shared" si="23"/>
        <v>0</v>
      </c>
      <c r="V54" s="35">
        <f t="shared" si="23"/>
        <v>0</v>
      </c>
      <c r="W54" s="35">
        <f t="shared" si="23"/>
        <v>0</v>
      </c>
      <c r="X54" s="35">
        <f t="shared" si="23"/>
        <v>0</v>
      </c>
      <c r="Y54" s="35">
        <f t="shared" si="23"/>
        <v>0</v>
      </c>
      <c r="Z54" s="35">
        <f t="shared" si="23"/>
        <v>0</v>
      </c>
      <c r="AA54" s="35">
        <f t="shared" si="23"/>
        <v>0</v>
      </c>
      <c r="AB54" s="35">
        <f t="shared" si="23"/>
        <v>0</v>
      </c>
      <c r="AC54" s="35">
        <f t="shared" si="23"/>
        <v>0</v>
      </c>
      <c r="AD54" s="35">
        <f t="shared" si="23"/>
        <v>0</v>
      </c>
      <c r="AE54" s="35">
        <f t="shared" si="23"/>
        <v>0</v>
      </c>
      <c r="AF54" s="35">
        <f t="shared" si="23"/>
        <v>0</v>
      </c>
      <c r="AG54" s="35">
        <f t="shared" si="23"/>
        <v>0</v>
      </c>
      <c r="AH54" s="35">
        <f t="shared" si="23"/>
        <v>0</v>
      </c>
      <c r="AI54" s="35">
        <f t="shared" si="23"/>
        <v>0</v>
      </c>
      <c r="AJ54" s="35">
        <f t="shared" si="23"/>
        <v>0</v>
      </c>
      <c r="AK54" s="35">
        <f t="shared" si="23"/>
        <v>0</v>
      </c>
      <c r="AL54" s="35">
        <f t="shared" si="23"/>
        <v>0</v>
      </c>
      <c r="AM54" s="35">
        <f t="shared" si="23"/>
        <v>0</v>
      </c>
      <c r="AN54" s="35">
        <f t="shared" si="23"/>
        <v>0</v>
      </c>
      <c r="AO54" s="35">
        <f t="shared" si="23"/>
        <v>0</v>
      </c>
      <c r="AP54" s="35">
        <f t="shared" si="23"/>
        <v>0</v>
      </c>
      <c r="AQ54" s="35">
        <f t="shared" si="23"/>
        <v>0</v>
      </c>
      <c r="AR54" s="35">
        <f t="shared" si="23"/>
        <v>0</v>
      </c>
      <c r="AS54" s="35">
        <f t="shared" si="23"/>
        <v>0</v>
      </c>
      <c r="AT54" s="35">
        <f t="shared" si="23"/>
        <v>0</v>
      </c>
      <c r="AU54" s="194"/>
      <c r="AV54" s="194"/>
      <c r="AW54" s="194"/>
      <c r="AX54" s="194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</row>
    <row r="55" spans="1:62" ht="15.75" customHeight="1" outlineLevel="1" x14ac:dyDescent="0.3">
      <c r="A55" s="13"/>
      <c r="B55" s="13"/>
      <c r="C55" s="13"/>
      <c r="D55" s="270" t="str">
        <f xml:space="preserve"> 'Assumptions and inputs'!D83</f>
        <v xml:space="preserve">  Фасовка</v>
      </c>
      <c r="E55" s="326" t="str">
        <f xml:space="preserve"> 'Assumptions and inputs'!E83</f>
        <v>руб.</v>
      </c>
      <c r="F55" s="270"/>
      <c r="G55" s="270"/>
      <c r="H55" s="326"/>
      <c r="I55" s="19"/>
      <c r="J55" s="69"/>
      <c r="K55" s="268">
        <f xml:space="preserve"> 'Assumptions and inputs'!K83</f>
        <v>35000000</v>
      </c>
      <c r="L55" s="268">
        <f xml:space="preserve"> 'Assumptions and inputs'!L83</f>
        <v>35000000</v>
      </c>
      <c r="M55" s="35">
        <f xml:space="preserve"> 'Assumptions and inputs'!M83</f>
        <v>0</v>
      </c>
      <c r="N55" s="35">
        <f xml:space="preserve"> 'Assumptions and inputs'!N83</f>
        <v>0</v>
      </c>
      <c r="O55" s="35">
        <f xml:space="preserve"> 'Assumptions and inputs'!O83</f>
        <v>0</v>
      </c>
      <c r="P55" s="35">
        <f xml:space="preserve"> 'Assumptions and inputs'!P83</f>
        <v>0</v>
      </c>
      <c r="Q55" s="35">
        <f xml:space="preserve"> 'Assumptions and inputs'!Q83</f>
        <v>0</v>
      </c>
      <c r="R55" s="35">
        <f xml:space="preserve"> 'Assumptions and inputs'!R83</f>
        <v>0</v>
      </c>
      <c r="S55" s="35">
        <f xml:space="preserve"> 'Assumptions and inputs'!S83</f>
        <v>0</v>
      </c>
      <c r="T55" s="35">
        <f xml:space="preserve"> 'Assumptions and inputs'!T83</f>
        <v>0</v>
      </c>
      <c r="U55" s="35">
        <f xml:space="preserve"> 'Assumptions and inputs'!U83</f>
        <v>0</v>
      </c>
      <c r="V55" s="35">
        <f xml:space="preserve"> 'Assumptions and inputs'!V83</f>
        <v>0</v>
      </c>
      <c r="W55" s="35">
        <f xml:space="preserve"> 'Assumptions and inputs'!W83</f>
        <v>0</v>
      </c>
      <c r="X55" s="35">
        <f xml:space="preserve"> 'Assumptions and inputs'!X83</f>
        <v>0</v>
      </c>
      <c r="Y55" s="35">
        <f xml:space="preserve"> 'Assumptions and inputs'!Y83</f>
        <v>0</v>
      </c>
      <c r="Z55" s="35">
        <f xml:space="preserve"> 'Assumptions and inputs'!Z83</f>
        <v>0</v>
      </c>
      <c r="AA55" s="35">
        <f xml:space="preserve"> 'Assumptions and inputs'!AA83</f>
        <v>0</v>
      </c>
      <c r="AB55" s="35">
        <f xml:space="preserve"> 'Assumptions and inputs'!AB83</f>
        <v>0</v>
      </c>
      <c r="AC55" s="35">
        <f xml:space="preserve"> 'Assumptions and inputs'!AC83</f>
        <v>0</v>
      </c>
      <c r="AD55" s="35">
        <f xml:space="preserve"> 'Assumptions and inputs'!AD83</f>
        <v>0</v>
      </c>
      <c r="AE55" s="35">
        <f xml:space="preserve"> 'Assumptions and inputs'!AE83</f>
        <v>0</v>
      </c>
      <c r="AF55" s="35">
        <f xml:space="preserve"> 'Assumptions and inputs'!AF83</f>
        <v>0</v>
      </c>
      <c r="AG55" s="35">
        <f xml:space="preserve"> 'Assumptions and inputs'!AG83</f>
        <v>0</v>
      </c>
      <c r="AH55" s="35">
        <f xml:space="preserve"> 'Assumptions and inputs'!AH83</f>
        <v>0</v>
      </c>
      <c r="AI55" s="35">
        <f xml:space="preserve"> 'Assumptions and inputs'!AI83</f>
        <v>0</v>
      </c>
      <c r="AJ55" s="35">
        <f xml:space="preserve"> 'Assumptions and inputs'!AJ83</f>
        <v>0</v>
      </c>
      <c r="AK55" s="35">
        <f xml:space="preserve"> 'Assumptions and inputs'!AK83</f>
        <v>0</v>
      </c>
      <c r="AL55" s="35">
        <f xml:space="preserve"> 'Assumptions and inputs'!AL83</f>
        <v>0</v>
      </c>
      <c r="AM55" s="35">
        <f xml:space="preserve"> 'Assumptions and inputs'!AM83</f>
        <v>0</v>
      </c>
      <c r="AN55" s="35">
        <f xml:space="preserve"> 'Assumptions and inputs'!AN83</f>
        <v>0</v>
      </c>
      <c r="AO55" s="35">
        <f xml:space="preserve"> 'Assumptions and inputs'!AO83</f>
        <v>0</v>
      </c>
      <c r="AP55" s="35">
        <f xml:space="preserve"> 'Assumptions and inputs'!AP83</f>
        <v>0</v>
      </c>
      <c r="AQ55" s="35">
        <f xml:space="preserve"> 'Assumptions and inputs'!AQ83</f>
        <v>0</v>
      </c>
      <c r="AR55" s="35">
        <f xml:space="preserve"> 'Assumptions and inputs'!AR83</f>
        <v>0</v>
      </c>
      <c r="AS55" s="35">
        <f xml:space="preserve"> 'Assumptions and inputs'!AS83</f>
        <v>0</v>
      </c>
      <c r="AT55" s="35">
        <f xml:space="preserve"> 'Assumptions and inputs'!AT83</f>
        <v>0</v>
      </c>
      <c r="AU55" s="194"/>
      <c r="AV55" s="194"/>
      <c r="AW55" s="194"/>
      <c r="AX55" s="194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</row>
    <row r="56" spans="1:62" ht="15.75" customHeight="1" outlineLevel="1" x14ac:dyDescent="0.3">
      <c r="A56" s="13"/>
      <c r="B56" s="13"/>
      <c r="C56" s="13"/>
      <c r="D56" s="270" t="str">
        <f xml:space="preserve"> 'Assumptions and inputs'!D84</f>
        <v xml:space="preserve">  Группировка</v>
      </c>
      <c r="E56" s="326" t="str">
        <f xml:space="preserve"> 'Assumptions and inputs'!E84</f>
        <v>руб.</v>
      </c>
      <c r="F56" s="270"/>
      <c r="G56" s="270"/>
      <c r="H56" s="270"/>
      <c r="I56" s="19"/>
      <c r="J56" s="69"/>
      <c r="K56" s="268">
        <f xml:space="preserve"> 'Assumptions and inputs'!K84</f>
        <v>20000000</v>
      </c>
      <c r="L56" s="268">
        <f xml:space="preserve"> 'Assumptions and inputs'!L84</f>
        <v>20000000</v>
      </c>
      <c r="M56" s="35">
        <f xml:space="preserve"> 'Assumptions and inputs'!M84</f>
        <v>0</v>
      </c>
      <c r="N56" s="35">
        <f xml:space="preserve"> 'Assumptions and inputs'!N84</f>
        <v>0</v>
      </c>
      <c r="O56" s="35">
        <f xml:space="preserve"> 'Assumptions and inputs'!O84</f>
        <v>0</v>
      </c>
      <c r="P56" s="35">
        <f xml:space="preserve"> 'Assumptions and inputs'!P84</f>
        <v>0</v>
      </c>
      <c r="Q56" s="35">
        <f xml:space="preserve"> 'Assumptions and inputs'!Q84</f>
        <v>0</v>
      </c>
      <c r="R56" s="35">
        <f xml:space="preserve"> 'Assumptions and inputs'!R84</f>
        <v>0</v>
      </c>
      <c r="S56" s="35">
        <f xml:space="preserve"> 'Assumptions and inputs'!S84</f>
        <v>0</v>
      </c>
      <c r="T56" s="35">
        <f xml:space="preserve"> 'Assumptions and inputs'!T84</f>
        <v>0</v>
      </c>
      <c r="U56" s="35">
        <f xml:space="preserve"> 'Assumptions and inputs'!U84</f>
        <v>0</v>
      </c>
      <c r="V56" s="35">
        <f xml:space="preserve"> 'Assumptions and inputs'!V84</f>
        <v>0</v>
      </c>
      <c r="W56" s="35">
        <f xml:space="preserve"> 'Assumptions and inputs'!W84</f>
        <v>0</v>
      </c>
      <c r="X56" s="35">
        <f xml:space="preserve"> 'Assumptions and inputs'!X84</f>
        <v>0</v>
      </c>
      <c r="Y56" s="35">
        <f xml:space="preserve"> 'Assumptions and inputs'!Y84</f>
        <v>0</v>
      </c>
      <c r="Z56" s="35">
        <f xml:space="preserve"> 'Assumptions and inputs'!Z84</f>
        <v>0</v>
      </c>
      <c r="AA56" s="35">
        <f xml:space="preserve"> 'Assumptions and inputs'!AA84</f>
        <v>0</v>
      </c>
      <c r="AB56" s="35">
        <f xml:space="preserve"> 'Assumptions and inputs'!AB84</f>
        <v>0</v>
      </c>
      <c r="AC56" s="35">
        <f xml:space="preserve"> 'Assumptions and inputs'!AC84</f>
        <v>0</v>
      </c>
      <c r="AD56" s="35">
        <f xml:space="preserve"> 'Assumptions and inputs'!AD84</f>
        <v>0</v>
      </c>
      <c r="AE56" s="35">
        <f xml:space="preserve"> 'Assumptions and inputs'!AE84</f>
        <v>0</v>
      </c>
      <c r="AF56" s="35">
        <f xml:space="preserve"> 'Assumptions and inputs'!AF84</f>
        <v>0</v>
      </c>
      <c r="AG56" s="35">
        <f xml:space="preserve"> 'Assumptions and inputs'!AG84</f>
        <v>0</v>
      </c>
      <c r="AH56" s="35">
        <f xml:space="preserve"> 'Assumptions and inputs'!AH84</f>
        <v>0</v>
      </c>
      <c r="AI56" s="35">
        <f xml:space="preserve"> 'Assumptions and inputs'!AI84</f>
        <v>0</v>
      </c>
      <c r="AJ56" s="35">
        <f xml:space="preserve"> 'Assumptions and inputs'!AJ84</f>
        <v>0</v>
      </c>
      <c r="AK56" s="35">
        <f xml:space="preserve"> 'Assumptions and inputs'!AK84</f>
        <v>0</v>
      </c>
      <c r="AL56" s="35">
        <f xml:space="preserve"> 'Assumptions and inputs'!AL84</f>
        <v>0</v>
      </c>
      <c r="AM56" s="35">
        <f xml:space="preserve"> 'Assumptions and inputs'!AM84</f>
        <v>0</v>
      </c>
      <c r="AN56" s="35">
        <f xml:space="preserve"> 'Assumptions and inputs'!AN84</f>
        <v>0</v>
      </c>
      <c r="AO56" s="35">
        <f xml:space="preserve"> 'Assumptions and inputs'!AO84</f>
        <v>0</v>
      </c>
      <c r="AP56" s="35">
        <f xml:space="preserve"> 'Assumptions and inputs'!AP84</f>
        <v>0</v>
      </c>
      <c r="AQ56" s="35">
        <f xml:space="preserve"> 'Assumptions and inputs'!AQ84</f>
        <v>0</v>
      </c>
      <c r="AR56" s="35">
        <f xml:space="preserve"> 'Assumptions and inputs'!AR84</f>
        <v>0</v>
      </c>
      <c r="AS56" s="35">
        <f xml:space="preserve"> 'Assumptions and inputs'!AS84</f>
        <v>0</v>
      </c>
      <c r="AT56" s="35">
        <f xml:space="preserve"> 'Assumptions and inputs'!AT84</f>
        <v>0</v>
      </c>
      <c r="AU56" s="200"/>
      <c r="AV56" s="200"/>
      <c r="AW56" s="200"/>
      <c r="AX56" s="200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</row>
    <row r="57" spans="1:62" ht="15.75" customHeight="1" outlineLevel="1" x14ac:dyDescent="0.3">
      <c r="A57" s="13"/>
      <c r="B57" s="13"/>
      <c r="C57" s="13"/>
      <c r="D57" s="371" t="str">
        <f xml:space="preserve"> 'Assumptions and inputs'!D85</f>
        <v xml:space="preserve">Работа над технологией </v>
      </c>
      <c r="E57" s="372" t="str">
        <f xml:space="preserve"> 'Assumptions and inputs'!E85</f>
        <v>руб.</v>
      </c>
      <c r="F57" s="371"/>
      <c r="G57" s="371"/>
      <c r="H57" s="371"/>
      <c r="I57" s="56"/>
      <c r="J57" s="69"/>
      <c r="K57" s="268">
        <f xml:space="preserve"> 'Assumptions and inputs'!K85</f>
        <v>90000000</v>
      </c>
      <c r="L57" s="268">
        <f xml:space="preserve"> 'Assumptions and inputs'!L85</f>
        <v>90000000</v>
      </c>
      <c r="M57" s="35">
        <f xml:space="preserve"> 'Assumptions and inputs'!M85</f>
        <v>0</v>
      </c>
      <c r="N57" s="35">
        <f xml:space="preserve"> 'Assumptions and inputs'!N85</f>
        <v>0</v>
      </c>
      <c r="O57" s="35">
        <f xml:space="preserve"> 'Assumptions and inputs'!O85</f>
        <v>0</v>
      </c>
      <c r="P57" s="35">
        <f xml:space="preserve"> 'Assumptions and inputs'!P85</f>
        <v>0</v>
      </c>
      <c r="Q57" s="35">
        <f xml:space="preserve"> 'Assumptions and inputs'!Q85</f>
        <v>0</v>
      </c>
      <c r="R57" s="35">
        <f xml:space="preserve"> 'Assumptions and inputs'!R85</f>
        <v>0</v>
      </c>
      <c r="S57" s="35">
        <f xml:space="preserve"> 'Assumptions and inputs'!S85</f>
        <v>0</v>
      </c>
      <c r="T57" s="35">
        <f xml:space="preserve"> 'Assumptions and inputs'!T85</f>
        <v>0</v>
      </c>
      <c r="U57" s="35">
        <f xml:space="preserve"> 'Assumptions and inputs'!U85</f>
        <v>0</v>
      </c>
      <c r="V57" s="35">
        <f xml:space="preserve"> 'Assumptions and inputs'!V85</f>
        <v>0</v>
      </c>
      <c r="W57" s="35">
        <f xml:space="preserve"> 'Assumptions and inputs'!W85</f>
        <v>0</v>
      </c>
      <c r="X57" s="35">
        <f xml:space="preserve"> 'Assumptions and inputs'!X85</f>
        <v>0</v>
      </c>
      <c r="Y57" s="35">
        <f xml:space="preserve"> 'Assumptions and inputs'!Y85</f>
        <v>0</v>
      </c>
      <c r="Z57" s="35">
        <f xml:space="preserve"> 'Assumptions and inputs'!Z85</f>
        <v>0</v>
      </c>
      <c r="AA57" s="35">
        <f xml:space="preserve"> 'Assumptions and inputs'!AA85</f>
        <v>0</v>
      </c>
      <c r="AB57" s="35">
        <f xml:space="preserve"> 'Assumptions and inputs'!AB85</f>
        <v>0</v>
      </c>
      <c r="AC57" s="35">
        <f xml:space="preserve"> 'Assumptions and inputs'!AC85</f>
        <v>0</v>
      </c>
      <c r="AD57" s="35">
        <f xml:space="preserve"> 'Assumptions and inputs'!AD85</f>
        <v>0</v>
      </c>
      <c r="AE57" s="35">
        <f xml:space="preserve"> 'Assumptions and inputs'!AE85</f>
        <v>0</v>
      </c>
      <c r="AF57" s="35">
        <f xml:space="preserve"> 'Assumptions and inputs'!AF85</f>
        <v>0</v>
      </c>
      <c r="AG57" s="35">
        <f xml:space="preserve"> 'Assumptions and inputs'!AG85</f>
        <v>0</v>
      </c>
      <c r="AH57" s="35">
        <f xml:space="preserve"> 'Assumptions and inputs'!AH85</f>
        <v>0</v>
      </c>
      <c r="AI57" s="35">
        <f xml:space="preserve"> 'Assumptions and inputs'!AI85</f>
        <v>0</v>
      </c>
      <c r="AJ57" s="35">
        <f xml:space="preserve"> 'Assumptions and inputs'!AJ85</f>
        <v>0</v>
      </c>
      <c r="AK57" s="35">
        <f xml:space="preserve"> 'Assumptions and inputs'!AK85</f>
        <v>0</v>
      </c>
      <c r="AL57" s="35">
        <f xml:space="preserve"> 'Assumptions and inputs'!AL85</f>
        <v>0</v>
      </c>
      <c r="AM57" s="35">
        <f xml:space="preserve"> 'Assumptions and inputs'!AM85</f>
        <v>0</v>
      </c>
      <c r="AN57" s="35">
        <f xml:space="preserve"> 'Assumptions and inputs'!AN85</f>
        <v>0</v>
      </c>
      <c r="AO57" s="35">
        <f xml:space="preserve"> 'Assumptions and inputs'!AO85</f>
        <v>0</v>
      </c>
      <c r="AP57" s="35">
        <f xml:space="preserve"> 'Assumptions and inputs'!AP85</f>
        <v>0</v>
      </c>
      <c r="AQ57" s="35">
        <f xml:space="preserve"> 'Assumptions and inputs'!AQ85</f>
        <v>0</v>
      </c>
      <c r="AR57" s="35">
        <f xml:space="preserve"> 'Assumptions and inputs'!AR85</f>
        <v>0</v>
      </c>
      <c r="AS57" s="35">
        <f xml:space="preserve"> 'Assumptions and inputs'!AS85</f>
        <v>0</v>
      </c>
      <c r="AT57" s="35">
        <f xml:space="preserve"> 'Assumptions and inputs'!AT85</f>
        <v>0</v>
      </c>
      <c r="AU57" s="194"/>
      <c r="AV57" s="194"/>
      <c r="AW57" s="194"/>
      <c r="AX57" s="194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</row>
    <row r="58" spans="1:62" ht="15.75" customHeight="1" outlineLevel="1" x14ac:dyDescent="0.3">
      <c r="A58" s="13"/>
      <c r="B58" s="13"/>
      <c r="C58" s="13"/>
      <c r="D58" s="371"/>
      <c r="E58" s="372"/>
      <c r="F58" s="374"/>
      <c r="G58" s="375"/>
      <c r="H58" s="376"/>
      <c r="I58" s="109"/>
      <c r="J58" s="69"/>
      <c r="K58" s="267"/>
      <c r="L58" s="267"/>
      <c r="M58" s="36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5"/>
      <c r="AZ58" s="195"/>
      <c r="BA58" s="195"/>
      <c r="BB58" s="195"/>
      <c r="BC58" s="195"/>
      <c r="BD58" s="195"/>
      <c r="BE58" s="195"/>
      <c r="BF58" s="195"/>
      <c r="BG58" s="195"/>
      <c r="BH58" s="195"/>
      <c r="BI58" s="195"/>
      <c r="BJ58" s="195"/>
    </row>
    <row r="59" spans="1:62" s="429" customFormat="1" ht="15.75" customHeight="1" outlineLevel="1" x14ac:dyDescent="0.3">
      <c r="A59" s="13"/>
      <c r="B59" s="13"/>
      <c r="C59" s="421"/>
      <c r="D59" s="422" t="s">
        <v>157</v>
      </c>
      <c r="E59" s="423" t="s">
        <v>63</v>
      </c>
      <c r="F59" s="424"/>
      <c r="G59" s="425"/>
      <c r="H59" s="423"/>
      <c r="I59" s="423"/>
      <c r="J59" s="69"/>
      <c r="K59" s="509">
        <f t="shared" ref="K59:AT59" si="24" xml:space="preserve"> K60 - K61</f>
        <v>0</v>
      </c>
      <c r="L59" s="426">
        <f t="shared" si="24"/>
        <v>0</v>
      </c>
      <c r="M59" s="426">
        <f t="shared" si="24"/>
        <v>0</v>
      </c>
      <c r="N59" s="426">
        <f t="shared" si="24"/>
        <v>0</v>
      </c>
      <c r="O59" s="426">
        <f t="shared" si="24"/>
        <v>0</v>
      </c>
      <c r="P59" s="426">
        <f t="shared" si="24"/>
        <v>0</v>
      </c>
      <c r="Q59" s="426">
        <f t="shared" si="24"/>
        <v>0</v>
      </c>
      <c r="R59" s="426">
        <f t="shared" si="24"/>
        <v>0</v>
      </c>
      <c r="S59" s="426">
        <f t="shared" si="24"/>
        <v>0</v>
      </c>
      <c r="T59" s="426">
        <f t="shared" si="24"/>
        <v>0</v>
      </c>
      <c r="U59" s="426">
        <f t="shared" si="24"/>
        <v>0</v>
      </c>
      <c r="V59" s="426">
        <f t="shared" si="24"/>
        <v>0</v>
      </c>
      <c r="W59" s="426">
        <f t="shared" si="24"/>
        <v>0</v>
      </c>
      <c r="X59" s="426">
        <f t="shared" si="24"/>
        <v>0</v>
      </c>
      <c r="Y59" s="426">
        <f t="shared" si="24"/>
        <v>0</v>
      </c>
      <c r="Z59" s="426">
        <f t="shared" si="24"/>
        <v>0</v>
      </c>
      <c r="AA59" s="426">
        <f t="shared" si="24"/>
        <v>0</v>
      </c>
      <c r="AB59" s="426">
        <f t="shared" si="24"/>
        <v>0</v>
      </c>
      <c r="AC59" s="426">
        <f t="shared" si="24"/>
        <v>0</v>
      </c>
      <c r="AD59" s="426">
        <f t="shared" si="24"/>
        <v>0</v>
      </c>
      <c r="AE59" s="426">
        <f t="shared" si="24"/>
        <v>0</v>
      </c>
      <c r="AF59" s="426">
        <f t="shared" si="24"/>
        <v>0</v>
      </c>
      <c r="AG59" s="426">
        <f t="shared" si="24"/>
        <v>0</v>
      </c>
      <c r="AH59" s="426">
        <f t="shared" si="24"/>
        <v>0</v>
      </c>
      <c r="AI59" s="426">
        <f t="shared" si="24"/>
        <v>0</v>
      </c>
      <c r="AJ59" s="426">
        <f t="shared" si="24"/>
        <v>0</v>
      </c>
      <c r="AK59" s="426">
        <f t="shared" si="24"/>
        <v>0</v>
      </c>
      <c r="AL59" s="426">
        <f t="shared" si="24"/>
        <v>0</v>
      </c>
      <c r="AM59" s="426">
        <f t="shared" si="24"/>
        <v>0</v>
      </c>
      <c r="AN59" s="426">
        <f t="shared" si="24"/>
        <v>0</v>
      </c>
      <c r="AO59" s="426">
        <f t="shared" si="24"/>
        <v>0</v>
      </c>
      <c r="AP59" s="426">
        <f t="shared" si="24"/>
        <v>0</v>
      </c>
      <c r="AQ59" s="426">
        <f t="shared" si="24"/>
        <v>0</v>
      </c>
      <c r="AR59" s="426">
        <f t="shared" si="24"/>
        <v>0</v>
      </c>
      <c r="AS59" s="426">
        <f t="shared" si="24"/>
        <v>0</v>
      </c>
      <c r="AT59" s="426">
        <f t="shared" si="24"/>
        <v>0</v>
      </c>
      <c r="AU59" s="427"/>
      <c r="AV59" s="427"/>
      <c r="AW59" s="427"/>
      <c r="AX59" s="427"/>
      <c r="AY59" s="428"/>
      <c r="AZ59" s="428"/>
      <c r="BA59" s="428"/>
      <c r="BB59" s="428"/>
      <c r="BC59" s="428"/>
      <c r="BD59" s="428"/>
      <c r="BE59" s="428"/>
      <c r="BF59" s="428"/>
      <c r="BG59" s="428"/>
      <c r="BH59" s="428"/>
      <c r="BI59" s="428"/>
      <c r="BJ59" s="428"/>
    </row>
    <row r="60" spans="1:62" ht="15.75" customHeight="1" outlineLevel="1" x14ac:dyDescent="0.3">
      <c r="A60" s="13"/>
      <c r="B60" s="13"/>
      <c r="C60" s="13"/>
      <c r="D60" s="369" t="s">
        <v>158</v>
      </c>
      <c r="E60" s="370"/>
      <c r="F60" s="357"/>
      <c r="G60" s="358"/>
      <c r="H60" s="359"/>
      <c r="I60" s="138"/>
      <c r="J60" s="69"/>
      <c r="K60" s="267"/>
      <c r="L60" s="267"/>
      <c r="M60" s="36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200"/>
      <c r="AV60" s="200"/>
      <c r="AW60" s="200"/>
      <c r="AX60" s="200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</row>
    <row r="61" spans="1:62" ht="15.75" customHeight="1" outlineLevel="1" x14ac:dyDescent="0.3">
      <c r="A61" s="13"/>
      <c r="B61" s="13"/>
      <c r="C61" s="13"/>
      <c r="D61" s="369" t="s">
        <v>159</v>
      </c>
      <c r="E61" s="370"/>
      <c r="F61" s="357"/>
      <c r="G61" s="358"/>
      <c r="H61" s="359"/>
      <c r="I61" s="138"/>
      <c r="J61" s="69"/>
      <c r="K61" s="267"/>
      <c r="L61" s="267"/>
      <c r="M61" s="36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</row>
    <row r="62" spans="1:62" ht="15.75" customHeight="1" outlineLevel="1" x14ac:dyDescent="0.3">
      <c r="A62" s="13"/>
      <c r="B62" s="13"/>
      <c r="C62" s="13"/>
      <c r="D62" s="369"/>
      <c r="E62" s="370"/>
      <c r="F62" s="357"/>
      <c r="G62" s="358"/>
      <c r="H62" s="359"/>
      <c r="I62" s="138"/>
      <c r="J62" s="69"/>
      <c r="K62" s="267"/>
      <c r="L62" s="267"/>
      <c r="M62" s="36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5"/>
      <c r="AZ62" s="195"/>
      <c r="BA62" s="195"/>
      <c r="BB62" s="195"/>
      <c r="BC62" s="195"/>
      <c r="BD62" s="195"/>
      <c r="BE62" s="195"/>
      <c r="BF62" s="195"/>
      <c r="BG62" s="195"/>
      <c r="BH62" s="195"/>
      <c r="BI62" s="195"/>
      <c r="BJ62" s="195"/>
    </row>
    <row r="63" spans="1:62" s="429" customFormat="1" ht="15.75" customHeight="1" outlineLevel="1" x14ac:dyDescent="0.3">
      <c r="A63" s="13"/>
      <c r="B63" s="13"/>
      <c r="C63" s="421"/>
      <c r="D63" s="422" t="s">
        <v>230</v>
      </c>
      <c r="E63" s="423"/>
      <c r="F63" s="424"/>
      <c r="G63" s="425"/>
      <c r="H63" s="509">
        <f ca="1" xml:space="preserve"> SUM(K63:AT63)</f>
        <v>436652293.98806936</v>
      </c>
      <c r="I63" s="423"/>
      <c r="J63" s="69"/>
      <c r="K63" s="509">
        <f t="shared" ref="K63:AT63" ca="1" si="25" xml:space="preserve"> K31 - K48 + K59</f>
        <v>-297500000</v>
      </c>
      <c r="L63" s="509">
        <f t="shared" ca="1" si="25"/>
        <v>-342941022.06626701</v>
      </c>
      <c r="M63" s="426">
        <f t="shared" ca="1" si="25"/>
        <v>7576544.1037122756</v>
      </c>
      <c r="N63" s="509">
        <f t="shared" ca="1" si="25"/>
        <v>8351051.1967523843</v>
      </c>
      <c r="O63" s="426">
        <f t="shared" ca="1" si="25"/>
        <v>13457450.546139166</v>
      </c>
      <c r="P63" s="426">
        <f t="shared" ca="1" si="25"/>
        <v>23016153.450121887</v>
      </c>
      <c r="Q63" s="426">
        <f t="shared" ca="1" si="25"/>
        <v>23249411.233665995</v>
      </c>
      <c r="R63" s="426">
        <f t="shared" ca="1" si="25"/>
        <v>28643839.339196995</v>
      </c>
      <c r="S63" s="426">
        <f t="shared" ca="1" si="25"/>
        <v>26050006.896286506</v>
      </c>
      <c r="T63" s="426">
        <f t="shared" ca="1" si="25"/>
        <v>23617764.514455058</v>
      </c>
      <c r="U63" s="426">
        <f t="shared" ca="1" si="25"/>
        <v>26316897.190499861</v>
      </c>
      <c r="V63" s="426">
        <f t="shared" ca="1" si="25"/>
        <v>17746516.738130502</v>
      </c>
      <c r="W63" s="426">
        <f t="shared" ca="1" si="25"/>
        <v>-33012112.892632108</v>
      </c>
      <c r="X63" s="426">
        <f t="shared" ca="1" si="25"/>
        <v>28963278.324749757</v>
      </c>
      <c r="Y63" s="426">
        <f t="shared" ca="1" si="25"/>
        <v>14638231.674887534</v>
      </c>
      <c r="Z63" s="426">
        <f t="shared" ca="1" si="25"/>
        <v>15593155.983287966</v>
      </c>
      <c r="AA63" s="426">
        <f t="shared" ca="1" si="25"/>
        <v>25954479.288531132</v>
      </c>
      <c r="AB63" s="426">
        <f t="shared" ca="1" si="25"/>
        <v>48107587.805097654</v>
      </c>
      <c r="AC63" s="426">
        <f t="shared" ca="1" si="25"/>
        <v>51214934.329568692</v>
      </c>
      <c r="AD63" s="426">
        <f t="shared" ca="1" si="25"/>
        <v>63073944.164737299</v>
      </c>
      <c r="AE63" s="426">
        <f t="shared" ca="1" si="25"/>
        <v>57109874.28539829</v>
      </c>
      <c r="AF63" s="426">
        <f t="shared" ca="1" si="25"/>
        <v>51541449.290744781</v>
      </c>
      <c r="AG63" s="426">
        <f t="shared" ca="1" si="25"/>
        <v>55910835.472742423</v>
      </c>
      <c r="AH63" s="426">
        <f t="shared" ca="1" si="25"/>
        <v>31050858.531154975</v>
      </c>
      <c r="AI63" s="426">
        <f t="shared" ca="1" si="25"/>
        <v>16687514.418975163</v>
      </c>
      <c r="AJ63" s="426">
        <f t="shared" ca="1" si="25"/>
        <v>28904861.939051729</v>
      </c>
      <c r="AK63" s="426">
        <f t="shared" ca="1" si="25"/>
        <v>14052088.811180096</v>
      </c>
      <c r="AL63" s="426">
        <f t="shared" ca="1" si="25"/>
        <v>14861772.288633198</v>
      </c>
      <c r="AM63" s="426">
        <f t="shared" ca="1" si="25"/>
        <v>25368158.308994308</v>
      </c>
      <c r="AN63" s="426">
        <f t="shared" ca="1" si="25"/>
        <v>48129011.961543515</v>
      </c>
      <c r="AO63" s="426">
        <f t="shared" ca="1" si="25"/>
        <v>51337091.417404316</v>
      </c>
      <c r="AP63" s="426">
        <f t="shared" ca="1" si="25"/>
        <v>63639777.448538102</v>
      </c>
      <c r="AQ63" s="426">
        <f t="shared" ca="1" si="25"/>
        <v>57600829.732170932</v>
      </c>
      <c r="AR63" s="426">
        <f t="shared" ca="1" si="25"/>
        <v>51948887.086705148</v>
      </c>
      <c r="AS63" s="426">
        <f t="shared" ca="1" si="25"/>
        <v>58033351.440794051</v>
      </c>
      <c r="AT63" s="426">
        <f t="shared" ca="1" si="25"/>
        <v>38357819.73311685</v>
      </c>
      <c r="AU63" s="427"/>
      <c r="AV63" s="427"/>
      <c r="AW63" s="427"/>
      <c r="AX63" s="427"/>
      <c r="AY63" s="428"/>
      <c r="AZ63" s="428"/>
      <c r="BA63" s="428"/>
      <c r="BB63" s="428"/>
      <c r="BC63" s="428"/>
      <c r="BD63" s="428"/>
      <c r="BE63" s="428"/>
      <c r="BF63" s="428"/>
      <c r="BG63" s="428"/>
      <c r="BH63" s="428"/>
      <c r="BI63" s="428"/>
      <c r="BJ63" s="428"/>
    </row>
    <row r="64" spans="1:62" ht="15.75" customHeight="1" outlineLevel="1" x14ac:dyDescent="0.3">
      <c r="A64" s="419"/>
      <c r="B64" s="13"/>
      <c r="C64" s="233"/>
      <c r="D64" s="377" t="s">
        <v>190</v>
      </c>
      <c r="E64" s="378" t="s">
        <v>27</v>
      </c>
      <c r="F64" s="379"/>
      <c r="G64" s="380"/>
      <c r="H64" s="520">
        <f xml:space="preserve"> 'Assumptions and inputs'!H104</f>
        <v>0.11750982105263157</v>
      </c>
      <c r="I64" s="235"/>
      <c r="J64" s="69"/>
      <c r="K64" s="353"/>
      <c r="L64" s="353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44"/>
      <c r="AV64" s="244"/>
      <c r="AW64" s="244"/>
      <c r="AX64" s="244"/>
      <c r="AY64" s="195"/>
      <c r="AZ64" s="195"/>
      <c r="BA64" s="195"/>
      <c r="BB64" s="195"/>
      <c r="BC64" s="195"/>
      <c r="BD64" s="195"/>
      <c r="BE64" s="195"/>
      <c r="BF64" s="195"/>
      <c r="BG64" s="195"/>
      <c r="BH64" s="195"/>
      <c r="BI64" s="195"/>
      <c r="BJ64" s="195"/>
    </row>
    <row r="65" spans="1:62" ht="15.75" customHeight="1" outlineLevel="1" x14ac:dyDescent="0.65">
      <c r="A65" s="233"/>
      <c r="B65" s="233"/>
      <c r="C65" s="13"/>
      <c r="D65" s="381" t="s">
        <v>189</v>
      </c>
      <c r="E65" s="382" t="s">
        <v>27</v>
      </c>
      <c r="F65" s="357"/>
      <c r="G65" s="358"/>
      <c r="H65" s="387">
        <f xml:space="preserve"> (1 + H64) ^ (1 / 12) - 1</f>
        <v>9.3015627953443314E-3</v>
      </c>
      <c r="J65" s="7"/>
      <c r="K65" s="267"/>
      <c r="L65" s="267"/>
      <c r="M65" s="36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5"/>
      <c r="AZ65" s="195"/>
      <c r="BA65" s="195"/>
      <c r="BB65" s="195"/>
      <c r="BC65" s="195"/>
      <c r="BD65" s="195"/>
      <c r="BE65" s="195"/>
      <c r="BF65" s="195"/>
      <c r="BG65" s="195"/>
      <c r="BH65" s="195"/>
      <c r="BI65" s="195"/>
      <c r="BJ65" s="195"/>
    </row>
    <row r="66" spans="1:62" s="489" customFormat="1" ht="15.75" customHeight="1" outlineLevel="1" thickBot="1" x14ac:dyDescent="0.35">
      <c r="A66" s="233"/>
      <c r="B66" s="233"/>
      <c r="C66" s="479"/>
      <c r="D66" s="480" t="s">
        <v>161</v>
      </c>
      <c r="E66" s="481" t="s">
        <v>63</v>
      </c>
      <c r="F66" s="482"/>
      <c r="G66" s="483"/>
      <c r="H66" s="477">
        <f ca="1" xml:space="preserve"> SUM(K66:AT66)</f>
        <v>241786280.62028769</v>
      </c>
      <c r="I66" s="484"/>
      <c r="J66" s="7"/>
      <c r="K66" s="485">
        <f t="shared" ref="K66:AT66" ca="1" si="26" xml:space="preserve"> K63 / (1 + $H$65) ^ K7</f>
        <v>-294758287.2814039</v>
      </c>
      <c r="L66" s="485">
        <f t="shared" ca="1" si="26"/>
        <v>-336649168.72729105</v>
      </c>
      <c r="M66" s="486">
        <f t="shared" ca="1" si="26"/>
        <v>7368995.961358658</v>
      </c>
      <c r="N66" s="486">
        <f t="shared" ca="1" si="26"/>
        <v>8047432.8837103955</v>
      </c>
      <c r="O66" s="486">
        <f t="shared" ca="1" si="26"/>
        <v>12848666.714668253</v>
      </c>
      <c r="P66" s="486">
        <f t="shared" ca="1" si="26"/>
        <v>21772438.379736859</v>
      </c>
      <c r="Q66" s="486">
        <f t="shared" ca="1" si="26"/>
        <v>21790406.8639719</v>
      </c>
      <c r="R66" s="486">
        <f t="shared" ca="1" si="26"/>
        <v>26598899.187252708</v>
      </c>
      <c r="S66" s="486">
        <f t="shared" ca="1" si="26"/>
        <v>23967312.09678999</v>
      </c>
      <c r="T66" s="486">
        <f t="shared" ca="1" si="26"/>
        <v>21529271.32063856</v>
      </c>
      <c r="U66" s="486">
        <f t="shared" ca="1" si="26"/>
        <v>23768637.162648208</v>
      </c>
      <c r="V66" s="486">
        <f t="shared" ca="1" si="26"/>
        <v>15880412.327306695</v>
      </c>
      <c r="W66" s="486">
        <f t="shared" ca="1" si="26"/>
        <v>-29268537.860356037</v>
      </c>
      <c r="X66" s="486">
        <f t="shared" ca="1" si="26"/>
        <v>25442189.187508877</v>
      </c>
      <c r="Y66" s="486">
        <f t="shared" ca="1" si="26"/>
        <v>12740146.75300879</v>
      </c>
      <c r="Z66" s="486">
        <f t="shared" ca="1" si="26"/>
        <v>13446179.107497772</v>
      </c>
      <c r="AA66" s="486">
        <f t="shared" ca="1" si="26"/>
        <v>22174622.909139503</v>
      </c>
      <c r="AB66" s="486">
        <f t="shared" ca="1" si="26"/>
        <v>40722699.387013413</v>
      </c>
      <c r="AC66" s="486">
        <f t="shared" ca="1" si="26"/>
        <v>42953509.31853275</v>
      </c>
      <c r="AD66" s="486">
        <f t="shared" ca="1" si="26"/>
        <v>52412041.360824428</v>
      </c>
      <c r="AE66" s="486">
        <f t="shared" ca="1" si="26"/>
        <v>47018778.694847517</v>
      </c>
      <c r="AF66" s="486">
        <f t="shared" ca="1" si="26"/>
        <v>42043205.50820379</v>
      </c>
      <c r="AG66" s="486">
        <f t="shared" ca="1" si="26"/>
        <v>45187075.06212277</v>
      </c>
      <c r="AH66" s="486">
        <f t="shared" ca="1" si="26"/>
        <v>24863995.325736694</v>
      </c>
      <c r="AI66" s="486">
        <f t="shared" ca="1" si="26"/>
        <v>13239391.083775632</v>
      </c>
      <c r="AJ66" s="486">
        <f t="shared" ca="1" si="26"/>
        <v>22720940.837085068</v>
      </c>
      <c r="AK66" s="486">
        <f t="shared" ca="1" si="26"/>
        <v>10943981.536962543</v>
      </c>
      <c r="AL66" s="486">
        <f t="shared" ca="1" si="26"/>
        <v>11467905.956940226</v>
      </c>
      <c r="AM66" s="486">
        <f t="shared" ca="1" si="26"/>
        <v>19394630.660237998</v>
      </c>
      <c r="AN66" s="486">
        <f t="shared" ca="1" si="26"/>
        <v>36456802.438345253</v>
      </c>
      <c r="AO66" s="486">
        <f t="shared" ca="1" si="26"/>
        <v>38528485.897021122</v>
      </c>
      <c r="AP66" s="486">
        <f t="shared" ca="1" si="26"/>
        <v>47321487.683739766</v>
      </c>
      <c r="AQ66" s="486">
        <f t="shared" ca="1" si="26"/>
        <v>42436301.950224727</v>
      </c>
      <c r="AR66" s="486">
        <f t="shared" ca="1" si="26"/>
        <v>37919630.237132899</v>
      </c>
      <c r="AS66" s="486">
        <f t="shared" ca="1" si="26"/>
        <v>41970539.519114807</v>
      </c>
      <c r="AT66" s="486">
        <f t="shared" ca="1" si="26"/>
        <v>27485261.176239938</v>
      </c>
      <c r="AU66" s="487"/>
      <c r="AV66" s="487"/>
      <c r="AW66" s="487"/>
      <c r="AX66" s="487"/>
      <c r="AY66" s="488"/>
      <c r="AZ66" s="488"/>
      <c r="BA66" s="488"/>
      <c r="BB66" s="488"/>
      <c r="BC66" s="488"/>
      <c r="BD66" s="488"/>
      <c r="BE66" s="488"/>
      <c r="BF66" s="488"/>
      <c r="BG66" s="488"/>
      <c r="BH66" s="488"/>
      <c r="BI66" s="488"/>
      <c r="BJ66" s="488"/>
    </row>
    <row r="67" spans="1:62" ht="13.3" thickTop="1" x14ac:dyDescent="0.3">
      <c r="A67" s="233"/>
      <c r="B67" s="13"/>
      <c r="C67" s="13"/>
      <c r="D67" s="136"/>
      <c r="E67" s="137"/>
      <c r="F67" s="138"/>
      <c r="G67" s="139"/>
      <c r="H67" s="140"/>
      <c r="I67" s="138"/>
      <c r="J67" s="7"/>
      <c r="K67" s="267"/>
      <c r="L67" s="267"/>
      <c r="M67" s="36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</row>
    <row r="68" spans="1:62" ht="15.75" customHeight="1" x14ac:dyDescent="0.3">
      <c r="A68" s="13"/>
      <c r="B68" s="105"/>
      <c r="C68" s="105"/>
      <c r="D68" s="104" t="s">
        <v>290</v>
      </c>
      <c r="E68" s="105"/>
      <c r="F68" s="105"/>
      <c r="G68" s="106"/>
      <c r="H68" s="105"/>
      <c r="I68" s="105"/>
      <c r="J68" s="7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60"/>
      <c r="AX68" s="160"/>
      <c r="AY68" s="160"/>
      <c r="AZ68" s="160"/>
    </row>
    <row r="69" spans="1:62" s="344" customFormat="1" ht="15.75" customHeight="1" outlineLevel="1" x14ac:dyDescent="0.3">
      <c r="A69" s="453"/>
      <c r="B69" s="492"/>
      <c r="C69" s="492"/>
      <c r="D69" s="491"/>
      <c r="E69" s="492"/>
      <c r="F69" s="492"/>
      <c r="G69" s="493"/>
      <c r="H69" s="492"/>
      <c r="I69" s="492"/>
      <c r="J69" s="7"/>
      <c r="K69" s="494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5"/>
      <c r="AF69" s="495"/>
      <c r="AG69" s="495"/>
      <c r="AH69" s="495"/>
      <c r="AI69" s="495"/>
      <c r="AJ69" s="495"/>
      <c r="AK69" s="495"/>
      <c r="AL69" s="495"/>
      <c r="AM69" s="495"/>
      <c r="AN69" s="495"/>
      <c r="AO69" s="495"/>
      <c r="AP69" s="495"/>
      <c r="AQ69" s="495"/>
      <c r="AR69" s="495"/>
      <c r="AS69" s="495"/>
      <c r="AT69" s="495"/>
      <c r="AU69" s="495"/>
      <c r="AV69" s="495"/>
      <c r="AW69" s="496"/>
      <c r="AX69" s="496"/>
      <c r="AY69" s="496"/>
      <c r="AZ69" s="496"/>
    </row>
    <row r="70" spans="1:62" ht="15.75" customHeight="1" outlineLevel="1" x14ac:dyDescent="0.3">
      <c r="A70" s="233"/>
      <c r="B70" s="431"/>
      <c r="C70" s="20"/>
      <c r="D70" s="185" t="s">
        <v>231</v>
      </c>
      <c r="E70" s="186"/>
      <c r="F70" s="187"/>
      <c r="G70" s="188"/>
      <c r="H70" s="189"/>
      <c r="I70" s="187"/>
      <c r="J70" s="41"/>
      <c r="K70" s="190"/>
      <c r="L70" s="190"/>
      <c r="M70" s="190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</row>
    <row r="71" spans="1:62" s="419" customFormat="1" ht="15.75" customHeight="1" outlineLevel="1" x14ac:dyDescent="0.3">
      <c r="A71" s="13"/>
      <c r="B71" s="13"/>
      <c r="C71" s="233"/>
      <c r="D71" s="416" t="s">
        <v>163</v>
      </c>
      <c r="E71" s="234"/>
      <c r="F71" s="235"/>
      <c r="G71" s="236"/>
      <c r="H71" s="417"/>
      <c r="I71" s="235"/>
      <c r="J71" s="7"/>
      <c r="K71" s="353">
        <f ca="1" xml:space="preserve"> MAX(- K63 - J111, 0)</f>
        <v>297500000</v>
      </c>
      <c r="L71" s="237">
        <f t="shared" ref="L71:AT71" ca="1" si="27" xml:space="preserve"> MAX(- L63 - K111, 0)</f>
        <v>342941022.06626701</v>
      </c>
      <c r="M71" s="353">
        <f t="shared" ca="1" si="27"/>
        <v>0</v>
      </c>
      <c r="N71" s="237">
        <f t="shared" ca="1" si="27"/>
        <v>0</v>
      </c>
      <c r="O71" s="353">
        <f t="shared" ca="1" si="27"/>
        <v>0</v>
      </c>
      <c r="P71" s="353">
        <f t="shared" ca="1" si="27"/>
        <v>0</v>
      </c>
      <c r="Q71" s="353">
        <f t="shared" ca="1" si="27"/>
        <v>0</v>
      </c>
      <c r="R71" s="353">
        <f t="shared" ca="1" si="27"/>
        <v>0</v>
      </c>
      <c r="S71" s="353">
        <f t="shared" ca="1" si="27"/>
        <v>0</v>
      </c>
      <c r="T71" s="353">
        <f t="shared" ca="1" si="27"/>
        <v>0</v>
      </c>
      <c r="U71" s="353">
        <f t="shared" ca="1" si="27"/>
        <v>0</v>
      </c>
      <c r="V71" s="353">
        <f t="shared" ca="1" si="27"/>
        <v>0</v>
      </c>
      <c r="W71" s="353">
        <f t="shared" ca="1" si="27"/>
        <v>0</v>
      </c>
      <c r="X71" s="353">
        <f t="shared" ca="1" si="27"/>
        <v>0</v>
      </c>
      <c r="Y71" s="353">
        <f t="shared" ca="1" si="27"/>
        <v>0</v>
      </c>
      <c r="Z71" s="353">
        <f t="shared" ca="1" si="27"/>
        <v>0</v>
      </c>
      <c r="AA71" s="353">
        <f t="shared" ca="1" si="27"/>
        <v>0</v>
      </c>
      <c r="AB71" s="353">
        <f t="shared" ca="1" si="27"/>
        <v>0</v>
      </c>
      <c r="AC71" s="353">
        <f t="shared" ca="1" si="27"/>
        <v>0</v>
      </c>
      <c r="AD71" s="353">
        <f t="shared" ca="1" si="27"/>
        <v>0</v>
      </c>
      <c r="AE71" s="353">
        <f t="shared" ca="1" si="27"/>
        <v>0</v>
      </c>
      <c r="AF71" s="353">
        <f t="shared" ca="1" si="27"/>
        <v>0</v>
      </c>
      <c r="AG71" s="353">
        <f t="shared" ca="1" si="27"/>
        <v>0</v>
      </c>
      <c r="AH71" s="353">
        <f t="shared" ca="1" si="27"/>
        <v>0</v>
      </c>
      <c r="AI71" s="353">
        <f t="shared" ca="1" si="27"/>
        <v>0</v>
      </c>
      <c r="AJ71" s="353">
        <f t="shared" ca="1" si="27"/>
        <v>0</v>
      </c>
      <c r="AK71" s="353">
        <f t="shared" ca="1" si="27"/>
        <v>0</v>
      </c>
      <c r="AL71" s="353">
        <f t="shared" ca="1" si="27"/>
        <v>0</v>
      </c>
      <c r="AM71" s="353">
        <f t="shared" ca="1" si="27"/>
        <v>0</v>
      </c>
      <c r="AN71" s="353">
        <f t="shared" ca="1" si="27"/>
        <v>0</v>
      </c>
      <c r="AO71" s="353">
        <f t="shared" ca="1" si="27"/>
        <v>0</v>
      </c>
      <c r="AP71" s="353">
        <f t="shared" ca="1" si="27"/>
        <v>0</v>
      </c>
      <c r="AQ71" s="353">
        <f t="shared" ca="1" si="27"/>
        <v>0</v>
      </c>
      <c r="AR71" s="353">
        <f t="shared" ca="1" si="27"/>
        <v>0</v>
      </c>
      <c r="AS71" s="353">
        <f t="shared" ca="1" si="27"/>
        <v>0</v>
      </c>
      <c r="AT71" s="353">
        <f t="shared" ca="1" si="27"/>
        <v>0</v>
      </c>
      <c r="AU71" s="244"/>
      <c r="AV71" s="244"/>
      <c r="AW71" s="244"/>
      <c r="AX71" s="244"/>
      <c r="AY71" s="418"/>
      <c r="AZ71" s="418"/>
      <c r="BA71" s="418"/>
      <c r="BB71" s="418"/>
      <c r="BC71" s="418"/>
      <c r="BD71" s="418"/>
      <c r="BE71" s="418"/>
      <c r="BF71" s="418"/>
      <c r="BG71" s="418"/>
      <c r="BH71" s="418"/>
      <c r="BI71" s="418"/>
      <c r="BJ71" s="418"/>
    </row>
    <row r="72" spans="1:62" ht="15.75" customHeight="1" outlineLevel="1" x14ac:dyDescent="0.35">
      <c r="A72" s="13"/>
      <c r="B72" s="13"/>
      <c r="C72" s="13"/>
      <c r="D72" s="201" t="s">
        <v>164</v>
      </c>
      <c r="E72" s="111"/>
      <c r="F72" s="109"/>
      <c r="G72" s="176"/>
      <c r="H72" s="36">
        <f ca="1" xml:space="preserve"> MIN(K72:AT72)</f>
        <v>-640441022.06626701</v>
      </c>
      <c r="I72" s="109"/>
      <c r="J72" s="7"/>
      <c r="K72" s="36">
        <f ca="1" xml:space="preserve"> K63</f>
        <v>-297500000</v>
      </c>
      <c r="L72" s="267">
        <f t="shared" ref="L72:AT72" ca="1" si="28" xml:space="preserve"> L63 + K72</f>
        <v>-640441022.06626701</v>
      </c>
      <c r="M72" s="36">
        <f t="shared" ca="1" si="28"/>
        <v>-632864477.96255469</v>
      </c>
      <c r="N72" s="36">
        <f t="shared" ca="1" si="28"/>
        <v>-624513426.76580226</v>
      </c>
      <c r="O72" s="36">
        <f t="shared" ca="1" si="28"/>
        <v>-611055976.21966314</v>
      </c>
      <c r="P72" s="36">
        <f t="shared" ca="1" si="28"/>
        <v>-588039822.76954126</v>
      </c>
      <c r="Q72" s="36">
        <f t="shared" ca="1" si="28"/>
        <v>-564790411.53587532</v>
      </c>
      <c r="R72" s="36">
        <f t="shared" ca="1" si="28"/>
        <v>-536146572.19667834</v>
      </c>
      <c r="S72" s="36">
        <f t="shared" ca="1" si="28"/>
        <v>-510096565.30039185</v>
      </c>
      <c r="T72" s="36">
        <f t="shared" ca="1" si="28"/>
        <v>-486478800.78593677</v>
      </c>
      <c r="U72" s="36">
        <f t="shared" ca="1" si="28"/>
        <v>-460161903.59543693</v>
      </c>
      <c r="V72" s="36">
        <f t="shared" ca="1" si="28"/>
        <v>-442415386.85730642</v>
      </c>
      <c r="W72" s="36">
        <f t="shared" ca="1" si="28"/>
        <v>-475427499.74993855</v>
      </c>
      <c r="X72" s="36">
        <f t="shared" ca="1" si="28"/>
        <v>-446464221.42518878</v>
      </c>
      <c r="Y72" s="36">
        <f t="shared" ca="1" si="28"/>
        <v>-431825989.75030124</v>
      </c>
      <c r="Z72" s="36">
        <f t="shared" ca="1" si="28"/>
        <v>-416232833.76701325</v>
      </c>
      <c r="AA72" s="36">
        <f t="shared" ca="1" si="28"/>
        <v>-390278354.47848213</v>
      </c>
      <c r="AB72" s="36">
        <f t="shared" ca="1" si="28"/>
        <v>-342170766.67338449</v>
      </c>
      <c r="AC72" s="36">
        <f t="shared" ca="1" si="28"/>
        <v>-290955832.3438158</v>
      </c>
      <c r="AD72" s="36">
        <f t="shared" ca="1" si="28"/>
        <v>-227881888.17907852</v>
      </c>
      <c r="AE72" s="36">
        <f t="shared" ca="1" si="28"/>
        <v>-170772013.89368021</v>
      </c>
      <c r="AF72" s="36">
        <f t="shared" ca="1" si="28"/>
        <v>-119230564.60293543</v>
      </c>
      <c r="AG72" s="36">
        <f t="shared" ca="1" si="28"/>
        <v>-63319729.13019301</v>
      </c>
      <c r="AH72" s="36">
        <f t="shared" ca="1" si="28"/>
        <v>-32268870.599038035</v>
      </c>
      <c r="AI72" s="36">
        <f t="shared" ca="1" si="28"/>
        <v>-15581356.180062871</v>
      </c>
      <c r="AJ72" s="36">
        <f t="shared" ca="1" si="28"/>
        <v>13323505.758988857</v>
      </c>
      <c r="AK72" s="36">
        <f t="shared" ca="1" si="28"/>
        <v>27375594.570168953</v>
      </c>
      <c r="AL72" s="36">
        <f t="shared" ca="1" si="28"/>
        <v>42237366.858802155</v>
      </c>
      <c r="AM72" s="36">
        <f t="shared" ca="1" si="28"/>
        <v>67605525.167796463</v>
      </c>
      <c r="AN72" s="36">
        <f t="shared" ca="1" si="28"/>
        <v>115734537.12933998</v>
      </c>
      <c r="AO72" s="36">
        <f t="shared" ca="1" si="28"/>
        <v>167071628.54674429</v>
      </c>
      <c r="AP72" s="36">
        <f t="shared" ca="1" si="28"/>
        <v>230711405.99528238</v>
      </c>
      <c r="AQ72" s="36">
        <f t="shared" ca="1" si="28"/>
        <v>288312235.72745329</v>
      </c>
      <c r="AR72" s="36">
        <f t="shared" ca="1" si="28"/>
        <v>340261122.81415844</v>
      </c>
      <c r="AS72" s="36">
        <f t="shared" ca="1" si="28"/>
        <v>398294474.25495249</v>
      </c>
      <c r="AT72" s="36">
        <f t="shared" ca="1" si="28"/>
        <v>436652293.98806936</v>
      </c>
      <c r="AU72" s="194"/>
      <c r="AV72" s="194"/>
      <c r="AW72" s="194"/>
      <c r="AX72" s="194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</row>
    <row r="73" spans="1:62" ht="15.75" customHeight="1" outlineLevel="1" x14ac:dyDescent="0.3">
      <c r="A73" s="13"/>
      <c r="B73" s="13"/>
      <c r="C73" s="13"/>
      <c r="D73" s="202" t="s">
        <v>309</v>
      </c>
      <c r="E73" s="243" t="s">
        <v>18</v>
      </c>
      <c r="F73" s="202"/>
      <c r="G73" s="202"/>
      <c r="H73" s="202"/>
      <c r="I73" s="109"/>
      <c r="J73" s="7"/>
      <c r="K73" s="267"/>
      <c r="L73" s="267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194"/>
      <c r="AV73" s="194"/>
      <c r="AW73" s="194"/>
      <c r="AX73" s="194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</row>
    <row r="74" spans="1:62" ht="15.75" customHeight="1" outlineLevel="1" x14ac:dyDescent="0.65">
      <c r="A74" s="13"/>
      <c r="B74" s="13"/>
      <c r="C74" s="13"/>
      <c r="D74" s="202" t="s">
        <v>168</v>
      </c>
      <c r="E74" s="243" t="s">
        <v>63</v>
      </c>
      <c r="F74" s="109"/>
      <c r="G74" s="176"/>
      <c r="H74" s="387">
        <f xml:space="preserve"> 1 - 'Assumptions and inputs'!H109</f>
        <v>0.75</v>
      </c>
      <c r="I74" s="109"/>
      <c r="J74" s="7"/>
      <c r="K74" s="52">
        <f ca="1" xml:space="preserve"> MIN( - SUM($J74:J74) - $H$72 * $H74, K71)</f>
        <v>297500000</v>
      </c>
      <c r="L74" s="52">
        <f ca="1" xml:space="preserve"> MIN( - SUM($J74:K74) - $H$72 * $H74, L71)</f>
        <v>182830766.54970026</v>
      </c>
      <c r="M74" s="52">
        <f ca="1" xml:space="preserve"> MIN( - SUM($J74:L74) - $H$72 * $H74, M71)</f>
        <v>0</v>
      </c>
      <c r="N74" s="52">
        <f ca="1" xml:space="preserve"> MIN( - SUM($J74:M74) - $H$72 * $H74, N71)</f>
        <v>0</v>
      </c>
      <c r="O74" s="52">
        <f ca="1" xml:space="preserve"> MIN( - SUM($J74:N74) - $H$72 * $H74, O71)</f>
        <v>0</v>
      </c>
      <c r="P74" s="52">
        <f ca="1" xml:space="preserve"> MIN( - SUM($J74:O74) - $H$72 * $H74, P71)</f>
        <v>0</v>
      </c>
      <c r="Q74" s="52">
        <f ca="1" xml:space="preserve"> MIN( - SUM($J74:P74) - $H$72 * $H74, Q71)</f>
        <v>0</v>
      </c>
      <c r="R74" s="52">
        <f ca="1" xml:space="preserve"> MIN( - SUM($J74:Q74) - $H$72 * $H74, R71)</f>
        <v>0</v>
      </c>
      <c r="S74" s="52">
        <f ca="1" xml:space="preserve"> MIN( - SUM($J74:R74) - $H$72 * $H74, S71)</f>
        <v>0</v>
      </c>
      <c r="T74" s="52">
        <f ca="1" xml:space="preserve"> MIN( - SUM($J74:S74) - $H$72 * $H74, T71)</f>
        <v>0</v>
      </c>
      <c r="U74" s="52">
        <f ca="1" xml:space="preserve"> MIN( - SUM($J74:T74) - $H$72 * $H74, U71)</f>
        <v>0</v>
      </c>
      <c r="V74" s="52">
        <f ca="1" xml:space="preserve"> MIN( - SUM($J74:U74) - $H$72 * $H74, V71)</f>
        <v>0</v>
      </c>
      <c r="W74" s="52">
        <f ca="1" xml:space="preserve"> MIN( - SUM($J74:V74) - $H$72 * $H74, W71)</f>
        <v>0</v>
      </c>
      <c r="X74" s="52">
        <f ca="1" xml:space="preserve"> MIN( - SUM($J74:W74) - $H$72 * $H74, X71)</f>
        <v>0</v>
      </c>
      <c r="Y74" s="52">
        <f ca="1" xml:space="preserve"> MIN( - SUM($J74:X74) - $H$72 * $H74, Y71)</f>
        <v>0</v>
      </c>
      <c r="Z74" s="52">
        <f ca="1" xml:space="preserve"> MIN( - SUM($J74:Y74) - $H$72 * $H74, Z71)</f>
        <v>0</v>
      </c>
      <c r="AA74" s="52">
        <f ca="1" xml:space="preserve"> MIN( - SUM($J74:Z74) - $H$72 * $H74, AA71)</f>
        <v>0</v>
      </c>
      <c r="AB74" s="52">
        <f ca="1" xml:space="preserve"> MIN( - SUM($J74:AA74) - $H$72 * $H74, AB71)</f>
        <v>0</v>
      </c>
      <c r="AC74" s="52">
        <f ca="1" xml:space="preserve"> MIN( - SUM($J74:AB74) - $H$72 * $H74, AC71)</f>
        <v>0</v>
      </c>
      <c r="AD74" s="52">
        <f ca="1" xml:space="preserve"> MIN( - SUM($J74:AC74) - $H$72 * $H74, AD71)</f>
        <v>0</v>
      </c>
      <c r="AE74" s="52">
        <f ca="1" xml:space="preserve"> MIN( - SUM($J74:AD74) - $H$72 * $H74, AE71)</f>
        <v>0</v>
      </c>
      <c r="AF74" s="52">
        <f ca="1" xml:space="preserve"> MIN( - SUM($J74:AE74) - $H$72 * $H74, AF71)</f>
        <v>0</v>
      </c>
      <c r="AG74" s="52">
        <f ca="1" xml:space="preserve"> MIN( - SUM($J74:AF74) - $H$72 * $H74, AG71)</f>
        <v>0</v>
      </c>
      <c r="AH74" s="52">
        <f ca="1" xml:space="preserve"> MIN( - SUM($J74:AG74) - $H$72 * $H74, AH71)</f>
        <v>0</v>
      </c>
      <c r="AI74" s="52">
        <f ca="1" xml:space="preserve"> MIN( - SUM($J74:AH74) - $H$72 * $H74, AI71)</f>
        <v>0</v>
      </c>
      <c r="AJ74" s="52">
        <f ca="1" xml:space="preserve"> MIN( - SUM($J74:AI74) - $H$72 * $H74, AJ71)</f>
        <v>0</v>
      </c>
      <c r="AK74" s="52">
        <f ca="1" xml:space="preserve"> MIN( - SUM($J74:AJ74) - $H$72 * $H74, AK71)</f>
        <v>0</v>
      </c>
      <c r="AL74" s="52">
        <f ca="1" xml:space="preserve"> MIN( - SUM($J74:AK74) - $H$72 * $H74, AL71)</f>
        <v>0</v>
      </c>
      <c r="AM74" s="52">
        <f ca="1" xml:space="preserve"> MIN( - SUM($J74:AL74) - $H$72 * $H74, AM71)</f>
        <v>0</v>
      </c>
      <c r="AN74" s="52">
        <f ca="1" xml:space="preserve"> MIN( - SUM($J74:AM74) - $H$72 * $H74, AN71)</f>
        <v>0</v>
      </c>
      <c r="AO74" s="52">
        <f ca="1" xml:space="preserve"> MIN( - SUM($J74:AN74) - $H$72 * $H74, AO71)</f>
        <v>0</v>
      </c>
      <c r="AP74" s="52">
        <f ca="1" xml:space="preserve"> MIN( - SUM($J74:AO74) - $H$72 * $H74, AP71)</f>
        <v>0</v>
      </c>
      <c r="AQ74" s="52">
        <f ca="1" xml:space="preserve"> MIN( - SUM($J74:AP74) - $H$72 * $H74, AQ71)</f>
        <v>0</v>
      </c>
      <c r="AR74" s="52">
        <f ca="1" xml:space="preserve"> MIN( - SUM($J74:AQ74) - $H$72 * $H74, AR71)</f>
        <v>0</v>
      </c>
      <c r="AS74" s="52">
        <f ca="1" xml:space="preserve"> MIN( - SUM($J74:AR74) - $H$72 * $H74, AS71)</f>
        <v>0</v>
      </c>
      <c r="AT74" s="52">
        <f ca="1" xml:space="preserve"> MIN( - SUM($J74:AS74) - $H$72 * $H74, AT71)</f>
        <v>0</v>
      </c>
      <c r="AU74" s="194"/>
      <c r="AV74" s="194"/>
      <c r="AW74" s="194"/>
      <c r="AX74" s="194"/>
      <c r="AY74" s="195"/>
      <c r="AZ74" s="195"/>
      <c r="BA74" s="195"/>
      <c r="BB74" s="195"/>
      <c r="BC74" s="195"/>
      <c r="BD74" s="195"/>
      <c r="BE74" s="195"/>
      <c r="BF74" s="195"/>
      <c r="BG74" s="195"/>
      <c r="BH74" s="195"/>
      <c r="BI74" s="195"/>
      <c r="BJ74" s="195"/>
    </row>
    <row r="75" spans="1:62" ht="15.75" customHeight="1" outlineLevel="1" x14ac:dyDescent="0.65">
      <c r="A75" s="13"/>
      <c r="B75" s="13"/>
      <c r="C75" s="13"/>
      <c r="D75" s="202" t="s">
        <v>166</v>
      </c>
      <c r="E75" s="243" t="s">
        <v>63</v>
      </c>
      <c r="F75" s="109"/>
      <c r="G75" s="176"/>
      <c r="H75" s="387">
        <f xml:space="preserve"> 'Assumptions and inputs'!H109</f>
        <v>0.25</v>
      </c>
      <c r="I75" s="109"/>
      <c r="J75" s="7"/>
      <c r="K75" s="275">
        <f ca="1" xml:space="preserve"> K71 - K74</f>
        <v>0</v>
      </c>
      <c r="L75" s="275">
        <f ca="1" xml:space="preserve"> L71 - L74</f>
        <v>160110255.51656675</v>
      </c>
      <c r="M75" s="275">
        <f t="shared" ref="M75:AT75" ca="1" si="29" xml:space="preserve"> M71 - M74</f>
        <v>0</v>
      </c>
      <c r="N75" s="275">
        <f t="shared" ca="1" si="29"/>
        <v>0</v>
      </c>
      <c r="O75" s="275">
        <f t="shared" ca="1" si="29"/>
        <v>0</v>
      </c>
      <c r="P75" s="275">
        <f t="shared" ca="1" si="29"/>
        <v>0</v>
      </c>
      <c r="Q75" s="275">
        <f t="shared" ca="1" si="29"/>
        <v>0</v>
      </c>
      <c r="R75" s="275">
        <f t="shared" ca="1" si="29"/>
        <v>0</v>
      </c>
      <c r="S75" s="275">
        <f t="shared" ca="1" si="29"/>
        <v>0</v>
      </c>
      <c r="T75" s="275">
        <f t="shared" ca="1" si="29"/>
        <v>0</v>
      </c>
      <c r="U75" s="275">
        <f t="shared" ca="1" si="29"/>
        <v>0</v>
      </c>
      <c r="V75" s="275">
        <f t="shared" ca="1" si="29"/>
        <v>0</v>
      </c>
      <c r="W75" s="275">
        <f t="shared" ca="1" si="29"/>
        <v>0</v>
      </c>
      <c r="X75" s="275">
        <f t="shared" ca="1" si="29"/>
        <v>0</v>
      </c>
      <c r="Y75" s="275">
        <f t="shared" ca="1" si="29"/>
        <v>0</v>
      </c>
      <c r="Z75" s="275">
        <f t="shared" ca="1" si="29"/>
        <v>0</v>
      </c>
      <c r="AA75" s="275">
        <f t="shared" ca="1" si="29"/>
        <v>0</v>
      </c>
      <c r="AB75" s="275">
        <f t="shared" ca="1" si="29"/>
        <v>0</v>
      </c>
      <c r="AC75" s="275">
        <f t="shared" ca="1" si="29"/>
        <v>0</v>
      </c>
      <c r="AD75" s="275">
        <f t="shared" ca="1" si="29"/>
        <v>0</v>
      </c>
      <c r="AE75" s="275">
        <f t="shared" ca="1" si="29"/>
        <v>0</v>
      </c>
      <c r="AF75" s="275">
        <f t="shared" ca="1" si="29"/>
        <v>0</v>
      </c>
      <c r="AG75" s="275">
        <f t="shared" ca="1" si="29"/>
        <v>0</v>
      </c>
      <c r="AH75" s="275">
        <f t="shared" ca="1" si="29"/>
        <v>0</v>
      </c>
      <c r="AI75" s="275">
        <f t="shared" ca="1" si="29"/>
        <v>0</v>
      </c>
      <c r="AJ75" s="275">
        <f t="shared" ca="1" si="29"/>
        <v>0</v>
      </c>
      <c r="AK75" s="275">
        <f t="shared" ca="1" si="29"/>
        <v>0</v>
      </c>
      <c r="AL75" s="275">
        <f t="shared" ca="1" si="29"/>
        <v>0</v>
      </c>
      <c r="AM75" s="275">
        <f t="shared" ca="1" si="29"/>
        <v>0</v>
      </c>
      <c r="AN75" s="275">
        <f t="shared" ca="1" si="29"/>
        <v>0</v>
      </c>
      <c r="AO75" s="275">
        <f t="shared" ca="1" si="29"/>
        <v>0</v>
      </c>
      <c r="AP75" s="275">
        <f t="shared" ca="1" si="29"/>
        <v>0</v>
      </c>
      <c r="AQ75" s="275">
        <f t="shared" ca="1" si="29"/>
        <v>0</v>
      </c>
      <c r="AR75" s="275">
        <f t="shared" ca="1" si="29"/>
        <v>0</v>
      </c>
      <c r="AS75" s="275">
        <f t="shared" ca="1" si="29"/>
        <v>0</v>
      </c>
      <c r="AT75" s="275">
        <f t="shared" ca="1" si="29"/>
        <v>0</v>
      </c>
      <c r="AU75" s="194"/>
      <c r="AV75" s="194"/>
      <c r="AW75" s="194"/>
      <c r="AX75" s="194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</row>
    <row r="76" spans="1:62" ht="15.75" customHeight="1" outlineLevel="1" x14ac:dyDescent="0.3">
      <c r="A76" s="13"/>
      <c r="B76" s="13"/>
      <c r="C76" s="19"/>
      <c r="D76" s="202"/>
      <c r="E76" s="111"/>
      <c r="F76" s="109"/>
      <c r="G76" s="176"/>
      <c r="H76" s="82"/>
      <c r="I76" s="109"/>
      <c r="J76" s="7"/>
      <c r="K76" s="354"/>
      <c r="L76" s="354"/>
      <c r="M76" s="36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5"/>
      <c r="AZ76" s="195"/>
      <c r="BA76" s="195"/>
      <c r="BB76" s="195"/>
      <c r="BC76" s="195"/>
      <c r="BD76" s="195"/>
      <c r="BE76" s="195"/>
      <c r="BF76" s="195"/>
      <c r="BG76" s="195"/>
      <c r="BH76" s="195"/>
      <c r="BI76" s="195"/>
      <c r="BJ76" s="195"/>
    </row>
    <row r="77" spans="1:62" ht="15.75" customHeight="1" outlineLevel="1" x14ac:dyDescent="0.3">
      <c r="A77" s="13"/>
      <c r="B77" s="13"/>
      <c r="C77" s="19"/>
      <c r="D77" s="202" t="s">
        <v>170</v>
      </c>
      <c r="E77" s="243" t="s">
        <v>63</v>
      </c>
      <c r="F77" s="109"/>
      <c r="G77" s="176"/>
      <c r="H77" s="82"/>
      <c r="I77" s="109"/>
      <c r="J77" s="7"/>
      <c r="K77" s="354">
        <f ca="1" xml:space="preserve"> K75</f>
        <v>0</v>
      </c>
      <c r="L77" s="354">
        <f t="shared" ref="L77:AT77" ca="1" si="30" xml:space="preserve"> K77 - L78 + L75</f>
        <v>160110255.51656675</v>
      </c>
      <c r="M77" s="194">
        <f t="shared" ca="1" si="30"/>
        <v>152533711.41285449</v>
      </c>
      <c r="N77" s="194">
        <f t="shared" ca="1" si="30"/>
        <v>144182660.21610212</v>
      </c>
      <c r="O77" s="194">
        <f t="shared" ca="1" si="30"/>
        <v>130725209.66996296</v>
      </c>
      <c r="P77" s="194">
        <f t="shared" ca="1" si="30"/>
        <v>107709056.21984106</v>
      </c>
      <c r="Q77" s="194">
        <f t="shared" ca="1" si="30"/>
        <v>84459644.98617506</v>
      </c>
      <c r="R77" s="194">
        <f t="shared" ca="1" si="30"/>
        <v>55815805.646978065</v>
      </c>
      <c r="S77" s="194">
        <f t="shared" ca="1" si="30"/>
        <v>29765798.750691559</v>
      </c>
      <c r="T77" s="194">
        <f t="shared" ca="1" si="30"/>
        <v>6148034.2362365015</v>
      </c>
      <c r="U77" s="194">
        <f t="shared" ca="1" si="30"/>
        <v>0</v>
      </c>
      <c r="V77" s="194">
        <f t="shared" ca="1" si="30"/>
        <v>0</v>
      </c>
      <c r="W77" s="194">
        <f t="shared" ca="1" si="30"/>
        <v>33012112.892632108</v>
      </c>
      <c r="X77" s="194">
        <f t="shared" ca="1" si="30"/>
        <v>4048834.5678823516</v>
      </c>
      <c r="Y77" s="194">
        <f t="shared" ca="1" si="30"/>
        <v>0</v>
      </c>
      <c r="Z77" s="194">
        <f t="shared" ca="1" si="30"/>
        <v>0</v>
      </c>
      <c r="AA77" s="194">
        <f t="shared" ca="1" si="30"/>
        <v>0</v>
      </c>
      <c r="AB77" s="194">
        <f t="shared" ca="1" si="30"/>
        <v>0</v>
      </c>
      <c r="AC77" s="194">
        <f t="shared" ca="1" si="30"/>
        <v>0</v>
      </c>
      <c r="AD77" s="194">
        <f t="shared" ca="1" si="30"/>
        <v>0</v>
      </c>
      <c r="AE77" s="194">
        <f t="shared" ca="1" si="30"/>
        <v>0</v>
      </c>
      <c r="AF77" s="194">
        <f t="shared" ca="1" si="30"/>
        <v>0</v>
      </c>
      <c r="AG77" s="194">
        <f t="shared" ca="1" si="30"/>
        <v>0</v>
      </c>
      <c r="AH77" s="194">
        <f t="shared" ca="1" si="30"/>
        <v>0</v>
      </c>
      <c r="AI77" s="194">
        <f t="shared" ca="1" si="30"/>
        <v>0</v>
      </c>
      <c r="AJ77" s="194">
        <f t="shared" ca="1" si="30"/>
        <v>0</v>
      </c>
      <c r="AK77" s="194">
        <f t="shared" ca="1" si="30"/>
        <v>0</v>
      </c>
      <c r="AL77" s="194">
        <f t="shared" ca="1" si="30"/>
        <v>0</v>
      </c>
      <c r="AM77" s="194">
        <f t="shared" ca="1" si="30"/>
        <v>0</v>
      </c>
      <c r="AN77" s="194">
        <f t="shared" ca="1" si="30"/>
        <v>0</v>
      </c>
      <c r="AO77" s="194">
        <f t="shared" ca="1" si="30"/>
        <v>0</v>
      </c>
      <c r="AP77" s="194">
        <f t="shared" ca="1" si="30"/>
        <v>0</v>
      </c>
      <c r="AQ77" s="194">
        <f t="shared" ca="1" si="30"/>
        <v>0</v>
      </c>
      <c r="AR77" s="194">
        <f t="shared" ca="1" si="30"/>
        <v>0</v>
      </c>
      <c r="AS77" s="194">
        <f t="shared" ca="1" si="30"/>
        <v>0</v>
      </c>
      <c r="AT77" s="194">
        <f t="shared" ca="1" si="30"/>
        <v>0</v>
      </c>
      <c r="AU77" s="194"/>
      <c r="AV77" s="194"/>
      <c r="AW77" s="194"/>
      <c r="AX77" s="194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</row>
    <row r="78" spans="1:62" ht="15.75" customHeight="1" outlineLevel="1" x14ac:dyDescent="0.3">
      <c r="A78" s="13"/>
      <c r="B78" s="13"/>
      <c r="C78" s="19"/>
      <c r="D78" s="202" t="s">
        <v>171</v>
      </c>
      <c r="E78" s="243" t="s">
        <v>63</v>
      </c>
      <c r="F78" s="109"/>
      <c r="G78" s="176"/>
      <c r="H78" s="82"/>
      <c r="I78" s="109"/>
      <c r="J78" s="7"/>
      <c r="K78" s="275">
        <f ca="1" xml:space="preserve"> MIN(J77, SUM(K63, K74:K75))</f>
        <v>0</v>
      </c>
      <c r="L78" s="275">
        <f t="shared" ref="L78:AT78" ca="1" si="31" xml:space="preserve"> MIN(K77, SUM(L63, L74:L75))</f>
        <v>0</v>
      </c>
      <c r="M78" s="275">
        <f t="shared" ca="1" si="31"/>
        <v>7576544.1037122756</v>
      </c>
      <c r="N78" s="275">
        <f t="shared" ca="1" si="31"/>
        <v>8351051.1967523843</v>
      </c>
      <c r="O78" s="275">
        <f t="shared" ca="1" si="31"/>
        <v>13457450.546139166</v>
      </c>
      <c r="P78" s="275">
        <f t="shared" ca="1" si="31"/>
        <v>23016153.450121887</v>
      </c>
      <c r="Q78" s="275">
        <f t="shared" ca="1" si="31"/>
        <v>23249411.233665995</v>
      </c>
      <c r="R78" s="275">
        <f t="shared" ca="1" si="31"/>
        <v>28643839.339196995</v>
      </c>
      <c r="S78" s="275">
        <f t="shared" ca="1" si="31"/>
        <v>26050006.896286506</v>
      </c>
      <c r="T78" s="275">
        <f t="shared" ca="1" si="31"/>
        <v>23617764.514455058</v>
      </c>
      <c r="U78" s="275">
        <f t="shared" ca="1" si="31"/>
        <v>6148034.2362365015</v>
      </c>
      <c r="V78" s="275">
        <f t="shared" ca="1" si="31"/>
        <v>0</v>
      </c>
      <c r="W78" s="275">
        <f t="shared" ca="1" si="31"/>
        <v>-33012112.892632108</v>
      </c>
      <c r="X78" s="275">
        <f t="shared" ca="1" si="31"/>
        <v>28963278.324749757</v>
      </c>
      <c r="Y78" s="275">
        <f t="shared" ca="1" si="31"/>
        <v>4048834.5678823516</v>
      </c>
      <c r="Z78" s="275">
        <f t="shared" ca="1" si="31"/>
        <v>0</v>
      </c>
      <c r="AA78" s="275">
        <f t="shared" ca="1" si="31"/>
        <v>0</v>
      </c>
      <c r="AB78" s="275">
        <f t="shared" ca="1" si="31"/>
        <v>0</v>
      </c>
      <c r="AC78" s="275">
        <f t="shared" ca="1" si="31"/>
        <v>0</v>
      </c>
      <c r="AD78" s="275">
        <f t="shared" ca="1" si="31"/>
        <v>0</v>
      </c>
      <c r="AE78" s="275">
        <f t="shared" ca="1" si="31"/>
        <v>0</v>
      </c>
      <c r="AF78" s="275">
        <f t="shared" ca="1" si="31"/>
        <v>0</v>
      </c>
      <c r="AG78" s="275">
        <f t="shared" ca="1" si="31"/>
        <v>0</v>
      </c>
      <c r="AH78" s="275">
        <f t="shared" ca="1" si="31"/>
        <v>0</v>
      </c>
      <c r="AI78" s="275">
        <f t="shared" ca="1" si="31"/>
        <v>0</v>
      </c>
      <c r="AJ78" s="275">
        <f t="shared" ca="1" si="31"/>
        <v>0</v>
      </c>
      <c r="AK78" s="275">
        <f t="shared" ca="1" si="31"/>
        <v>0</v>
      </c>
      <c r="AL78" s="275">
        <f t="shared" ca="1" si="31"/>
        <v>0</v>
      </c>
      <c r="AM78" s="275">
        <f t="shared" ca="1" si="31"/>
        <v>0</v>
      </c>
      <c r="AN78" s="275">
        <f t="shared" ca="1" si="31"/>
        <v>0</v>
      </c>
      <c r="AO78" s="275">
        <f t="shared" ca="1" si="31"/>
        <v>0</v>
      </c>
      <c r="AP78" s="275">
        <f t="shared" ca="1" si="31"/>
        <v>0</v>
      </c>
      <c r="AQ78" s="275">
        <f t="shared" ca="1" si="31"/>
        <v>0</v>
      </c>
      <c r="AR78" s="275">
        <f t="shared" ca="1" si="31"/>
        <v>0</v>
      </c>
      <c r="AS78" s="275">
        <f t="shared" ca="1" si="31"/>
        <v>0</v>
      </c>
      <c r="AT78" s="275">
        <f t="shared" ca="1" si="31"/>
        <v>0</v>
      </c>
      <c r="AU78" s="194"/>
      <c r="AV78" s="194"/>
      <c r="AW78" s="194"/>
      <c r="AX78" s="194"/>
      <c r="AY78" s="195"/>
      <c r="AZ78" s="195"/>
      <c r="BA78" s="195"/>
      <c r="BB78" s="195"/>
      <c r="BC78" s="195"/>
      <c r="BD78" s="195"/>
      <c r="BE78" s="195"/>
      <c r="BF78" s="195"/>
      <c r="BG78" s="195"/>
      <c r="BH78" s="195"/>
      <c r="BI78" s="195"/>
      <c r="BJ78" s="195"/>
    </row>
    <row r="79" spans="1:62" ht="15.75" customHeight="1" outlineLevel="1" x14ac:dyDescent="0.3">
      <c r="A79" s="13"/>
      <c r="B79" s="13"/>
      <c r="C79" s="13"/>
      <c r="D79" s="202" t="s">
        <v>173</v>
      </c>
      <c r="E79" s="243" t="s">
        <v>63</v>
      </c>
      <c r="F79" s="109"/>
      <c r="G79" s="176"/>
      <c r="H79" s="274">
        <f xml:space="preserve"> 'Assumptions and inputs'!H108</f>
        <v>0.1</v>
      </c>
      <c r="I79" s="109"/>
      <c r="J79" s="7"/>
      <c r="K79" s="355"/>
      <c r="L79" s="275">
        <f t="shared" ref="L79:AT79" ca="1" si="32" xml:space="preserve"> K77 * $H$79 * L8</f>
        <v>0</v>
      </c>
      <c r="M79" s="52">
        <f t="shared" ca="1" si="32"/>
        <v>1359840.5263050876</v>
      </c>
      <c r="N79" s="275">
        <f t="shared" ca="1" si="32"/>
        <v>1253701.7376398998</v>
      </c>
      <c r="O79" s="275">
        <f t="shared" ca="1" si="32"/>
        <v>1224565.0593696346</v>
      </c>
      <c r="P79" s="275">
        <f t="shared" ca="1" si="32"/>
        <v>1074453.7781092846</v>
      </c>
      <c r="Q79" s="275">
        <f t="shared" ca="1" si="32"/>
        <v>914789.24460686941</v>
      </c>
      <c r="R79" s="275">
        <f t="shared" ca="1" si="32"/>
        <v>717328.49166340462</v>
      </c>
      <c r="S79" s="275">
        <f t="shared" ca="1" si="32"/>
        <v>458760.04641351831</v>
      </c>
      <c r="T79" s="275">
        <f t="shared" ca="1" si="32"/>
        <v>252805.41404696944</v>
      </c>
      <c r="U79" s="275">
        <f t="shared" ca="1" si="32"/>
        <v>50531.788243039744</v>
      </c>
      <c r="V79" s="275">
        <f t="shared" ca="1" si="32"/>
        <v>0</v>
      </c>
      <c r="W79" s="275">
        <f t="shared" ca="1" si="32"/>
        <v>0</v>
      </c>
      <c r="X79" s="275">
        <f t="shared" ca="1" si="32"/>
        <v>253243.6057516984</v>
      </c>
      <c r="Y79" s="275">
        <f t="shared" ca="1" si="32"/>
        <v>34387.362083384352</v>
      </c>
      <c r="Z79" s="275">
        <f t="shared" ca="1" si="32"/>
        <v>0</v>
      </c>
      <c r="AA79" s="275">
        <f t="shared" ca="1" si="32"/>
        <v>0</v>
      </c>
      <c r="AB79" s="275">
        <f t="shared" ca="1" si="32"/>
        <v>0</v>
      </c>
      <c r="AC79" s="275">
        <f t="shared" ca="1" si="32"/>
        <v>0</v>
      </c>
      <c r="AD79" s="275">
        <f t="shared" ca="1" si="32"/>
        <v>0</v>
      </c>
      <c r="AE79" s="275">
        <f t="shared" ca="1" si="32"/>
        <v>0</v>
      </c>
      <c r="AF79" s="275">
        <f t="shared" ca="1" si="32"/>
        <v>0</v>
      </c>
      <c r="AG79" s="275">
        <f t="shared" ca="1" si="32"/>
        <v>0</v>
      </c>
      <c r="AH79" s="275">
        <f t="shared" ca="1" si="32"/>
        <v>0</v>
      </c>
      <c r="AI79" s="275">
        <f t="shared" ca="1" si="32"/>
        <v>0</v>
      </c>
      <c r="AJ79" s="275">
        <f t="shared" ca="1" si="32"/>
        <v>0</v>
      </c>
      <c r="AK79" s="275">
        <f t="shared" ca="1" si="32"/>
        <v>0</v>
      </c>
      <c r="AL79" s="275">
        <f t="shared" ca="1" si="32"/>
        <v>0</v>
      </c>
      <c r="AM79" s="275">
        <f t="shared" ca="1" si="32"/>
        <v>0</v>
      </c>
      <c r="AN79" s="275">
        <f t="shared" ca="1" si="32"/>
        <v>0</v>
      </c>
      <c r="AO79" s="275">
        <f t="shared" ca="1" si="32"/>
        <v>0</v>
      </c>
      <c r="AP79" s="275">
        <f t="shared" ca="1" si="32"/>
        <v>0</v>
      </c>
      <c r="AQ79" s="275">
        <f t="shared" ca="1" si="32"/>
        <v>0</v>
      </c>
      <c r="AR79" s="275">
        <f t="shared" ca="1" si="32"/>
        <v>0</v>
      </c>
      <c r="AS79" s="275">
        <f t="shared" ca="1" si="32"/>
        <v>0</v>
      </c>
      <c r="AT79" s="275">
        <f t="shared" ca="1" si="32"/>
        <v>0</v>
      </c>
      <c r="AU79" s="194"/>
      <c r="AV79" s="194"/>
      <c r="AW79" s="194"/>
      <c r="AX79" s="194"/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195"/>
    </row>
    <row r="80" spans="1:62" ht="22.95" customHeight="1" outlineLevel="1" x14ac:dyDescent="0.35">
      <c r="A80" s="13"/>
      <c r="B80" s="13"/>
      <c r="C80" s="19"/>
      <c r="D80" s="201"/>
      <c r="E80" s="111"/>
      <c r="F80" s="109"/>
      <c r="G80" s="176"/>
      <c r="H80" s="82"/>
      <c r="I80" s="109"/>
      <c r="J80" s="8"/>
      <c r="K80" s="355"/>
      <c r="L80" s="355"/>
      <c r="M80" s="36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</row>
    <row r="81" spans="1:62" s="429" customFormat="1" ht="15.75" customHeight="1" outlineLevel="1" x14ac:dyDescent="0.3">
      <c r="A81" s="13"/>
      <c r="B81" s="13"/>
      <c r="C81" s="421"/>
      <c r="D81" s="422" t="str">
        <f t="shared" ref="D81:D86" si="33" xml:space="preserve"> D31</f>
        <v>Результат операционной деятельности</v>
      </c>
      <c r="E81" s="423"/>
      <c r="F81" s="424"/>
      <c r="G81" s="425"/>
      <c r="H81" s="423"/>
      <c r="I81" s="423"/>
      <c r="J81" s="7"/>
      <c r="K81" s="426">
        <f t="shared" ref="K81:AT81" ca="1" si="34" xml:space="preserve"> K82 - K83 - K87 - K88 - K89</f>
        <v>0</v>
      </c>
      <c r="L81" s="426">
        <f t="shared" ca="1" si="34"/>
        <v>-45441022.066267021</v>
      </c>
      <c r="M81" s="426">
        <f t="shared" ca="1" si="34"/>
        <v>6216703.5774071878</v>
      </c>
      <c r="N81" s="426">
        <f t="shared" ca="1" si="34"/>
        <v>7097349.459112484</v>
      </c>
      <c r="O81" s="426">
        <f t="shared" ca="1" si="34"/>
        <v>12232885.486769531</v>
      </c>
      <c r="P81" s="426">
        <f t="shared" ca="1" si="34"/>
        <v>22756110.881682392</v>
      </c>
      <c r="Q81" s="426">
        <f t="shared" ca="1" si="34"/>
        <v>22685680.848595489</v>
      </c>
      <c r="R81" s="426">
        <f t="shared" ca="1" si="34"/>
        <v>28069976.545866273</v>
      </c>
      <c r="S81" s="426">
        <f t="shared" ca="1" si="34"/>
        <v>25682998.859155692</v>
      </c>
      <c r="T81" s="426">
        <f t="shared" ca="1" si="34"/>
        <v>23415520.183217481</v>
      </c>
      <c r="U81" s="426">
        <f t="shared" ca="1" si="34"/>
        <v>26276471.759905428</v>
      </c>
      <c r="V81" s="426">
        <f t="shared" ca="1" si="34"/>
        <v>17746516.738130502</v>
      </c>
      <c r="W81" s="426">
        <f t="shared" ca="1" si="34"/>
        <v>-33012112.892632108</v>
      </c>
      <c r="X81" s="426">
        <f t="shared" ca="1" si="34"/>
        <v>28760683.440148398</v>
      </c>
      <c r="Y81" s="426">
        <f t="shared" ca="1" si="34"/>
        <v>14610721.785220828</v>
      </c>
      <c r="Z81" s="426">
        <f t="shared" ca="1" si="34"/>
        <v>15593155.983287966</v>
      </c>
      <c r="AA81" s="426">
        <f t="shared" ca="1" si="34"/>
        <v>25954479.288531132</v>
      </c>
      <c r="AB81" s="426">
        <f t="shared" ca="1" si="34"/>
        <v>48107587.805097654</v>
      </c>
      <c r="AC81" s="426">
        <f t="shared" ca="1" si="34"/>
        <v>51214934.329568692</v>
      </c>
      <c r="AD81" s="426">
        <f t="shared" ca="1" si="34"/>
        <v>63073944.164737299</v>
      </c>
      <c r="AE81" s="426">
        <f t="shared" ca="1" si="34"/>
        <v>57109874.28539829</v>
      </c>
      <c r="AF81" s="426">
        <f t="shared" ca="1" si="34"/>
        <v>51541449.290744781</v>
      </c>
      <c r="AG81" s="426">
        <f t="shared" ca="1" si="34"/>
        <v>55910835.472742423</v>
      </c>
      <c r="AH81" s="426">
        <f t="shared" ca="1" si="34"/>
        <v>31050858.531154975</v>
      </c>
      <c r="AI81" s="426">
        <f t="shared" ca="1" si="34"/>
        <v>16687514.418975163</v>
      </c>
      <c r="AJ81" s="426">
        <f t="shared" ca="1" si="34"/>
        <v>28904861.939051729</v>
      </c>
      <c r="AK81" s="426">
        <f t="shared" ca="1" si="34"/>
        <v>14052088.811180096</v>
      </c>
      <c r="AL81" s="426">
        <f t="shared" ca="1" si="34"/>
        <v>14861772.288633198</v>
      </c>
      <c r="AM81" s="426">
        <f t="shared" ca="1" si="34"/>
        <v>25368158.308994308</v>
      </c>
      <c r="AN81" s="426">
        <f t="shared" ca="1" si="34"/>
        <v>48129011.961543515</v>
      </c>
      <c r="AO81" s="426">
        <f t="shared" ca="1" si="34"/>
        <v>51337091.417404316</v>
      </c>
      <c r="AP81" s="426">
        <f t="shared" ca="1" si="34"/>
        <v>63639777.448538102</v>
      </c>
      <c r="AQ81" s="426">
        <f t="shared" ca="1" si="34"/>
        <v>57600829.732170932</v>
      </c>
      <c r="AR81" s="426">
        <f t="shared" ca="1" si="34"/>
        <v>51948887.086705148</v>
      </c>
      <c r="AS81" s="426">
        <f t="shared" ca="1" si="34"/>
        <v>58033351.440794051</v>
      </c>
      <c r="AT81" s="426">
        <f t="shared" ca="1" si="34"/>
        <v>38357819.73311685</v>
      </c>
      <c r="AU81" s="427"/>
      <c r="AV81" s="427"/>
      <c r="AW81" s="427"/>
      <c r="AX81" s="427"/>
      <c r="AY81" s="428"/>
      <c r="AZ81" s="428"/>
      <c r="BA81" s="428"/>
      <c r="BB81" s="428"/>
      <c r="BC81" s="428"/>
      <c r="BD81" s="428"/>
      <c r="BE81" s="428"/>
      <c r="BF81" s="428"/>
      <c r="BG81" s="428"/>
      <c r="BH81" s="428"/>
      <c r="BI81" s="428"/>
      <c r="BJ81" s="428"/>
    </row>
    <row r="82" spans="1:62" ht="15.75" customHeight="1" outlineLevel="1" x14ac:dyDescent="0.3">
      <c r="A82" s="13"/>
      <c r="B82" s="13"/>
      <c r="C82" s="13"/>
      <c r="D82" s="270" t="str">
        <f t="shared" si="33"/>
        <v>Денежные поступления от операционной деятельности</v>
      </c>
      <c r="E82" s="356" t="str">
        <f xml:space="preserve"> E32</f>
        <v>руб</v>
      </c>
      <c r="F82" s="357"/>
      <c r="G82" s="358"/>
      <c r="H82" s="359"/>
      <c r="I82" s="138"/>
      <c r="J82" s="7"/>
      <c r="K82" s="267">
        <f t="shared" ref="K82:AT82" ca="1" si="35" xml:space="preserve"> K32</f>
        <v>0</v>
      </c>
      <c r="L82" s="267">
        <f t="shared" ca="1" si="35"/>
        <v>0</v>
      </c>
      <c r="M82" s="36">
        <f t="shared" ca="1" si="35"/>
        <v>81412916.516562268</v>
      </c>
      <c r="N82" s="36">
        <f t="shared" ca="1" si="35"/>
        <v>95808511.437366948</v>
      </c>
      <c r="O82" s="36">
        <f t="shared" ca="1" si="35"/>
        <v>113777245.50238825</v>
      </c>
      <c r="P82" s="36">
        <f t="shared" ca="1" si="35"/>
        <v>128756140.12014681</v>
      </c>
      <c r="Q82" s="36">
        <f t="shared" ca="1" si="35"/>
        <v>130316036.57860987</v>
      </c>
      <c r="R82" s="36">
        <f t="shared" ca="1" si="35"/>
        <v>129792955.34155795</v>
      </c>
      <c r="S82" s="36">
        <f t="shared" ca="1" si="35"/>
        <v>119438982.16007751</v>
      </c>
      <c r="T82" s="36">
        <f t="shared" ca="1" si="35"/>
        <v>110775534.64168075</v>
      </c>
      <c r="U82" s="36">
        <f t="shared" ca="1" si="35"/>
        <v>103968585.03219773</v>
      </c>
      <c r="V82" s="36">
        <f t="shared" ca="1" si="35"/>
        <v>90385465.902568489</v>
      </c>
      <c r="W82" s="36">
        <f t="shared" ca="1" si="35"/>
        <v>88174172.120698452</v>
      </c>
      <c r="X82" s="36">
        <f t="shared" ca="1" si="35"/>
        <v>178217065.11792254</v>
      </c>
      <c r="Y82" s="36">
        <f t="shared" ca="1" si="35"/>
        <v>182993041.93585503</v>
      </c>
      <c r="Z82" s="36">
        <f t="shared" ca="1" si="35"/>
        <v>215153658.76625445</v>
      </c>
      <c r="AA82" s="36">
        <f t="shared" ca="1" si="35"/>
        <v>255264112.48689115</v>
      </c>
      <c r="AB82" s="36">
        <f t="shared" ca="1" si="35"/>
        <v>288606212.06738973</v>
      </c>
      <c r="AC82" s="36">
        <f t="shared" ca="1" si="35"/>
        <v>291826879.96223366</v>
      </c>
      <c r="AD82" s="36">
        <f t="shared" ca="1" si="35"/>
        <v>290381038.05752778</v>
      </c>
      <c r="AE82" s="36">
        <f t="shared" ca="1" si="35"/>
        <v>266972547.46129599</v>
      </c>
      <c r="AF82" s="36">
        <f t="shared" ca="1" si="35"/>
        <v>247374010.30449256</v>
      </c>
      <c r="AG82" s="36">
        <f t="shared" ca="1" si="35"/>
        <v>231961403.62093493</v>
      </c>
      <c r="AH82" s="36">
        <f t="shared" ca="1" si="35"/>
        <v>201466062.55466497</v>
      </c>
      <c r="AI82" s="36">
        <f t="shared" ca="1" si="35"/>
        <v>196568262.81076965</v>
      </c>
      <c r="AJ82" s="36">
        <f t="shared" ca="1" si="35"/>
        <v>221781809.46289349</v>
      </c>
      <c r="AK82" s="36">
        <f t="shared" ca="1" si="35"/>
        <v>227761294.64716426</v>
      </c>
      <c r="AL82" s="36">
        <f t="shared" ca="1" si="35"/>
        <v>267830790.29604566</v>
      </c>
      <c r="AM82" s="36">
        <f t="shared" ca="1" si="35"/>
        <v>317811962.34750634</v>
      </c>
      <c r="AN82" s="36">
        <f t="shared" ca="1" si="35"/>
        <v>359378898.88929147</v>
      </c>
      <c r="AO82" s="36">
        <f t="shared" ca="1" si="35"/>
        <v>363446844.0326277</v>
      </c>
      <c r="AP82" s="36">
        <f t="shared" ca="1" si="35"/>
        <v>361703386.30055302</v>
      </c>
      <c r="AQ82" s="36">
        <f t="shared" ca="1" si="35"/>
        <v>332596249.4893204</v>
      </c>
      <c r="AR82" s="36">
        <f t="shared" ca="1" si="35"/>
        <v>308229018.17117786</v>
      </c>
      <c r="AS82" s="36">
        <f t="shared" ca="1" si="35"/>
        <v>289069054.55677271</v>
      </c>
      <c r="AT82" s="36">
        <f t="shared" ca="1" si="35"/>
        <v>251105649.5211513</v>
      </c>
      <c r="AU82" s="194"/>
      <c r="AV82" s="194"/>
      <c r="AW82" s="194"/>
      <c r="AX82" s="194"/>
      <c r="AY82" s="195"/>
      <c r="AZ82" s="195"/>
      <c r="BA82" s="195"/>
      <c r="BB82" s="195"/>
      <c r="BC82" s="195"/>
      <c r="BD82" s="195"/>
      <c r="BE82" s="195"/>
      <c r="BF82" s="195"/>
      <c r="BG82" s="195"/>
      <c r="BH82" s="195"/>
      <c r="BI82" s="195"/>
      <c r="BJ82" s="195"/>
    </row>
    <row r="83" spans="1:62" ht="15.75" customHeight="1" outlineLevel="1" x14ac:dyDescent="0.3">
      <c r="A83" s="13"/>
      <c r="B83" s="13"/>
      <c r="C83" s="13"/>
      <c r="D83" s="270" t="str">
        <f t="shared" si="33"/>
        <v>Платежи по операционной деятельности</v>
      </c>
      <c r="E83" s="356" t="str">
        <f xml:space="preserve"> E33</f>
        <v>руб</v>
      </c>
      <c r="F83" s="357"/>
      <c r="G83" s="358"/>
      <c r="H83" s="359"/>
      <c r="I83" s="138"/>
      <c r="J83" s="7"/>
      <c r="K83" s="267">
        <f t="shared" ref="K83:AT83" ca="1" si="36" xml:space="preserve"> K33</f>
        <v>0</v>
      </c>
      <c r="L83" s="267">
        <f t="shared" ca="1" si="36"/>
        <v>45441022.066267021</v>
      </c>
      <c r="M83" s="36">
        <f t="shared" ca="1" si="36"/>
        <v>73836372.412849993</v>
      </c>
      <c r="N83" s="36">
        <f t="shared" ca="1" si="36"/>
        <v>87457460.240614563</v>
      </c>
      <c r="O83" s="36">
        <f t="shared" ca="1" si="36"/>
        <v>100319794.95624909</v>
      </c>
      <c r="P83" s="36">
        <f t="shared" ca="1" si="36"/>
        <v>104925575.46035513</v>
      </c>
      <c r="Q83" s="36">
        <f t="shared" ca="1" si="36"/>
        <v>105023589.19506618</v>
      </c>
      <c r="R83" s="36">
        <f t="shared" ca="1" si="36"/>
        <v>99122609.417838812</v>
      </c>
      <c r="S83" s="36">
        <f t="shared" ca="1" si="36"/>
        <v>91689658.156294435</v>
      </c>
      <c r="T83" s="36">
        <f t="shared" ca="1" si="36"/>
        <v>85732221.245037332</v>
      </c>
      <c r="U83" s="36">
        <f t="shared" ca="1" si="36"/>
        <v>76441241.147223279</v>
      </c>
      <c r="V83" s="36">
        <f t="shared" ca="1" si="36"/>
        <v>71857734.182901248</v>
      </c>
      <c r="W83" s="36">
        <f t="shared" ca="1" si="36"/>
        <v>120369854.49818183</v>
      </c>
      <c r="X83" s="36">
        <f t="shared" ca="1" si="36"/>
        <v>145484646.17910692</v>
      </c>
      <c r="Y83" s="36">
        <f t="shared" ca="1" si="36"/>
        <v>164429054.56587642</v>
      </c>
      <c r="Z83" s="36">
        <f t="shared" ca="1" si="36"/>
        <v>194580127.72879449</v>
      </c>
      <c r="AA83" s="36">
        <f t="shared" ca="1" si="36"/>
        <v>223013945.65443134</v>
      </c>
      <c r="AB83" s="36">
        <f t="shared" ca="1" si="36"/>
        <v>233109573.86791083</v>
      </c>
      <c r="AC83" s="36">
        <f t="shared" ca="1" si="36"/>
        <v>233117282.25427336</v>
      </c>
      <c r="AD83" s="36">
        <f t="shared" ca="1" si="36"/>
        <v>219859842.94031453</v>
      </c>
      <c r="AE83" s="36">
        <f t="shared" ca="1" si="36"/>
        <v>203183039.56981277</v>
      </c>
      <c r="AF83" s="36">
        <f t="shared" ca="1" si="36"/>
        <v>189795607.7643311</v>
      </c>
      <c r="AG83" s="36">
        <f t="shared" ca="1" si="36"/>
        <v>169109582.62800026</v>
      </c>
      <c r="AH83" s="36">
        <f t="shared" ca="1" si="36"/>
        <v>158767198.9344146</v>
      </c>
      <c r="AI83" s="36">
        <f t="shared" ca="1" si="36"/>
        <v>171257398.60177678</v>
      </c>
      <c r="AJ83" s="36">
        <f t="shared" ca="1" si="36"/>
        <v>180812730.80701849</v>
      </c>
      <c r="AK83" s="36">
        <f t="shared" ca="1" si="36"/>
        <v>204379007.28301924</v>
      </c>
      <c r="AL83" s="36">
        <f t="shared" ca="1" si="36"/>
        <v>241891813.73855662</v>
      </c>
      <c r="AM83" s="36">
        <f t="shared" ca="1" si="36"/>
        <v>277288167.47193658</v>
      </c>
      <c r="AN83" s="36">
        <f t="shared" ca="1" si="36"/>
        <v>289897774.84672737</v>
      </c>
      <c r="AO83" s="36">
        <f t="shared" ca="1" si="36"/>
        <v>289955104.87803304</v>
      </c>
      <c r="AP83" s="36">
        <f t="shared" ca="1" si="36"/>
        <v>273517391.60571349</v>
      </c>
      <c r="AQ83" s="36">
        <f t="shared" ca="1" si="36"/>
        <v>252808412.10782823</v>
      </c>
      <c r="AR83" s="36">
        <f t="shared" ca="1" si="36"/>
        <v>236187430.84692204</v>
      </c>
      <c r="AS83" s="36">
        <f t="shared" ca="1" si="36"/>
        <v>210484039.80596137</v>
      </c>
      <c r="AT83" s="36">
        <f t="shared" ca="1" si="36"/>
        <v>197633029.11212409</v>
      </c>
      <c r="AU83" s="194"/>
      <c r="AV83" s="194"/>
      <c r="AW83" s="194"/>
      <c r="AX83" s="194"/>
      <c r="AY83" s="195"/>
      <c r="AZ83" s="195"/>
      <c r="BA83" s="195"/>
      <c r="BB83" s="195"/>
      <c r="BC83" s="195"/>
      <c r="BD83" s="195"/>
      <c r="BE83" s="195"/>
      <c r="BF83" s="195"/>
      <c r="BG83" s="195"/>
      <c r="BH83" s="195"/>
      <c r="BI83" s="195"/>
      <c r="BJ83" s="195"/>
    </row>
    <row r="84" spans="1:62" ht="15.75" customHeight="1" outlineLevel="1" x14ac:dyDescent="0.3">
      <c r="A84" s="13"/>
      <c r="B84" s="13"/>
      <c r="C84" s="13"/>
      <c r="D84" s="332" t="str">
        <f t="shared" si="33"/>
        <v xml:space="preserve">  Себестоимость производства</v>
      </c>
      <c r="E84" s="356" t="str">
        <f xml:space="preserve"> E34</f>
        <v>руб</v>
      </c>
      <c r="F84" s="360"/>
      <c r="G84" s="361"/>
      <c r="H84" s="360"/>
      <c r="I84" s="69"/>
      <c r="J84" s="8"/>
      <c r="K84" s="267">
        <f t="shared" ref="K84:AT84" si="37" xml:space="preserve"> K34</f>
        <v>0</v>
      </c>
      <c r="L84" s="267">
        <f t="shared" si="37"/>
        <v>45441022.066267021</v>
      </c>
      <c r="M84" s="36">
        <f t="shared" si="37"/>
        <v>53483143.283709429</v>
      </c>
      <c r="N84" s="36">
        <f t="shared" si="37"/>
        <v>63505332.381272838</v>
      </c>
      <c r="O84" s="36">
        <f t="shared" si="37"/>
        <v>71875483.580652028</v>
      </c>
      <c r="P84" s="36">
        <f t="shared" si="37"/>
        <v>72736540.43031843</v>
      </c>
      <c r="Q84" s="36">
        <f t="shared" si="37"/>
        <v>72444580.050413713</v>
      </c>
      <c r="R84" s="36">
        <f t="shared" si="37"/>
        <v>66674370.582449324</v>
      </c>
      <c r="S84" s="36">
        <f t="shared" si="37"/>
        <v>61829912.616275057</v>
      </c>
      <c r="T84" s="36">
        <f t="shared" si="37"/>
        <v>58038337.584617153</v>
      </c>
      <c r="U84" s="36">
        <f t="shared" si="37"/>
        <v>50449094.889173843</v>
      </c>
      <c r="V84" s="36">
        <f t="shared" si="37"/>
        <v>49261367.707259126</v>
      </c>
      <c r="W84" s="36">
        <f t="shared" si="37"/>
        <v>98326311.468007222</v>
      </c>
      <c r="X84" s="36">
        <f t="shared" si="37"/>
        <v>100930379.89962628</v>
      </c>
      <c r="Y84" s="36">
        <f t="shared" si="37"/>
        <v>118680794.08191265</v>
      </c>
      <c r="Z84" s="36">
        <f t="shared" si="37"/>
        <v>140791713.03723088</v>
      </c>
      <c r="AA84" s="36">
        <f t="shared" si="37"/>
        <v>159197917.53270856</v>
      </c>
      <c r="AB84" s="36">
        <f t="shared" si="37"/>
        <v>160958020.8510634</v>
      </c>
      <c r="AC84" s="36">
        <f t="shared" si="37"/>
        <v>160160562.26371494</v>
      </c>
      <c r="AD84" s="36">
        <f t="shared" si="37"/>
        <v>147264583.42593259</v>
      </c>
      <c r="AE84" s="36">
        <f t="shared" si="37"/>
        <v>136439902.70448878</v>
      </c>
      <c r="AF84" s="36">
        <f t="shared" si="37"/>
        <v>127952105.18820798</v>
      </c>
      <c r="AG84" s="36">
        <f t="shared" si="37"/>
        <v>111119231.7227665</v>
      </c>
      <c r="AH84" s="36">
        <f t="shared" si="37"/>
        <v>108400683.29574835</v>
      </c>
      <c r="AI84" s="36">
        <f t="shared" si="37"/>
        <v>122115332.89908437</v>
      </c>
      <c r="AJ84" s="36">
        <f t="shared" si="37"/>
        <v>125367278.44129512</v>
      </c>
      <c r="AK84" s="36">
        <f t="shared" si="37"/>
        <v>147438683.62122819</v>
      </c>
      <c r="AL84" s="36">
        <f t="shared" si="37"/>
        <v>174934116.16454521</v>
      </c>
      <c r="AM84" s="36">
        <f t="shared" si="37"/>
        <v>197835176.88505998</v>
      </c>
      <c r="AN84" s="36">
        <f t="shared" si="37"/>
        <v>200053050.12440452</v>
      </c>
      <c r="AO84" s="36">
        <f t="shared" si="37"/>
        <v>199093393.86987609</v>
      </c>
      <c r="AP84" s="36">
        <f t="shared" si="37"/>
        <v>183091545.03057525</v>
      </c>
      <c r="AQ84" s="36">
        <f t="shared" si="37"/>
        <v>169659349.73549813</v>
      </c>
      <c r="AR84" s="36">
        <f t="shared" si="37"/>
        <v>159130176.30412757</v>
      </c>
      <c r="AS84" s="36">
        <f t="shared" si="37"/>
        <v>138216776.16676819</v>
      </c>
      <c r="AT84" s="36">
        <f t="shared" si="37"/>
        <v>134856616.73183629</v>
      </c>
      <c r="AU84" s="194"/>
      <c r="AV84" s="194"/>
      <c r="AW84" s="194"/>
      <c r="AX84" s="194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</row>
    <row r="85" spans="1:62" ht="15.75" customHeight="1" outlineLevel="1" x14ac:dyDescent="0.3">
      <c r="A85" s="13"/>
      <c r="B85" s="13"/>
      <c r="C85" s="13"/>
      <c r="D85" s="332" t="str">
        <f t="shared" si="33"/>
        <v xml:space="preserve">  Маркетинг</v>
      </c>
      <c r="E85" s="356" t="str">
        <f xml:space="preserve"> E35</f>
        <v>руб</v>
      </c>
      <c r="F85" s="37" t="s">
        <v>382</v>
      </c>
      <c r="G85" s="361"/>
      <c r="H85" s="360"/>
      <c r="I85" s="69"/>
      <c r="J85" s="7"/>
      <c r="K85" s="267">
        <f t="shared" ref="K85:AT85" ca="1" si="38" xml:space="preserve"> K35</f>
        <v>0</v>
      </c>
      <c r="L85" s="267">
        <f t="shared" ca="1" si="38"/>
        <v>0</v>
      </c>
      <c r="M85" s="36">
        <f t="shared" ca="1" si="38"/>
        <v>12211937.47748434</v>
      </c>
      <c r="N85" s="36">
        <f t="shared" ca="1" si="38"/>
        <v>14371276.715605041</v>
      </c>
      <c r="O85" s="36">
        <f t="shared" ca="1" si="38"/>
        <v>17066586.825358238</v>
      </c>
      <c r="P85" s="36">
        <f t="shared" ca="1" si="38"/>
        <v>19313421.018022019</v>
      </c>
      <c r="Q85" s="36">
        <f t="shared" ca="1" si="38"/>
        <v>19547405.48679148</v>
      </c>
      <c r="R85" s="36">
        <f t="shared" ca="1" si="38"/>
        <v>19468943.30123369</v>
      </c>
      <c r="S85" s="36">
        <f t="shared" ca="1" si="38"/>
        <v>17915847.324011628</v>
      </c>
      <c r="T85" s="36">
        <f t="shared" ca="1" si="38"/>
        <v>16616330.196252111</v>
      </c>
      <c r="U85" s="36">
        <f t="shared" ca="1" si="38"/>
        <v>15595287.754829658</v>
      </c>
      <c r="V85" s="36">
        <f t="shared" ca="1" si="38"/>
        <v>13557819.885385273</v>
      </c>
      <c r="W85" s="36">
        <f t="shared" ca="1" si="38"/>
        <v>13226125.818104768</v>
      </c>
      <c r="X85" s="36">
        <f t="shared" ca="1" si="38"/>
        <v>26732559.767688382</v>
      </c>
      <c r="Y85" s="36">
        <f t="shared" ca="1" si="38"/>
        <v>27448956.290378254</v>
      </c>
      <c r="Z85" s="36">
        <f t="shared" ca="1" si="38"/>
        <v>32273048.814938165</v>
      </c>
      <c r="AA85" s="36">
        <f t="shared" ca="1" si="38"/>
        <v>38289616.873033673</v>
      </c>
      <c r="AB85" s="36">
        <f t="shared" ca="1" si="38"/>
        <v>43290931.81010846</v>
      </c>
      <c r="AC85" s="36">
        <f t="shared" ca="1" si="38"/>
        <v>43774031.994335048</v>
      </c>
      <c r="AD85" s="36">
        <f t="shared" ca="1" si="38"/>
        <v>43557155.708629169</v>
      </c>
      <c r="AE85" s="36">
        <f t="shared" ca="1" si="38"/>
        <v>40045882.119194396</v>
      </c>
      <c r="AF85" s="36">
        <f t="shared" ca="1" si="38"/>
        <v>37106101.545673884</v>
      </c>
      <c r="AG85" s="36">
        <f t="shared" ca="1" si="38"/>
        <v>34794210.54314024</v>
      </c>
      <c r="AH85" s="36">
        <f t="shared" ca="1" si="38"/>
        <v>30219909.383199744</v>
      </c>
      <c r="AI85" s="36">
        <f t="shared" ca="1" si="38"/>
        <v>29485239.421615448</v>
      </c>
      <c r="AJ85" s="36">
        <f t="shared" ca="1" si="38"/>
        <v>33267271.419434022</v>
      </c>
      <c r="AK85" s="36">
        <f t="shared" ca="1" si="38"/>
        <v>34164194.197074637</v>
      </c>
      <c r="AL85" s="36">
        <f t="shared" ca="1" si="38"/>
        <v>40174618.544406846</v>
      </c>
      <c r="AM85" s="36">
        <f t="shared" ca="1" si="38"/>
        <v>47671794.35212595</v>
      </c>
      <c r="AN85" s="36">
        <f t="shared" ca="1" si="38"/>
        <v>53906834.833393715</v>
      </c>
      <c r="AO85" s="36">
        <f t="shared" ca="1" si="38"/>
        <v>54517026.604894154</v>
      </c>
      <c r="AP85" s="36">
        <f t="shared" ca="1" si="38"/>
        <v>54255507.945082955</v>
      </c>
      <c r="AQ85" s="36">
        <f t="shared" ca="1" si="38"/>
        <v>49889437.423398055</v>
      </c>
      <c r="AR85" s="36">
        <f t="shared" ca="1" si="38"/>
        <v>46234352.725676678</v>
      </c>
      <c r="AS85" s="36">
        <f t="shared" ca="1" si="38"/>
        <v>43360358.183515906</v>
      </c>
      <c r="AT85" s="36">
        <f t="shared" ca="1" si="38"/>
        <v>37665847.428172693</v>
      </c>
      <c r="AU85" s="194"/>
      <c r="AV85" s="194"/>
      <c r="AW85" s="194"/>
      <c r="AX85" s="194"/>
      <c r="AY85" s="195"/>
      <c r="AZ85" s="195"/>
      <c r="BA85" s="195"/>
      <c r="BB85" s="195"/>
      <c r="BC85" s="195"/>
      <c r="BD85" s="195"/>
      <c r="BE85" s="195"/>
      <c r="BF85" s="195"/>
      <c r="BG85" s="195"/>
      <c r="BH85" s="195"/>
      <c r="BI85" s="195"/>
      <c r="BJ85" s="195"/>
    </row>
    <row r="86" spans="1:62" ht="15.75" customHeight="1" outlineLevel="1" x14ac:dyDescent="0.3">
      <c r="A86" s="13"/>
      <c r="B86" s="13"/>
      <c r="C86" s="13"/>
      <c r="D86" s="270" t="str">
        <f t="shared" si="33"/>
        <v xml:space="preserve">  АУП и непредвиденные затраты</v>
      </c>
      <c r="E86" s="356" t="str">
        <f xml:space="preserve"> E36</f>
        <v>руб</v>
      </c>
      <c r="F86" s="37" t="s">
        <v>382</v>
      </c>
      <c r="G86" s="361"/>
      <c r="H86" s="360"/>
      <c r="I86" s="69"/>
      <c r="J86" s="7"/>
      <c r="K86" s="267">
        <f t="shared" ref="K86:AT86" ca="1" si="39" xml:space="preserve"> K36</f>
        <v>0</v>
      </c>
      <c r="L86" s="267">
        <f t="shared" ca="1" si="39"/>
        <v>0</v>
      </c>
      <c r="M86" s="36">
        <f t="shared" ca="1" si="39"/>
        <v>8141291.6516562272</v>
      </c>
      <c r="N86" s="36">
        <f t="shared" ca="1" si="39"/>
        <v>9580851.1437366959</v>
      </c>
      <c r="O86" s="36">
        <f t="shared" ca="1" si="39"/>
        <v>11377724.550238825</v>
      </c>
      <c r="P86" s="36">
        <f t="shared" ca="1" si="39"/>
        <v>12875614.012014681</v>
      </c>
      <c r="Q86" s="36">
        <f t="shared" ca="1" si="39"/>
        <v>13031603.657860987</v>
      </c>
      <c r="R86" s="36">
        <f t="shared" ca="1" si="39"/>
        <v>12979295.534155795</v>
      </c>
      <c r="S86" s="36">
        <f t="shared" ca="1" si="39"/>
        <v>11943898.216007752</v>
      </c>
      <c r="T86" s="36">
        <f t="shared" ca="1" si="39"/>
        <v>11077553.464168075</v>
      </c>
      <c r="U86" s="36">
        <f t="shared" ca="1" si="39"/>
        <v>10396858.503219774</v>
      </c>
      <c r="V86" s="36">
        <f t="shared" ca="1" si="39"/>
        <v>9038546.5902568493</v>
      </c>
      <c r="W86" s="36">
        <f t="shared" ca="1" si="39"/>
        <v>8817417.2120698448</v>
      </c>
      <c r="X86" s="36">
        <f t="shared" ca="1" si="39"/>
        <v>17821706.511792254</v>
      </c>
      <c r="Y86" s="36">
        <f t="shared" ca="1" si="39"/>
        <v>18299304.193585504</v>
      </c>
      <c r="Z86" s="36">
        <f t="shared" ca="1" si="39"/>
        <v>21515365.876625448</v>
      </c>
      <c r="AA86" s="36">
        <f t="shared" ca="1" si="39"/>
        <v>25526411.248689115</v>
      </c>
      <c r="AB86" s="36">
        <f t="shared" ca="1" si="39"/>
        <v>28860621.206738975</v>
      </c>
      <c r="AC86" s="36">
        <f t="shared" ca="1" si="39"/>
        <v>29182687.996223368</v>
      </c>
      <c r="AD86" s="36">
        <f t="shared" ca="1" si="39"/>
        <v>29038103.80575278</v>
      </c>
      <c r="AE86" s="36">
        <f t="shared" ca="1" si="39"/>
        <v>26697254.746129602</v>
      </c>
      <c r="AF86" s="36">
        <f t="shared" ca="1" si="39"/>
        <v>24737401.030449256</v>
      </c>
      <c r="AG86" s="36">
        <f t="shared" ca="1" si="39"/>
        <v>23196140.362093493</v>
      </c>
      <c r="AH86" s="36">
        <f t="shared" ca="1" si="39"/>
        <v>20146606.255466498</v>
      </c>
      <c r="AI86" s="36">
        <f t="shared" ca="1" si="39"/>
        <v>19656826.281076964</v>
      </c>
      <c r="AJ86" s="36">
        <f t="shared" ca="1" si="39"/>
        <v>22178180.946289349</v>
      </c>
      <c r="AK86" s="36">
        <f t="shared" ca="1" si="39"/>
        <v>22776129.464716427</v>
      </c>
      <c r="AL86" s="36">
        <f t="shared" ca="1" si="39"/>
        <v>26783079.029604569</v>
      </c>
      <c r="AM86" s="36">
        <f t="shared" ca="1" si="39"/>
        <v>31781196.234750636</v>
      </c>
      <c r="AN86" s="36">
        <f t="shared" ca="1" si="39"/>
        <v>35937889.888929151</v>
      </c>
      <c r="AO86" s="36">
        <f t="shared" ca="1" si="39"/>
        <v>36344684.403262772</v>
      </c>
      <c r="AP86" s="36">
        <f t="shared" ca="1" si="39"/>
        <v>36170338.630055301</v>
      </c>
      <c r="AQ86" s="36">
        <f t="shared" ca="1" si="39"/>
        <v>33259624.94893204</v>
      </c>
      <c r="AR86" s="36">
        <f t="shared" ca="1" si="39"/>
        <v>30822901.817117788</v>
      </c>
      <c r="AS86" s="36">
        <f t="shared" ca="1" si="39"/>
        <v>28906905.455677271</v>
      </c>
      <c r="AT86" s="36">
        <f t="shared" ca="1" si="39"/>
        <v>25110564.952115133</v>
      </c>
      <c r="AU86" s="194"/>
      <c r="AV86" s="194"/>
      <c r="AW86" s="194"/>
      <c r="AX86" s="194"/>
      <c r="AY86" s="195"/>
      <c r="AZ86" s="195"/>
      <c r="BA86" s="195"/>
      <c r="BB86" s="195"/>
      <c r="BC86" s="195"/>
      <c r="BD86" s="195"/>
      <c r="BE86" s="195"/>
      <c r="BF86" s="195"/>
      <c r="BG86" s="195"/>
      <c r="BH86" s="195"/>
      <c r="BI86" s="195"/>
      <c r="BJ86" s="195"/>
    </row>
    <row r="87" spans="1:62" ht="15.75" customHeight="1" outlineLevel="1" x14ac:dyDescent="0.3">
      <c r="A87" s="13"/>
      <c r="B87" s="13"/>
      <c r="C87" s="233"/>
      <c r="D87" s="362" t="str">
        <f xml:space="preserve"> D79</f>
        <v>Проценты к уплате</v>
      </c>
      <c r="E87" s="363" t="s">
        <v>63</v>
      </c>
      <c r="F87" s="364"/>
      <c r="G87" s="365"/>
      <c r="H87" s="364"/>
      <c r="I87" s="276"/>
      <c r="J87" s="7"/>
      <c r="K87" s="353">
        <f t="shared" ref="K87:AT87" si="40" xml:space="preserve"> K79</f>
        <v>0</v>
      </c>
      <c r="L87" s="353">
        <f t="shared" ca="1" si="40"/>
        <v>0</v>
      </c>
      <c r="M87" s="237">
        <f t="shared" ca="1" si="40"/>
        <v>1359840.5263050876</v>
      </c>
      <c r="N87" s="237">
        <f t="shared" ca="1" si="40"/>
        <v>1253701.7376398998</v>
      </c>
      <c r="O87" s="237">
        <f t="shared" ca="1" si="40"/>
        <v>1224565.0593696346</v>
      </c>
      <c r="P87" s="237">
        <f t="shared" ca="1" si="40"/>
        <v>1074453.7781092846</v>
      </c>
      <c r="Q87" s="237">
        <f t="shared" ca="1" si="40"/>
        <v>914789.24460686941</v>
      </c>
      <c r="R87" s="237">
        <f t="shared" ca="1" si="40"/>
        <v>717328.49166340462</v>
      </c>
      <c r="S87" s="237">
        <f t="shared" ca="1" si="40"/>
        <v>458760.04641351831</v>
      </c>
      <c r="T87" s="237">
        <f t="shared" ca="1" si="40"/>
        <v>252805.41404696944</v>
      </c>
      <c r="U87" s="237">
        <f t="shared" ca="1" si="40"/>
        <v>50531.788243039744</v>
      </c>
      <c r="V87" s="237">
        <f t="shared" ca="1" si="40"/>
        <v>0</v>
      </c>
      <c r="W87" s="237">
        <f t="shared" ca="1" si="40"/>
        <v>0</v>
      </c>
      <c r="X87" s="237">
        <f t="shared" ca="1" si="40"/>
        <v>253243.6057516984</v>
      </c>
      <c r="Y87" s="237">
        <f t="shared" ca="1" si="40"/>
        <v>34387.362083384352</v>
      </c>
      <c r="Z87" s="237">
        <f t="shared" ca="1" si="40"/>
        <v>0</v>
      </c>
      <c r="AA87" s="237">
        <f t="shared" ca="1" si="40"/>
        <v>0</v>
      </c>
      <c r="AB87" s="237">
        <f t="shared" ca="1" si="40"/>
        <v>0</v>
      </c>
      <c r="AC87" s="237">
        <f t="shared" ca="1" si="40"/>
        <v>0</v>
      </c>
      <c r="AD87" s="237">
        <f t="shared" ca="1" si="40"/>
        <v>0</v>
      </c>
      <c r="AE87" s="237">
        <f t="shared" ca="1" si="40"/>
        <v>0</v>
      </c>
      <c r="AF87" s="237">
        <f t="shared" ca="1" si="40"/>
        <v>0</v>
      </c>
      <c r="AG87" s="237">
        <f t="shared" ca="1" si="40"/>
        <v>0</v>
      </c>
      <c r="AH87" s="237">
        <f t="shared" ca="1" si="40"/>
        <v>0</v>
      </c>
      <c r="AI87" s="237">
        <f t="shared" ca="1" si="40"/>
        <v>0</v>
      </c>
      <c r="AJ87" s="237">
        <f t="shared" ca="1" si="40"/>
        <v>0</v>
      </c>
      <c r="AK87" s="237">
        <f t="shared" ca="1" si="40"/>
        <v>0</v>
      </c>
      <c r="AL87" s="237">
        <f t="shared" ca="1" si="40"/>
        <v>0</v>
      </c>
      <c r="AM87" s="237">
        <f t="shared" ca="1" si="40"/>
        <v>0</v>
      </c>
      <c r="AN87" s="237">
        <f t="shared" ca="1" si="40"/>
        <v>0</v>
      </c>
      <c r="AO87" s="237">
        <f t="shared" ca="1" si="40"/>
        <v>0</v>
      </c>
      <c r="AP87" s="237">
        <f t="shared" ca="1" si="40"/>
        <v>0</v>
      </c>
      <c r="AQ87" s="237">
        <f t="shared" ca="1" si="40"/>
        <v>0</v>
      </c>
      <c r="AR87" s="237">
        <f t="shared" ca="1" si="40"/>
        <v>0</v>
      </c>
      <c r="AS87" s="237">
        <f t="shared" ca="1" si="40"/>
        <v>0</v>
      </c>
      <c r="AT87" s="237">
        <f t="shared" ca="1" si="40"/>
        <v>0</v>
      </c>
      <c r="AU87" s="244"/>
      <c r="AV87" s="244"/>
      <c r="AW87" s="244"/>
      <c r="AX87" s="244"/>
      <c r="AY87" s="195"/>
      <c r="AZ87" s="195"/>
      <c r="BA87" s="195"/>
      <c r="BB87" s="195"/>
      <c r="BC87" s="195"/>
      <c r="BD87" s="195"/>
      <c r="BE87" s="195"/>
      <c r="BF87" s="195"/>
      <c r="BG87" s="195"/>
      <c r="BH87" s="195"/>
      <c r="BI87" s="195"/>
      <c r="BJ87" s="195"/>
    </row>
    <row r="88" spans="1:62" ht="15.75" customHeight="1" outlineLevel="1" x14ac:dyDescent="0.3">
      <c r="A88" s="13"/>
      <c r="B88" s="13"/>
      <c r="C88" s="13"/>
      <c r="D88" s="366" t="str">
        <f xml:space="preserve"> D37</f>
        <v>Налог на прибыль</v>
      </c>
      <c r="E88" s="356" t="s">
        <v>63</v>
      </c>
      <c r="F88" s="367"/>
      <c r="G88" s="368"/>
      <c r="H88" s="352"/>
      <c r="I88" s="143"/>
      <c r="J88" s="7"/>
      <c r="K88" s="36">
        <f>'P&amp;L'!K55</f>
        <v>0</v>
      </c>
      <c r="L88" s="267">
        <f ca="1">'P&amp;L'!L55</f>
        <v>0</v>
      </c>
      <c r="M88" s="36">
        <f ca="1">'P&amp;L'!M55</f>
        <v>0</v>
      </c>
      <c r="N88" s="36">
        <f ca="1">'P&amp;L'!N55</f>
        <v>0</v>
      </c>
      <c r="O88" s="36">
        <f ca="1">'P&amp;L'!O55</f>
        <v>0</v>
      </c>
      <c r="P88" s="36">
        <f ca="1">'P&amp;L'!P55</f>
        <v>0</v>
      </c>
      <c r="Q88" s="36">
        <f ca="1">'P&amp;L'!Q55</f>
        <v>1691977.290341326</v>
      </c>
      <c r="R88" s="36">
        <f ca="1">'P&amp;L'!R55</f>
        <v>1883040.8861894624</v>
      </c>
      <c r="S88" s="36">
        <f ca="1">'P&amp;L'!S55</f>
        <v>1607565.098213868</v>
      </c>
      <c r="T88" s="36">
        <f ca="1">'P&amp;L'!T55</f>
        <v>1374987.799378965</v>
      </c>
      <c r="U88" s="36">
        <f ca="1">'P&amp;L'!U55</f>
        <v>1200340.336825982</v>
      </c>
      <c r="V88" s="36">
        <f ca="1">'P&amp;L'!V55</f>
        <v>781214.98153673718</v>
      </c>
      <c r="W88" s="36">
        <f ca="1">'P&amp;L'!W55</f>
        <v>816430.51514872466</v>
      </c>
      <c r="X88" s="36">
        <f ca="1">'P&amp;L'!X55</f>
        <v>3718491.8929155283</v>
      </c>
      <c r="Y88" s="36">
        <f ca="1">'P&amp;L'!Y55</f>
        <v>3918878.2226743954</v>
      </c>
      <c r="Z88" s="36">
        <f ca="1">'P&amp;L'!Z55</f>
        <v>4980375.0541720036</v>
      </c>
      <c r="AA88" s="36">
        <f ca="1">'P&amp;L'!AA55</f>
        <v>6295687.5439286772</v>
      </c>
      <c r="AB88" s="36">
        <f ca="1">'P&amp;L'!AB55</f>
        <v>7389050.3943812372</v>
      </c>
      <c r="AC88" s="36">
        <f ca="1">'P&amp;L'!AC55</f>
        <v>7494663.3783916179</v>
      </c>
      <c r="AD88" s="36">
        <f ca="1">'P&amp;L'!AD55</f>
        <v>7447250.9524759538</v>
      </c>
      <c r="AE88" s="36">
        <f ca="1">'P&amp;L'!AE55</f>
        <v>6679633.6060849251</v>
      </c>
      <c r="AF88" s="36">
        <f ca="1">'P&amp;L'!AF55</f>
        <v>6036953.2494166791</v>
      </c>
      <c r="AG88" s="36">
        <f ca="1">'P&amp;L'!AG55</f>
        <v>5531539.0197052779</v>
      </c>
      <c r="AH88" s="36">
        <f ca="1">'P&amp;L'!AH55</f>
        <v>4531527.8190536676</v>
      </c>
      <c r="AI88" s="36">
        <f ca="1">'P&amp;L'!AI55</f>
        <v>4404872.4218522226</v>
      </c>
      <c r="AJ88" s="36">
        <f ca="1">'P&amp;L'!AJ55</f>
        <v>5236036.9408441009</v>
      </c>
      <c r="AK88" s="36">
        <f ca="1">'P&amp;L'!AK55</f>
        <v>5433150.6589407446</v>
      </c>
      <c r="AL88" s="36">
        <f ca="1">'P&amp;L'!AL55</f>
        <v>6754041.5092743337</v>
      </c>
      <c r="AM88" s="36">
        <f ca="1">'P&amp;L'!AM55</f>
        <v>8401670.7539805006</v>
      </c>
      <c r="AN88" s="36">
        <f ca="1">'P&amp;L'!AN55</f>
        <v>9771924.7405932248</v>
      </c>
      <c r="AO88" s="36">
        <f ca="1">'P&amp;L'!AO55</f>
        <v>9906024.5447578859</v>
      </c>
      <c r="AP88" s="36">
        <f ca="1">'P&amp;L'!AP55</f>
        <v>9848551.4638281707</v>
      </c>
      <c r="AQ88" s="36">
        <f ca="1">'P&amp;L'!AQ55</f>
        <v>8889034.7524058651</v>
      </c>
      <c r="AR88" s="36">
        <f ca="1">'P&amp;L'!AR55</f>
        <v>8085769.0168413762</v>
      </c>
      <c r="AS88" s="36">
        <f ca="1">'P&amp;L'!AS55</f>
        <v>7454160.8515487257</v>
      </c>
      <c r="AT88" s="36">
        <f ca="1">'P&amp;L'!AT55</f>
        <v>6202697.2744058371</v>
      </c>
      <c r="AU88" s="194"/>
      <c r="AV88" s="194"/>
      <c r="AW88" s="194"/>
      <c r="AX88" s="194"/>
      <c r="AY88" s="195"/>
      <c r="AZ88" s="195"/>
      <c r="BA88" s="195"/>
      <c r="BB88" s="195"/>
      <c r="BC88" s="195"/>
      <c r="BD88" s="195"/>
      <c r="BE88" s="195"/>
      <c r="BF88" s="195"/>
      <c r="BG88" s="195"/>
      <c r="BH88" s="195"/>
      <c r="BI88" s="195"/>
      <c r="BJ88" s="195"/>
    </row>
    <row r="89" spans="1:62" ht="15.75" customHeight="1" outlineLevel="1" x14ac:dyDescent="0.3">
      <c r="A89" s="13"/>
      <c r="B89" s="13"/>
      <c r="C89" s="13"/>
      <c r="D89" s="270" t="str">
        <f xml:space="preserve"> D38</f>
        <v>НДС</v>
      </c>
      <c r="E89" s="356" t="s">
        <v>63</v>
      </c>
      <c r="F89" s="357"/>
      <c r="G89" s="358"/>
      <c r="H89" s="359"/>
      <c r="I89" s="138"/>
      <c r="J89" s="8"/>
      <c r="K89" s="275">
        <f t="shared" ref="K89:AT89" ca="1" si="41" xml:space="preserve"> K38</f>
        <v>0</v>
      </c>
      <c r="L89" s="275">
        <f t="shared" ca="1" si="41"/>
        <v>0</v>
      </c>
      <c r="M89" s="52">
        <f t="shared" ca="1" si="41"/>
        <v>0</v>
      </c>
      <c r="N89" s="52">
        <f t="shared" ca="1" si="41"/>
        <v>0</v>
      </c>
      <c r="O89" s="52">
        <f t="shared" ca="1" si="41"/>
        <v>0</v>
      </c>
      <c r="P89" s="52">
        <f t="shared" ca="1" si="41"/>
        <v>0</v>
      </c>
      <c r="Q89" s="52">
        <f t="shared" ca="1" si="41"/>
        <v>0</v>
      </c>
      <c r="R89" s="52">
        <f t="shared" ca="1" si="41"/>
        <v>0</v>
      </c>
      <c r="S89" s="52">
        <f t="shared" ca="1" si="41"/>
        <v>0</v>
      </c>
      <c r="T89" s="52">
        <f t="shared" ca="1" si="41"/>
        <v>0</v>
      </c>
      <c r="U89" s="52">
        <f t="shared" ca="1" si="41"/>
        <v>0</v>
      </c>
      <c r="V89" s="52">
        <f t="shared" ca="1" si="41"/>
        <v>0</v>
      </c>
      <c r="W89" s="52">
        <f t="shared" ca="1" si="41"/>
        <v>0</v>
      </c>
      <c r="X89" s="52">
        <f t="shared" ca="1" si="41"/>
        <v>0</v>
      </c>
      <c r="Y89" s="52">
        <f t="shared" ca="1" si="41"/>
        <v>0</v>
      </c>
      <c r="Z89" s="52">
        <f t="shared" ca="1" si="41"/>
        <v>0</v>
      </c>
      <c r="AA89" s="52">
        <f t="shared" ca="1" si="41"/>
        <v>0</v>
      </c>
      <c r="AB89" s="52">
        <f t="shared" ca="1" si="41"/>
        <v>0</v>
      </c>
      <c r="AC89" s="52">
        <f t="shared" ca="1" si="41"/>
        <v>0</v>
      </c>
      <c r="AD89" s="52">
        <f t="shared" ca="1" si="41"/>
        <v>0</v>
      </c>
      <c r="AE89" s="52">
        <f t="shared" ca="1" si="41"/>
        <v>0</v>
      </c>
      <c r="AF89" s="52">
        <f t="shared" ca="1" si="41"/>
        <v>0</v>
      </c>
      <c r="AG89" s="52">
        <f t="shared" ca="1" si="41"/>
        <v>1409446.5004869699</v>
      </c>
      <c r="AH89" s="52">
        <f t="shared" ca="1" si="41"/>
        <v>7116477.270041734</v>
      </c>
      <c r="AI89" s="52">
        <f t="shared" ca="1" si="41"/>
        <v>4218477.3681654818</v>
      </c>
      <c r="AJ89" s="52">
        <f t="shared" ca="1" si="41"/>
        <v>6828179.775979165</v>
      </c>
      <c r="AK89" s="52">
        <f t="shared" ca="1" si="41"/>
        <v>3897047.8940241709</v>
      </c>
      <c r="AL89" s="52">
        <f t="shared" ca="1" si="41"/>
        <v>4323162.7595815063</v>
      </c>
      <c r="AM89" s="52">
        <f t="shared" ca="1" si="41"/>
        <v>6753965.8125949502</v>
      </c>
      <c r="AN89" s="52">
        <f t="shared" ca="1" si="41"/>
        <v>11580187.340427354</v>
      </c>
      <c r="AO89" s="52">
        <f t="shared" ca="1" si="41"/>
        <v>12248623.192432456</v>
      </c>
      <c r="AP89" s="52">
        <f t="shared" ca="1" si="41"/>
        <v>14697665.782473259</v>
      </c>
      <c r="AQ89" s="52">
        <f t="shared" ca="1" si="41"/>
        <v>13297972.896915369</v>
      </c>
      <c r="AR89" s="52">
        <f t="shared" ca="1" si="41"/>
        <v>12006931.220709302</v>
      </c>
      <c r="AS89" s="52">
        <f t="shared" ca="1" si="41"/>
        <v>13097502.458468556</v>
      </c>
      <c r="AT89" s="52">
        <f t="shared" ca="1" si="41"/>
        <v>8912103.4015045352</v>
      </c>
      <c r="AU89" s="194"/>
      <c r="AV89" s="194"/>
      <c r="AW89" s="194"/>
      <c r="AX89" s="194"/>
      <c r="AY89" s="195"/>
      <c r="AZ89" s="195"/>
      <c r="BA89" s="195"/>
      <c r="BB89" s="195"/>
      <c r="BC89" s="195"/>
      <c r="BD89" s="195"/>
      <c r="BE89" s="195"/>
      <c r="BF89" s="195"/>
      <c r="BG89" s="195"/>
      <c r="BH89" s="195"/>
      <c r="BI89" s="195"/>
      <c r="BJ89" s="195"/>
    </row>
    <row r="90" spans="1:62" ht="15.75" customHeight="1" outlineLevel="1" x14ac:dyDescent="0.3">
      <c r="A90" s="13"/>
      <c r="B90" s="13"/>
      <c r="C90" s="13"/>
      <c r="D90" s="369"/>
      <c r="E90" s="370"/>
      <c r="F90" s="357"/>
      <c r="G90" s="358"/>
      <c r="H90" s="359"/>
      <c r="I90" s="138"/>
      <c r="J90" s="7"/>
      <c r="K90" s="267"/>
      <c r="L90" s="267"/>
      <c r="M90" s="36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5"/>
      <c r="AZ90" s="195"/>
      <c r="BA90" s="195"/>
      <c r="BB90" s="195"/>
      <c r="BC90" s="195"/>
      <c r="BD90" s="195"/>
      <c r="BE90" s="195"/>
      <c r="BF90" s="195"/>
      <c r="BG90" s="195"/>
      <c r="BH90" s="195"/>
      <c r="BI90" s="195"/>
      <c r="BJ90" s="195"/>
    </row>
    <row r="91" spans="1:62" s="429" customFormat="1" ht="15.75" customHeight="1" outlineLevel="1" x14ac:dyDescent="0.3">
      <c r="A91" s="13"/>
      <c r="B91" s="13"/>
      <c r="C91" s="421"/>
      <c r="D91" s="422" t="str">
        <f t="shared" ref="D91:D100" si="42" xml:space="preserve"> D48</f>
        <v>Результаты инвестиционной деятельности</v>
      </c>
      <c r="E91" s="423"/>
      <c r="F91" s="424"/>
      <c r="G91" s="425"/>
      <c r="H91" s="423"/>
      <c r="I91" s="423"/>
      <c r="J91" s="7"/>
      <c r="K91" s="509">
        <f t="shared" ref="K91:AT91" si="43" xml:space="preserve"> K48</f>
        <v>297500000</v>
      </c>
      <c r="L91" s="426">
        <f t="shared" si="43"/>
        <v>297500000</v>
      </c>
      <c r="M91" s="426">
        <f t="shared" si="43"/>
        <v>0</v>
      </c>
      <c r="N91" s="426">
        <f t="shared" si="43"/>
        <v>0</v>
      </c>
      <c r="O91" s="426">
        <f t="shared" si="43"/>
        <v>0</v>
      </c>
      <c r="P91" s="426">
        <f t="shared" si="43"/>
        <v>0</v>
      </c>
      <c r="Q91" s="426">
        <f t="shared" si="43"/>
        <v>0</v>
      </c>
      <c r="R91" s="426">
        <f t="shared" si="43"/>
        <v>0</v>
      </c>
      <c r="S91" s="426">
        <f t="shared" si="43"/>
        <v>0</v>
      </c>
      <c r="T91" s="426">
        <f t="shared" si="43"/>
        <v>0</v>
      </c>
      <c r="U91" s="426">
        <f t="shared" si="43"/>
        <v>0</v>
      </c>
      <c r="V91" s="426">
        <f t="shared" si="43"/>
        <v>0</v>
      </c>
      <c r="W91" s="426">
        <f t="shared" si="43"/>
        <v>0</v>
      </c>
      <c r="X91" s="426">
        <f t="shared" si="43"/>
        <v>0</v>
      </c>
      <c r="Y91" s="426">
        <f t="shared" si="43"/>
        <v>0</v>
      </c>
      <c r="Z91" s="426">
        <f t="shared" si="43"/>
        <v>0</v>
      </c>
      <c r="AA91" s="426">
        <f t="shared" si="43"/>
        <v>0</v>
      </c>
      <c r="AB91" s="426">
        <f t="shared" si="43"/>
        <v>0</v>
      </c>
      <c r="AC91" s="426">
        <f t="shared" si="43"/>
        <v>0</v>
      </c>
      <c r="AD91" s="426">
        <f t="shared" si="43"/>
        <v>0</v>
      </c>
      <c r="AE91" s="426">
        <f t="shared" si="43"/>
        <v>0</v>
      </c>
      <c r="AF91" s="426">
        <f t="shared" si="43"/>
        <v>0</v>
      </c>
      <c r="AG91" s="426">
        <f t="shared" si="43"/>
        <v>0</v>
      </c>
      <c r="AH91" s="426">
        <f t="shared" si="43"/>
        <v>0</v>
      </c>
      <c r="AI91" s="426">
        <f t="shared" si="43"/>
        <v>0</v>
      </c>
      <c r="AJ91" s="426">
        <f t="shared" si="43"/>
        <v>0</v>
      </c>
      <c r="AK91" s="426">
        <f t="shared" si="43"/>
        <v>0</v>
      </c>
      <c r="AL91" s="426">
        <f t="shared" si="43"/>
        <v>0</v>
      </c>
      <c r="AM91" s="426">
        <f t="shared" si="43"/>
        <v>0</v>
      </c>
      <c r="AN91" s="426">
        <f t="shared" si="43"/>
        <v>0</v>
      </c>
      <c r="AO91" s="426">
        <f t="shared" si="43"/>
        <v>0</v>
      </c>
      <c r="AP91" s="426">
        <f t="shared" si="43"/>
        <v>0</v>
      </c>
      <c r="AQ91" s="426">
        <f t="shared" si="43"/>
        <v>0</v>
      </c>
      <c r="AR91" s="426">
        <f t="shared" si="43"/>
        <v>0</v>
      </c>
      <c r="AS91" s="426">
        <f t="shared" si="43"/>
        <v>0</v>
      </c>
      <c r="AT91" s="426">
        <f t="shared" si="43"/>
        <v>0</v>
      </c>
      <c r="AU91" s="427"/>
      <c r="AV91" s="427"/>
      <c r="AW91" s="427"/>
      <c r="AX91" s="427"/>
      <c r="AY91" s="428"/>
      <c r="AZ91" s="428"/>
      <c r="BA91" s="428"/>
      <c r="BB91" s="428"/>
      <c r="BC91" s="428"/>
      <c r="BD91" s="428"/>
      <c r="BE91" s="428"/>
      <c r="BF91" s="428"/>
      <c r="BG91" s="428"/>
      <c r="BH91" s="428"/>
      <c r="BI91" s="428"/>
      <c r="BJ91" s="428"/>
    </row>
    <row r="92" spans="1:62" ht="15.75" customHeight="1" outlineLevel="1" x14ac:dyDescent="0.3">
      <c r="A92" s="13"/>
      <c r="B92" s="13"/>
      <c r="C92" s="13"/>
      <c r="D92" s="371" t="str">
        <f t="shared" si="42"/>
        <v>Процессное оборудование</v>
      </c>
      <c r="E92" s="372"/>
      <c r="F92" s="371"/>
      <c r="G92" s="371"/>
      <c r="H92" s="371"/>
      <c r="I92" s="56"/>
      <c r="J92" s="7"/>
      <c r="K92" s="268">
        <f t="shared" ref="K92:AT92" si="44" xml:space="preserve"> K49</f>
        <v>152500000</v>
      </c>
      <c r="L92" s="268">
        <f t="shared" si="44"/>
        <v>152500000</v>
      </c>
      <c r="M92" s="35">
        <f t="shared" si="44"/>
        <v>0</v>
      </c>
      <c r="N92" s="35">
        <f t="shared" si="44"/>
        <v>0</v>
      </c>
      <c r="O92" s="35">
        <f t="shared" si="44"/>
        <v>0</v>
      </c>
      <c r="P92" s="35">
        <f t="shared" si="44"/>
        <v>0</v>
      </c>
      <c r="Q92" s="35">
        <f t="shared" si="44"/>
        <v>0</v>
      </c>
      <c r="R92" s="35">
        <f t="shared" si="44"/>
        <v>0</v>
      </c>
      <c r="S92" s="35">
        <f t="shared" si="44"/>
        <v>0</v>
      </c>
      <c r="T92" s="35">
        <f t="shared" si="44"/>
        <v>0</v>
      </c>
      <c r="U92" s="35">
        <f t="shared" si="44"/>
        <v>0</v>
      </c>
      <c r="V92" s="35">
        <f t="shared" si="44"/>
        <v>0</v>
      </c>
      <c r="W92" s="35">
        <f t="shared" si="44"/>
        <v>0</v>
      </c>
      <c r="X92" s="35">
        <f t="shared" si="44"/>
        <v>0</v>
      </c>
      <c r="Y92" s="35">
        <f t="shared" si="44"/>
        <v>0</v>
      </c>
      <c r="Z92" s="35">
        <f t="shared" si="44"/>
        <v>0</v>
      </c>
      <c r="AA92" s="35">
        <f t="shared" si="44"/>
        <v>0</v>
      </c>
      <c r="AB92" s="35">
        <f t="shared" si="44"/>
        <v>0</v>
      </c>
      <c r="AC92" s="35">
        <f t="shared" si="44"/>
        <v>0</v>
      </c>
      <c r="AD92" s="35">
        <f t="shared" si="44"/>
        <v>0</v>
      </c>
      <c r="AE92" s="35">
        <f t="shared" si="44"/>
        <v>0</v>
      </c>
      <c r="AF92" s="35">
        <f t="shared" si="44"/>
        <v>0</v>
      </c>
      <c r="AG92" s="35">
        <f t="shared" si="44"/>
        <v>0</v>
      </c>
      <c r="AH92" s="35">
        <f t="shared" si="44"/>
        <v>0</v>
      </c>
      <c r="AI92" s="35">
        <f t="shared" si="44"/>
        <v>0</v>
      </c>
      <c r="AJ92" s="35">
        <f t="shared" si="44"/>
        <v>0</v>
      </c>
      <c r="AK92" s="35">
        <f t="shared" si="44"/>
        <v>0</v>
      </c>
      <c r="AL92" s="35">
        <f t="shared" si="44"/>
        <v>0</v>
      </c>
      <c r="AM92" s="35">
        <f t="shared" si="44"/>
        <v>0</v>
      </c>
      <c r="AN92" s="35">
        <f t="shared" si="44"/>
        <v>0</v>
      </c>
      <c r="AO92" s="35">
        <f t="shared" si="44"/>
        <v>0</v>
      </c>
      <c r="AP92" s="35">
        <f t="shared" si="44"/>
        <v>0</v>
      </c>
      <c r="AQ92" s="35">
        <f t="shared" si="44"/>
        <v>0</v>
      </c>
      <c r="AR92" s="35">
        <f t="shared" si="44"/>
        <v>0</v>
      </c>
      <c r="AS92" s="35">
        <f t="shared" si="44"/>
        <v>0</v>
      </c>
      <c r="AT92" s="35">
        <f t="shared" si="44"/>
        <v>0</v>
      </c>
      <c r="AU92" s="194"/>
      <c r="AV92" s="194"/>
      <c r="AW92" s="194"/>
      <c r="AX92" s="194"/>
      <c r="AY92" s="195"/>
      <c r="AZ92" s="195"/>
      <c r="BA92" s="195"/>
      <c r="BB92" s="195"/>
      <c r="BC92" s="195"/>
      <c r="BD92" s="195"/>
      <c r="BE92" s="195"/>
      <c r="BF92" s="195"/>
      <c r="BG92" s="195"/>
      <c r="BH92" s="195"/>
      <c r="BI92" s="195"/>
      <c r="BJ92" s="195"/>
    </row>
    <row r="93" spans="1:62" ht="15.75" customHeight="1" outlineLevel="1" x14ac:dyDescent="0.3">
      <c r="A93" s="13"/>
      <c r="B93" s="13"/>
      <c r="C93" s="13"/>
      <c r="D93" s="270" t="str">
        <f t="shared" si="42"/>
        <v xml:space="preserve">  Приемка сырья  </v>
      </c>
      <c r="E93" s="326" t="str">
        <f xml:space="preserve"> E50</f>
        <v>руб.</v>
      </c>
      <c r="F93" s="270"/>
      <c r="G93" s="270"/>
      <c r="H93" s="270"/>
      <c r="I93" s="19"/>
      <c r="J93" s="7"/>
      <c r="K93" s="268">
        <f t="shared" ref="K93:AT93" si="45" xml:space="preserve"> K50</f>
        <v>45000000</v>
      </c>
      <c r="L93" s="268">
        <f t="shared" si="45"/>
        <v>45000000</v>
      </c>
      <c r="M93" s="35">
        <f t="shared" si="45"/>
        <v>0</v>
      </c>
      <c r="N93" s="35">
        <f t="shared" si="45"/>
        <v>0</v>
      </c>
      <c r="O93" s="35">
        <f t="shared" si="45"/>
        <v>0</v>
      </c>
      <c r="P93" s="35">
        <f t="shared" si="45"/>
        <v>0</v>
      </c>
      <c r="Q93" s="35">
        <f t="shared" si="45"/>
        <v>0</v>
      </c>
      <c r="R93" s="35">
        <f t="shared" si="45"/>
        <v>0</v>
      </c>
      <c r="S93" s="35">
        <f t="shared" si="45"/>
        <v>0</v>
      </c>
      <c r="T93" s="35">
        <f t="shared" si="45"/>
        <v>0</v>
      </c>
      <c r="U93" s="35">
        <f t="shared" si="45"/>
        <v>0</v>
      </c>
      <c r="V93" s="35">
        <f t="shared" si="45"/>
        <v>0</v>
      </c>
      <c r="W93" s="35">
        <f t="shared" si="45"/>
        <v>0</v>
      </c>
      <c r="X93" s="35">
        <f t="shared" si="45"/>
        <v>0</v>
      </c>
      <c r="Y93" s="35">
        <f t="shared" si="45"/>
        <v>0</v>
      </c>
      <c r="Z93" s="35">
        <f t="shared" si="45"/>
        <v>0</v>
      </c>
      <c r="AA93" s="35">
        <f t="shared" si="45"/>
        <v>0</v>
      </c>
      <c r="AB93" s="35">
        <f t="shared" si="45"/>
        <v>0</v>
      </c>
      <c r="AC93" s="35">
        <f t="shared" si="45"/>
        <v>0</v>
      </c>
      <c r="AD93" s="35">
        <f t="shared" si="45"/>
        <v>0</v>
      </c>
      <c r="AE93" s="35">
        <f t="shared" si="45"/>
        <v>0</v>
      </c>
      <c r="AF93" s="35">
        <f t="shared" si="45"/>
        <v>0</v>
      </c>
      <c r="AG93" s="35">
        <f t="shared" si="45"/>
        <v>0</v>
      </c>
      <c r="AH93" s="35">
        <f t="shared" si="45"/>
        <v>0</v>
      </c>
      <c r="AI93" s="35">
        <f t="shared" si="45"/>
        <v>0</v>
      </c>
      <c r="AJ93" s="35">
        <f t="shared" si="45"/>
        <v>0</v>
      </c>
      <c r="AK93" s="35">
        <f t="shared" si="45"/>
        <v>0</v>
      </c>
      <c r="AL93" s="35">
        <f t="shared" si="45"/>
        <v>0</v>
      </c>
      <c r="AM93" s="35">
        <f t="shared" si="45"/>
        <v>0</v>
      </c>
      <c r="AN93" s="35">
        <f t="shared" si="45"/>
        <v>0</v>
      </c>
      <c r="AO93" s="35">
        <f t="shared" si="45"/>
        <v>0</v>
      </c>
      <c r="AP93" s="35">
        <f t="shared" si="45"/>
        <v>0</v>
      </c>
      <c r="AQ93" s="35">
        <f t="shared" si="45"/>
        <v>0</v>
      </c>
      <c r="AR93" s="35">
        <f t="shared" si="45"/>
        <v>0</v>
      </c>
      <c r="AS93" s="35">
        <f t="shared" si="45"/>
        <v>0</v>
      </c>
      <c r="AT93" s="35">
        <f t="shared" si="45"/>
        <v>0</v>
      </c>
      <c r="AU93" s="194"/>
      <c r="AV93" s="194"/>
      <c r="AW93" s="194"/>
      <c r="AX93" s="194"/>
      <c r="AY93" s="195"/>
      <c r="AZ93" s="195"/>
      <c r="BA93" s="195"/>
      <c r="BB93" s="195"/>
      <c r="BC93" s="195"/>
      <c r="BD93" s="195"/>
      <c r="BE93" s="195"/>
      <c r="BF93" s="195"/>
      <c r="BG93" s="195"/>
      <c r="BH93" s="195"/>
      <c r="BI93" s="195"/>
      <c r="BJ93" s="195"/>
    </row>
    <row r="94" spans="1:62" ht="15.75" customHeight="1" outlineLevel="1" x14ac:dyDescent="0.3">
      <c r="A94" s="13"/>
      <c r="B94" s="13"/>
      <c r="C94" s="13"/>
      <c r="D94" s="270" t="str">
        <f t="shared" si="42"/>
        <v xml:space="preserve">  Миксинг </v>
      </c>
      <c r="E94" s="326" t="str">
        <f xml:space="preserve"> E51</f>
        <v>руб.</v>
      </c>
      <c r="F94" s="270"/>
      <c r="G94" s="270"/>
      <c r="H94" s="270"/>
      <c r="I94" s="19"/>
      <c r="J94" s="7"/>
      <c r="K94" s="268">
        <f t="shared" ref="K94:AT94" si="46" xml:space="preserve"> K51</f>
        <v>35000000</v>
      </c>
      <c r="L94" s="268">
        <f t="shared" si="46"/>
        <v>35000000</v>
      </c>
      <c r="M94" s="35">
        <f t="shared" si="46"/>
        <v>0</v>
      </c>
      <c r="N94" s="35">
        <f t="shared" si="46"/>
        <v>0</v>
      </c>
      <c r="O94" s="35">
        <f t="shared" si="46"/>
        <v>0</v>
      </c>
      <c r="P94" s="35">
        <f t="shared" si="46"/>
        <v>0</v>
      </c>
      <c r="Q94" s="35">
        <f t="shared" si="46"/>
        <v>0</v>
      </c>
      <c r="R94" s="35">
        <f t="shared" si="46"/>
        <v>0</v>
      </c>
      <c r="S94" s="35">
        <f t="shared" si="46"/>
        <v>0</v>
      </c>
      <c r="T94" s="35">
        <f t="shared" si="46"/>
        <v>0</v>
      </c>
      <c r="U94" s="35">
        <f t="shared" si="46"/>
        <v>0</v>
      </c>
      <c r="V94" s="35">
        <f t="shared" si="46"/>
        <v>0</v>
      </c>
      <c r="W94" s="35">
        <f t="shared" si="46"/>
        <v>0</v>
      </c>
      <c r="X94" s="35">
        <f t="shared" si="46"/>
        <v>0</v>
      </c>
      <c r="Y94" s="35">
        <f t="shared" si="46"/>
        <v>0</v>
      </c>
      <c r="Z94" s="35">
        <f t="shared" si="46"/>
        <v>0</v>
      </c>
      <c r="AA94" s="35">
        <f t="shared" si="46"/>
        <v>0</v>
      </c>
      <c r="AB94" s="35">
        <f t="shared" si="46"/>
        <v>0</v>
      </c>
      <c r="AC94" s="35">
        <f t="shared" si="46"/>
        <v>0</v>
      </c>
      <c r="AD94" s="35">
        <f t="shared" si="46"/>
        <v>0</v>
      </c>
      <c r="AE94" s="35">
        <f t="shared" si="46"/>
        <v>0</v>
      </c>
      <c r="AF94" s="35">
        <f t="shared" si="46"/>
        <v>0</v>
      </c>
      <c r="AG94" s="35">
        <f t="shared" si="46"/>
        <v>0</v>
      </c>
      <c r="AH94" s="35">
        <f t="shared" si="46"/>
        <v>0</v>
      </c>
      <c r="AI94" s="35">
        <f t="shared" si="46"/>
        <v>0</v>
      </c>
      <c r="AJ94" s="35">
        <f t="shared" si="46"/>
        <v>0</v>
      </c>
      <c r="AK94" s="35">
        <f t="shared" si="46"/>
        <v>0</v>
      </c>
      <c r="AL94" s="35">
        <f t="shared" si="46"/>
        <v>0</v>
      </c>
      <c r="AM94" s="35">
        <f t="shared" si="46"/>
        <v>0</v>
      </c>
      <c r="AN94" s="35">
        <f t="shared" si="46"/>
        <v>0</v>
      </c>
      <c r="AO94" s="35">
        <f t="shared" si="46"/>
        <v>0</v>
      </c>
      <c r="AP94" s="35">
        <f t="shared" si="46"/>
        <v>0</v>
      </c>
      <c r="AQ94" s="35">
        <f t="shared" si="46"/>
        <v>0</v>
      </c>
      <c r="AR94" s="35">
        <f t="shared" si="46"/>
        <v>0</v>
      </c>
      <c r="AS94" s="35">
        <f t="shared" si="46"/>
        <v>0</v>
      </c>
      <c r="AT94" s="35">
        <f t="shared" si="46"/>
        <v>0</v>
      </c>
      <c r="AU94" s="194"/>
      <c r="AV94" s="194"/>
      <c r="AW94" s="194"/>
      <c r="AX94" s="194"/>
      <c r="AY94" s="195"/>
      <c r="AZ94" s="195"/>
      <c r="BA94" s="195"/>
      <c r="BB94" s="195"/>
      <c r="BC94" s="195"/>
      <c r="BD94" s="195"/>
      <c r="BE94" s="195"/>
      <c r="BF94" s="195"/>
      <c r="BG94" s="195"/>
      <c r="BH94" s="195"/>
      <c r="BI94" s="195"/>
      <c r="BJ94" s="195"/>
    </row>
    <row r="95" spans="1:62" ht="15.75" customHeight="1" outlineLevel="1" x14ac:dyDescent="0.3">
      <c r="A95" s="13"/>
      <c r="B95" s="13"/>
      <c r="C95" s="115"/>
      <c r="D95" s="270" t="str">
        <f t="shared" si="42"/>
        <v xml:space="preserve">  Декантация и деактивация</v>
      </c>
      <c r="E95" s="326" t="str">
        <f xml:space="preserve"> E52</f>
        <v>руб.</v>
      </c>
      <c r="F95" s="270"/>
      <c r="G95" s="270"/>
      <c r="H95" s="270"/>
      <c r="I95" s="19"/>
      <c r="J95" s="7"/>
      <c r="K95" s="268">
        <f t="shared" ref="K95:AT95" si="47" xml:space="preserve"> K52</f>
        <v>27500000</v>
      </c>
      <c r="L95" s="268">
        <f t="shared" si="47"/>
        <v>27500000</v>
      </c>
      <c r="M95" s="35">
        <f t="shared" si="47"/>
        <v>0</v>
      </c>
      <c r="N95" s="35">
        <f t="shared" si="47"/>
        <v>0</v>
      </c>
      <c r="O95" s="35">
        <f t="shared" si="47"/>
        <v>0</v>
      </c>
      <c r="P95" s="35">
        <f t="shared" si="47"/>
        <v>0</v>
      </c>
      <c r="Q95" s="35">
        <f t="shared" si="47"/>
        <v>0</v>
      </c>
      <c r="R95" s="35">
        <f t="shared" si="47"/>
        <v>0</v>
      </c>
      <c r="S95" s="35">
        <f t="shared" si="47"/>
        <v>0</v>
      </c>
      <c r="T95" s="35">
        <f t="shared" si="47"/>
        <v>0</v>
      </c>
      <c r="U95" s="35">
        <f t="shared" si="47"/>
        <v>0</v>
      </c>
      <c r="V95" s="35">
        <f t="shared" si="47"/>
        <v>0</v>
      </c>
      <c r="W95" s="35">
        <f t="shared" si="47"/>
        <v>0</v>
      </c>
      <c r="X95" s="35">
        <f t="shared" si="47"/>
        <v>0</v>
      </c>
      <c r="Y95" s="35">
        <f t="shared" si="47"/>
        <v>0</v>
      </c>
      <c r="Z95" s="35">
        <f t="shared" si="47"/>
        <v>0</v>
      </c>
      <c r="AA95" s="35">
        <f t="shared" si="47"/>
        <v>0</v>
      </c>
      <c r="AB95" s="35">
        <f t="shared" si="47"/>
        <v>0</v>
      </c>
      <c r="AC95" s="35">
        <f t="shared" si="47"/>
        <v>0</v>
      </c>
      <c r="AD95" s="35">
        <f t="shared" si="47"/>
        <v>0</v>
      </c>
      <c r="AE95" s="35">
        <f t="shared" si="47"/>
        <v>0</v>
      </c>
      <c r="AF95" s="35">
        <f t="shared" si="47"/>
        <v>0</v>
      </c>
      <c r="AG95" s="35">
        <f t="shared" si="47"/>
        <v>0</v>
      </c>
      <c r="AH95" s="35">
        <f t="shared" si="47"/>
        <v>0</v>
      </c>
      <c r="AI95" s="35">
        <f t="shared" si="47"/>
        <v>0</v>
      </c>
      <c r="AJ95" s="35">
        <f t="shared" si="47"/>
        <v>0</v>
      </c>
      <c r="AK95" s="35">
        <f t="shared" si="47"/>
        <v>0</v>
      </c>
      <c r="AL95" s="35">
        <f t="shared" si="47"/>
        <v>0</v>
      </c>
      <c r="AM95" s="35">
        <f t="shared" si="47"/>
        <v>0</v>
      </c>
      <c r="AN95" s="35">
        <f t="shared" si="47"/>
        <v>0</v>
      </c>
      <c r="AO95" s="35">
        <f t="shared" si="47"/>
        <v>0</v>
      </c>
      <c r="AP95" s="35">
        <f t="shared" si="47"/>
        <v>0</v>
      </c>
      <c r="AQ95" s="35">
        <f t="shared" si="47"/>
        <v>0</v>
      </c>
      <c r="AR95" s="35">
        <f t="shared" si="47"/>
        <v>0</v>
      </c>
      <c r="AS95" s="35">
        <f t="shared" si="47"/>
        <v>0</v>
      </c>
      <c r="AT95" s="35">
        <f t="shared" si="47"/>
        <v>0</v>
      </c>
      <c r="AU95" s="194"/>
      <c r="AV95" s="194"/>
      <c r="AW95" s="194"/>
      <c r="AX95" s="194"/>
      <c r="AY95" s="195"/>
      <c r="AZ95" s="195"/>
      <c r="BA95" s="195"/>
      <c r="BB95" s="195"/>
      <c r="BC95" s="195"/>
      <c r="BD95" s="195"/>
      <c r="BE95" s="195"/>
      <c r="BF95" s="195"/>
      <c r="BG95" s="195"/>
      <c r="BH95" s="195"/>
      <c r="BI95" s="195"/>
      <c r="BJ95" s="195"/>
    </row>
    <row r="96" spans="1:62" ht="15.75" customHeight="1" outlineLevel="1" x14ac:dyDescent="0.3">
      <c r="A96" s="13"/>
      <c r="B96" s="13"/>
      <c r="C96" s="175"/>
      <c r="D96" s="270" t="str">
        <f t="shared" si="42"/>
        <v xml:space="preserve">  Гомогенизация и стерилизация</v>
      </c>
      <c r="E96" s="326" t="str">
        <f xml:space="preserve"> E53</f>
        <v>руб.</v>
      </c>
      <c r="F96" s="270"/>
      <c r="G96" s="270"/>
      <c r="H96" s="270"/>
      <c r="I96" s="19"/>
      <c r="J96" s="7"/>
      <c r="K96" s="268">
        <f t="shared" ref="K96:AT96" si="48" xml:space="preserve"> K53</f>
        <v>45000000</v>
      </c>
      <c r="L96" s="268">
        <f t="shared" si="48"/>
        <v>45000000</v>
      </c>
      <c r="M96" s="35">
        <f t="shared" si="48"/>
        <v>0</v>
      </c>
      <c r="N96" s="35">
        <f t="shared" si="48"/>
        <v>0</v>
      </c>
      <c r="O96" s="35">
        <f t="shared" si="48"/>
        <v>0</v>
      </c>
      <c r="P96" s="35">
        <f t="shared" si="48"/>
        <v>0</v>
      </c>
      <c r="Q96" s="35">
        <f t="shared" si="48"/>
        <v>0</v>
      </c>
      <c r="R96" s="35">
        <f t="shared" si="48"/>
        <v>0</v>
      </c>
      <c r="S96" s="35">
        <f t="shared" si="48"/>
        <v>0</v>
      </c>
      <c r="T96" s="35">
        <f t="shared" si="48"/>
        <v>0</v>
      </c>
      <c r="U96" s="35">
        <f t="shared" si="48"/>
        <v>0</v>
      </c>
      <c r="V96" s="35">
        <f t="shared" si="48"/>
        <v>0</v>
      </c>
      <c r="W96" s="35">
        <f t="shared" si="48"/>
        <v>0</v>
      </c>
      <c r="X96" s="35">
        <f t="shared" si="48"/>
        <v>0</v>
      </c>
      <c r="Y96" s="35">
        <f t="shared" si="48"/>
        <v>0</v>
      </c>
      <c r="Z96" s="35">
        <f t="shared" si="48"/>
        <v>0</v>
      </c>
      <c r="AA96" s="35">
        <f t="shared" si="48"/>
        <v>0</v>
      </c>
      <c r="AB96" s="35">
        <f t="shared" si="48"/>
        <v>0</v>
      </c>
      <c r="AC96" s="35">
        <f t="shared" si="48"/>
        <v>0</v>
      </c>
      <c r="AD96" s="35">
        <f t="shared" si="48"/>
        <v>0</v>
      </c>
      <c r="AE96" s="35">
        <f t="shared" si="48"/>
        <v>0</v>
      </c>
      <c r="AF96" s="35">
        <f t="shared" si="48"/>
        <v>0</v>
      </c>
      <c r="AG96" s="35">
        <f t="shared" si="48"/>
        <v>0</v>
      </c>
      <c r="AH96" s="35">
        <f t="shared" si="48"/>
        <v>0</v>
      </c>
      <c r="AI96" s="35">
        <f t="shared" si="48"/>
        <v>0</v>
      </c>
      <c r="AJ96" s="35">
        <f t="shared" si="48"/>
        <v>0</v>
      </c>
      <c r="AK96" s="35">
        <f t="shared" si="48"/>
        <v>0</v>
      </c>
      <c r="AL96" s="35">
        <f t="shared" si="48"/>
        <v>0</v>
      </c>
      <c r="AM96" s="35">
        <f t="shared" si="48"/>
        <v>0</v>
      </c>
      <c r="AN96" s="35">
        <f t="shared" si="48"/>
        <v>0</v>
      </c>
      <c r="AO96" s="35">
        <f t="shared" si="48"/>
        <v>0</v>
      </c>
      <c r="AP96" s="35">
        <f t="shared" si="48"/>
        <v>0</v>
      </c>
      <c r="AQ96" s="35">
        <f t="shared" si="48"/>
        <v>0</v>
      </c>
      <c r="AR96" s="35">
        <f t="shared" si="48"/>
        <v>0</v>
      </c>
      <c r="AS96" s="35">
        <f t="shared" si="48"/>
        <v>0</v>
      </c>
      <c r="AT96" s="35">
        <f t="shared" si="48"/>
        <v>0</v>
      </c>
      <c r="AU96" s="194"/>
      <c r="AV96" s="194"/>
      <c r="AW96" s="194"/>
      <c r="AX96" s="194"/>
      <c r="AY96" s="195"/>
      <c r="AZ96" s="195"/>
      <c r="BA96" s="195"/>
      <c r="BB96" s="195"/>
      <c r="BC96" s="195"/>
      <c r="BD96" s="195"/>
      <c r="BE96" s="195"/>
      <c r="BF96" s="195"/>
      <c r="BG96" s="195"/>
      <c r="BH96" s="195"/>
      <c r="BI96" s="195"/>
      <c r="BJ96" s="195"/>
    </row>
    <row r="97" spans="1:62" ht="15.75" customHeight="1" outlineLevel="1" x14ac:dyDescent="0.3">
      <c r="A97" s="13"/>
      <c r="B97" s="13"/>
      <c r="C97" s="13"/>
      <c r="D97" s="371" t="str">
        <f t="shared" si="42"/>
        <v>Упаковочная линия</v>
      </c>
      <c r="E97" s="372"/>
      <c r="F97" s="371"/>
      <c r="G97" s="371"/>
      <c r="H97" s="371"/>
      <c r="I97" s="56"/>
      <c r="J97" s="7"/>
      <c r="K97" s="268">
        <f t="shared" ref="K97:AT97" si="49" xml:space="preserve"> K54</f>
        <v>55000000</v>
      </c>
      <c r="L97" s="268">
        <f t="shared" si="49"/>
        <v>55000000</v>
      </c>
      <c r="M97" s="35">
        <f t="shared" si="49"/>
        <v>0</v>
      </c>
      <c r="N97" s="35">
        <f t="shared" si="49"/>
        <v>0</v>
      </c>
      <c r="O97" s="35">
        <f t="shared" si="49"/>
        <v>0</v>
      </c>
      <c r="P97" s="35">
        <f t="shared" si="49"/>
        <v>0</v>
      </c>
      <c r="Q97" s="35">
        <f t="shared" si="49"/>
        <v>0</v>
      </c>
      <c r="R97" s="35">
        <f t="shared" si="49"/>
        <v>0</v>
      </c>
      <c r="S97" s="35">
        <f t="shared" si="49"/>
        <v>0</v>
      </c>
      <c r="T97" s="35">
        <f t="shared" si="49"/>
        <v>0</v>
      </c>
      <c r="U97" s="35">
        <f t="shared" si="49"/>
        <v>0</v>
      </c>
      <c r="V97" s="35">
        <f t="shared" si="49"/>
        <v>0</v>
      </c>
      <c r="W97" s="35">
        <f t="shared" si="49"/>
        <v>0</v>
      </c>
      <c r="X97" s="35">
        <f t="shared" si="49"/>
        <v>0</v>
      </c>
      <c r="Y97" s="35">
        <f t="shared" si="49"/>
        <v>0</v>
      </c>
      <c r="Z97" s="35">
        <f t="shared" si="49"/>
        <v>0</v>
      </c>
      <c r="AA97" s="35">
        <f t="shared" si="49"/>
        <v>0</v>
      </c>
      <c r="AB97" s="35">
        <f t="shared" si="49"/>
        <v>0</v>
      </c>
      <c r="AC97" s="35">
        <f t="shared" si="49"/>
        <v>0</v>
      </c>
      <c r="AD97" s="35">
        <f t="shared" si="49"/>
        <v>0</v>
      </c>
      <c r="AE97" s="35">
        <f t="shared" si="49"/>
        <v>0</v>
      </c>
      <c r="AF97" s="35">
        <f t="shared" si="49"/>
        <v>0</v>
      </c>
      <c r="AG97" s="35">
        <f t="shared" si="49"/>
        <v>0</v>
      </c>
      <c r="AH97" s="35">
        <f t="shared" si="49"/>
        <v>0</v>
      </c>
      <c r="AI97" s="35">
        <f t="shared" si="49"/>
        <v>0</v>
      </c>
      <c r="AJ97" s="35">
        <f t="shared" si="49"/>
        <v>0</v>
      </c>
      <c r="AK97" s="35">
        <f t="shared" si="49"/>
        <v>0</v>
      </c>
      <c r="AL97" s="35">
        <f t="shared" si="49"/>
        <v>0</v>
      </c>
      <c r="AM97" s="35">
        <f t="shared" si="49"/>
        <v>0</v>
      </c>
      <c r="AN97" s="35">
        <f t="shared" si="49"/>
        <v>0</v>
      </c>
      <c r="AO97" s="35">
        <f t="shared" si="49"/>
        <v>0</v>
      </c>
      <c r="AP97" s="35">
        <f t="shared" si="49"/>
        <v>0</v>
      </c>
      <c r="AQ97" s="35">
        <f t="shared" si="49"/>
        <v>0</v>
      </c>
      <c r="AR97" s="35">
        <f t="shared" si="49"/>
        <v>0</v>
      </c>
      <c r="AS97" s="35">
        <f t="shared" si="49"/>
        <v>0</v>
      </c>
      <c r="AT97" s="35">
        <f t="shared" si="49"/>
        <v>0</v>
      </c>
      <c r="AU97" s="194"/>
      <c r="AV97" s="194"/>
      <c r="AW97" s="194"/>
      <c r="AX97" s="194"/>
      <c r="AY97" s="195"/>
      <c r="AZ97" s="195"/>
      <c r="BA97" s="195"/>
      <c r="BB97" s="195"/>
      <c r="BC97" s="195"/>
      <c r="BD97" s="195"/>
      <c r="BE97" s="195"/>
      <c r="BF97" s="195"/>
      <c r="BG97" s="195"/>
      <c r="BH97" s="195"/>
      <c r="BI97" s="195"/>
      <c r="BJ97" s="195"/>
    </row>
    <row r="98" spans="1:62" ht="15.75" customHeight="1" outlineLevel="1" x14ac:dyDescent="0.3">
      <c r="A98" s="13"/>
      <c r="B98" s="13"/>
      <c r="C98" s="13"/>
      <c r="D98" s="270" t="str">
        <f t="shared" si="42"/>
        <v xml:space="preserve">  Фасовка</v>
      </c>
      <c r="E98" s="326" t="str">
        <f xml:space="preserve"> E55</f>
        <v>руб.</v>
      </c>
      <c r="F98" s="270"/>
      <c r="G98" s="270"/>
      <c r="H98" s="270"/>
      <c r="I98" s="19"/>
      <c r="J98" s="8"/>
      <c r="K98" s="268">
        <f t="shared" ref="K98:AT98" si="50" xml:space="preserve"> K55</f>
        <v>35000000</v>
      </c>
      <c r="L98" s="268">
        <f t="shared" si="50"/>
        <v>35000000</v>
      </c>
      <c r="M98" s="35">
        <f t="shared" si="50"/>
        <v>0</v>
      </c>
      <c r="N98" s="35">
        <f t="shared" si="50"/>
        <v>0</v>
      </c>
      <c r="O98" s="35">
        <f t="shared" si="50"/>
        <v>0</v>
      </c>
      <c r="P98" s="35">
        <f t="shared" si="50"/>
        <v>0</v>
      </c>
      <c r="Q98" s="35">
        <f t="shared" si="50"/>
        <v>0</v>
      </c>
      <c r="R98" s="35">
        <f t="shared" si="50"/>
        <v>0</v>
      </c>
      <c r="S98" s="35">
        <f t="shared" si="50"/>
        <v>0</v>
      </c>
      <c r="T98" s="35">
        <f t="shared" si="50"/>
        <v>0</v>
      </c>
      <c r="U98" s="35">
        <f t="shared" si="50"/>
        <v>0</v>
      </c>
      <c r="V98" s="35">
        <f t="shared" si="50"/>
        <v>0</v>
      </c>
      <c r="W98" s="35">
        <f t="shared" si="50"/>
        <v>0</v>
      </c>
      <c r="X98" s="35">
        <f t="shared" si="50"/>
        <v>0</v>
      </c>
      <c r="Y98" s="35">
        <f t="shared" si="50"/>
        <v>0</v>
      </c>
      <c r="Z98" s="35">
        <f t="shared" si="50"/>
        <v>0</v>
      </c>
      <c r="AA98" s="35">
        <f t="shared" si="50"/>
        <v>0</v>
      </c>
      <c r="AB98" s="35">
        <f t="shared" si="50"/>
        <v>0</v>
      </c>
      <c r="AC98" s="35">
        <f t="shared" si="50"/>
        <v>0</v>
      </c>
      <c r="AD98" s="35">
        <f t="shared" si="50"/>
        <v>0</v>
      </c>
      <c r="AE98" s="35">
        <f t="shared" si="50"/>
        <v>0</v>
      </c>
      <c r="AF98" s="35">
        <f t="shared" si="50"/>
        <v>0</v>
      </c>
      <c r="AG98" s="35">
        <f t="shared" si="50"/>
        <v>0</v>
      </c>
      <c r="AH98" s="35">
        <f t="shared" si="50"/>
        <v>0</v>
      </c>
      <c r="AI98" s="35">
        <f t="shared" si="50"/>
        <v>0</v>
      </c>
      <c r="AJ98" s="35">
        <f t="shared" si="50"/>
        <v>0</v>
      </c>
      <c r="AK98" s="35">
        <f t="shared" si="50"/>
        <v>0</v>
      </c>
      <c r="AL98" s="35">
        <f t="shared" si="50"/>
        <v>0</v>
      </c>
      <c r="AM98" s="35">
        <f t="shared" si="50"/>
        <v>0</v>
      </c>
      <c r="AN98" s="35">
        <f t="shared" si="50"/>
        <v>0</v>
      </c>
      <c r="AO98" s="35">
        <f t="shared" si="50"/>
        <v>0</v>
      </c>
      <c r="AP98" s="35">
        <f t="shared" si="50"/>
        <v>0</v>
      </c>
      <c r="AQ98" s="35">
        <f t="shared" si="50"/>
        <v>0</v>
      </c>
      <c r="AR98" s="35">
        <f t="shared" si="50"/>
        <v>0</v>
      </c>
      <c r="AS98" s="35">
        <f t="shared" si="50"/>
        <v>0</v>
      </c>
      <c r="AT98" s="35">
        <f t="shared" si="50"/>
        <v>0</v>
      </c>
      <c r="AU98" s="194"/>
      <c r="AV98" s="194"/>
      <c r="AW98" s="194"/>
      <c r="AX98" s="194"/>
      <c r="AY98" s="195"/>
      <c r="AZ98" s="195"/>
      <c r="BA98" s="195"/>
      <c r="BB98" s="195"/>
      <c r="BC98" s="195"/>
      <c r="BD98" s="195"/>
      <c r="BE98" s="195"/>
      <c r="BF98" s="195"/>
      <c r="BG98" s="195"/>
      <c r="BH98" s="195"/>
      <c r="BI98" s="195"/>
      <c r="BJ98" s="195"/>
    </row>
    <row r="99" spans="1:62" ht="15.75" customHeight="1" outlineLevel="1" x14ac:dyDescent="0.3">
      <c r="A99" s="13"/>
      <c r="B99" s="13"/>
      <c r="C99" s="13"/>
      <c r="D99" s="270" t="str">
        <f t="shared" si="42"/>
        <v xml:space="preserve">  Группировка</v>
      </c>
      <c r="E99" s="326" t="str">
        <f xml:space="preserve"> E56</f>
        <v>руб.</v>
      </c>
      <c r="F99" s="270"/>
      <c r="G99" s="270"/>
      <c r="H99" s="270"/>
      <c r="I99" s="19"/>
      <c r="J99" s="7"/>
      <c r="K99" s="268">
        <f t="shared" ref="K99:AT99" si="51" xml:space="preserve"> K56</f>
        <v>20000000</v>
      </c>
      <c r="L99" s="268">
        <f t="shared" si="51"/>
        <v>20000000</v>
      </c>
      <c r="M99" s="35">
        <f t="shared" si="51"/>
        <v>0</v>
      </c>
      <c r="N99" s="35">
        <f t="shared" si="51"/>
        <v>0</v>
      </c>
      <c r="O99" s="35">
        <f t="shared" si="51"/>
        <v>0</v>
      </c>
      <c r="P99" s="35">
        <f t="shared" si="51"/>
        <v>0</v>
      </c>
      <c r="Q99" s="35">
        <f t="shared" si="51"/>
        <v>0</v>
      </c>
      <c r="R99" s="35">
        <f t="shared" si="51"/>
        <v>0</v>
      </c>
      <c r="S99" s="35">
        <f t="shared" si="51"/>
        <v>0</v>
      </c>
      <c r="T99" s="35">
        <f t="shared" si="51"/>
        <v>0</v>
      </c>
      <c r="U99" s="35">
        <f t="shared" si="51"/>
        <v>0</v>
      </c>
      <c r="V99" s="35">
        <f t="shared" si="51"/>
        <v>0</v>
      </c>
      <c r="W99" s="35">
        <f t="shared" si="51"/>
        <v>0</v>
      </c>
      <c r="X99" s="35">
        <f t="shared" si="51"/>
        <v>0</v>
      </c>
      <c r="Y99" s="35">
        <f t="shared" si="51"/>
        <v>0</v>
      </c>
      <c r="Z99" s="35">
        <f t="shared" si="51"/>
        <v>0</v>
      </c>
      <c r="AA99" s="35">
        <f t="shared" si="51"/>
        <v>0</v>
      </c>
      <c r="AB99" s="35">
        <f t="shared" si="51"/>
        <v>0</v>
      </c>
      <c r="AC99" s="35">
        <f t="shared" si="51"/>
        <v>0</v>
      </c>
      <c r="AD99" s="35">
        <f t="shared" si="51"/>
        <v>0</v>
      </c>
      <c r="AE99" s="35">
        <f t="shared" si="51"/>
        <v>0</v>
      </c>
      <c r="AF99" s="35">
        <f t="shared" si="51"/>
        <v>0</v>
      </c>
      <c r="AG99" s="35">
        <f t="shared" si="51"/>
        <v>0</v>
      </c>
      <c r="AH99" s="35">
        <f t="shared" si="51"/>
        <v>0</v>
      </c>
      <c r="AI99" s="35">
        <f t="shared" si="51"/>
        <v>0</v>
      </c>
      <c r="AJ99" s="35">
        <f t="shared" si="51"/>
        <v>0</v>
      </c>
      <c r="AK99" s="35">
        <f t="shared" si="51"/>
        <v>0</v>
      </c>
      <c r="AL99" s="35">
        <f t="shared" si="51"/>
        <v>0</v>
      </c>
      <c r="AM99" s="35">
        <f t="shared" si="51"/>
        <v>0</v>
      </c>
      <c r="AN99" s="35">
        <f t="shared" si="51"/>
        <v>0</v>
      </c>
      <c r="AO99" s="35">
        <f t="shared" si="51"/>
        <v>0</v>
      </c>
      <c r="AP99" s="35">
        <f t="shared" si="51"/>
        <v>0</v>
      </c>
      <c r="AQ99" s="35">
        <f t="shared" si="51"/>
        <v>0</v>
      </c>
      <c r="AR99" s="35">
        <f t="shared" si="51"/>
        <v>0</v>
      </c>
      <c r="AS99" s="35">
        <f t="shared" si="51"/>
        <v>0</v>
      </c>
      <c r="AT99" s="35">
        <f t="shared" si="51"/>
        <v>0</v>
      </c>
      <c r="AU99" s="200"/>
      <c r="AV99" s="200"/>
      <c r="AW99" s="200"/>
      <c r="AX99" s="200"/>
      <c r="AY99" s="195"/>
      <c r="AZ99" s="195"/>
      <c r="BA99" s="195"/>
      <c r="BB99" s="195"/>
      <c r="BC99" s="195"/>
      <c r="BD99" s="195"/>
      <c r="BE99" s="195"/>
      <c r="BF99" s="195"/>
      <c r="BG99" s="195"/>
      <c r="BH99" s="195"/>
      <c r="BI99" s="195"/>
      <c r="BJ99" s="195"/>
    </row>
    <row r="100" spans="1:62" ht="15.75" customHeight="1" outlineLevel="1" x14ac:dyDescent="0.3">
      <c r="A100" s="13"/>
      <c r="B100" s="13"/>
      <c r="C100" s="13"/>
      <c r="D100" s="371" t="str">
        <f t="shared" si="42"/>
        <v xml:space="preserve">Работа над технологией </v>
      </c>
      <c r="E100" s="372" t="str">
        <f xml:space="preserve"> E57</f>
        <v>руб.</v>
      </c>
      <c r="F100" s="371"/>
      <c r="G100" s="371"/>
      <c r="H100" s="371"/>
      <c r="I100" s="56"/>
      <c r="J100" s="7"/>
      <c r="K100" s="268">
        <f t="shared" ref="K100:AT100" si="52" xml:space="preserve"> K57</f>
        <v>90000000</v>
      </c>
      <c r="L100" s="268">
        <f t="shared" si="52"/>
        <v>90000000</v>
      </c>
      <c r="M100" s="35">
        <f t="shared" si="52"/>
        <v>0</v>
      </c>
      <c r="N100" s="35">
        <f t="shared" si="52"/>
        <v>0</v>
      </c>
      <c r="O100" s="35">
        <f t="shared" si="52"/>
        <v>0</v>
      </c>
      <c r="P100" s="35">
        <f t="shared" si="52"/>
        <v>0</v>
      </c>
      <c r="Q100" s="35">
        <f t="shared" si="52"/>
        <v>0</v>
      </c>
      <c r="R100" s="35">
        <f t="shared" si="52"/>
        <v>0</v>
      </c>
      <c r="S100" s="35">
        <f t="shared" si="52"/>
        <v>0</v>
      </c>
      <c r="T100" s="35">
        <f t="shared" si="52"/>
        <v>0</v>
      </c>
      <c r="U100" s="35">
        <f t="shared" si="52"/>
        <v>0</v>
      </c>
      <c r="V100" s="35">
        <f t="shared" si="52"/>
        <v>0</v>
      </c>
      <c r="W100" s="35">
        <f t="shared" si="52"/>
        <v>0</v>
      </c>
      <c r="X100" s="35">
        <f t="shared" si="52"/>
        <v>0</v>
      </c>
      <c r="Y100" s="35">
        <f t="shared" si="52"/>
        <v>0</v>
      </c>
      <c r="Z100" s="35">
        <f t="shared" si="52"/>
        <v>0</v>
      </c>
      <c r="AA100" s="35">
        <f t="shared" si="52"/>
        <v>0</v>
      </c>
      <c r="AB100" s="35">
        <f t="shared" si="52"/>
        <v>0</v>
      </c>
      <c r="AC100" s="35">
        <f t="shared" si="52"/>
        <v>0</v>
      </c>
      <c r="AD100" s="35">
        <f t="shared" si="52"/>
        <v>0</v>
      </c>
      <c r="AE100" s="35">
        <f t="shared" si="52"/>
        <v>0</v>
      </c>
      <c r="AF100" s="35">
        <f t="shared" si="52"/>
        <v>0</v>
      </c>
      <c r="AG100" s="35">
        <f t="shared" si="52"/>
        <v>0</v>
      </c>
      <c r="AH100" s="35">
        <f t="shared" si="52"/>
        <v>0</v>
      </c>
      <c r="AI100" s="35">
        <f t="shared" si="52"/>
        <v>0</v>
      </c>
      <c r="AJ100" s="35">
        <f t="shared" si="52"/>
        <v>0</v>
      </c>
      <c r="AK100" s="35">
        <f t="shared" si="52"/>
        <v>0</v>
      </c>
      <c r="AL100" s="35">
        <f t="shared" si="52"/>
        <v>0</v>
      </c>
      <c r="AM100" s="35">
        <f t="shared" si="52"/>
        <v>0</v>
      </c>
      <c r="AN100" s="35">
        <f t="shared" si="52"/>
        <v>0</v>
      </c>
      <c r="AO100" s="35">
        <f t="shared" si="52"/>
        <v>0</v>
      </c>
      <c r="AP100" s="35">
        <f t="shared" si="52"/>
        <v>0</v>
      </c>
      <c r="AQ100" s="35">
        <f t="shared" si="52"/>
        <v>0</v>
      </c>
      <c r="AR100" s="35">
        <f t="shared" si="52"/>
        <v>0</v>
      </c>
      <c r="AS100" s="35">
        <f t="shared" si="52"/>
        <v>0</v>
      </c>
      <c r="AT100" s="35">
        <f t="shared" si="52"/>
        <v>0</v>
      </c>
      <c r="AU100" s="194"/>
      <c r="AV100" s="194"/>
      <c r="AW100" s="194"/>
      <c r="AX100" s="194"/>
      <c r="AY100" s="195"/>
      <c r="AZ100" s="195"/>
      <c r="BA100" s="195"/>
      <c r="BB100" s="195"/>
      <c r="BC100" s="195"/>
      <c r="BD100" s="195"/>
      <c r="BE100" s="195"/>
      <c r="BF100" s="195"/>
      <c r="BG100" s="195"/>
      <c r="BH100" s="195"/>
      <c r="BI100" s="195"/>
      <c r="BJ100" s="195"/>
    </row>
    <row r="101" spans="1:62" ht="15.75" customHeight="1" outlineLevel="1" x14ac:dyDescent="0.35">
      <c r="A101" s="13"/>
      <c r="B101" s="13"/>
      <c r="C101" s="13"/>
      <c r="D101" s="373"/>
      <c r="E101" s="372"/>
      <c r="F101" s="374"/>
      <c r="G101" s="375"/>
      <c r="H101" s="376"/>
      <c r="I101" s="109"/>
      <c r="J101" s="7"/>
      <c r="K101" s="267"/>
      <c r="L101" s="267"/>
      <c r="M101" s="36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5"/>
      <c r="AZ101" s="195"/>
      <c r="BA101" s="195"/>
      <c r="BB101" s="195"/>
      <c r="BC101" s="195"/>
      <c r="BD101" s="195"/>
      <c r="BE101" s="195"/>
      <c r="BF101" s="195"/>
      <c r="BG101" s="195"/>
      <c r="BH101" s="195"/>
      <c r="BI101" s="195"/>
      <c r="BJ101" s="195"/>
    </row>
    <row r="102" spans="1:62" s="429" customFormat="1" ht="15.75" customHeight="1" outlineLevel="1" x14ac:dyDescent="0.3">
      <c r="A102" s="13"/>
      <c r="B102" s="13"/>
      <c r="C102" s="421"/>
      <c r="D102" s="422" t="s">
        <v>157</v>
      </c>
      <c r="E102" s="423" t="s">
        <v>63</v>
      </c>
      <c r="F102" s="424"/>
      <c r="G102" s="425"/>
      <c r="H102" s="423"/>
      <c r="I102" s="423"/>
      <c r="J102" s="7"/>
      <c r="K102" s="509">
        <f t="shared" ref="K102:AT102" ca="1" si="53" xml:space="preserve"> K103 - K104</f>
        <v>0</v>
      </c>
      <c r="L102" s="509">
        <f t="shared" ca="1" si="53"/>
        <v>160110255.51656675</v>
      </c>
      <c r="M102" s="509">
        <f t="shared" ca="1" si="53"/>
        <v>-7576544.1037122756</v>
      </c>
      <c r="N102" s="509">
        <f t="shared" ca="1" si="53"/>
        <v>-8351051.1967523843</v>
      </c>
      <c r="O102" s="509">
        <f t="shared" ca="1" si="53"/>
        <v>-13457450.546139166</v>
      </c>
      <c r="P102" s="509">
        <f t="shared" ca="1" si="53"/>
        <v>-23016153.450121887</v>
      </c>
      <c r="Q102" s="509">
        <f t="shared" ca="1" si="53"/>
        <v>-23249411.233665995</v>
      </c>
      <c r="R102" s="509">
        <f t="shared" ca="1" si="53"/>
        <v>-28643839.339196995</v>
      </c>
      <c r="S102" s="509">
        <f t="shared" ca="1" si="53"/>
        <v>-26050006.896286506</v>
      </c>
      <c r="T102" s="509">
        <f t="shared" ca="1" si="53"/>
        <v>-23617764.514455058</v>
      </c>
      <c r="U102" s="509">
        <f t="shared" ca="1" si="53"/>
        <v>-6148034.2362365015</v>
      </c>
      <c r="V102" s="509">
        <f t="shared" ca="1" si="53"/>
        <v>0</v>
      </c>
      <c r="W102" s="509">
        <f t="shared" ca="1" si="53"/>
        <v>33012112.892632108</v>
      </c>
      <c r="X102" s="509">
        <f t="shared" ca="1" si="53"/>
        <v>-28963278.324749757</v>
      </c>
      <c r="Y102" s="509">
        <f t="shared" ca="1" si="53"/>
        <v>-4048834.5678823516</v>
      </c>
      <c r="Z102" s="509">
        <f t="shared" ca="1" si="53"/>
        <v>0</v>
      </c>
      <c r="AA102" s="509">
        <f t="shared" ca="1" si="53"/>
        <v>0</v>
      </c>
      <c r="AB102" s="509">
        <f t="shared" ca="1" si="53"/>
        <v>0</v>
      </c>
      <c r="AC102" s="509">
        <f t="shared" ca="1" si="53"/>
        <v>0</v>
      </c>
      <c r="AD102" s="509">
        <f t="shared" ca="1" si="53"/>
        <v>0</v>
      </c>
      <c r="AE102" s="509">
        <f t="shared" ca="1" si="53"/>
        <v>0</v>
      </c>
      <c r="AF102" s="509">
        <f t="shared" ca="1" si="53"/>
        <v>0</v>
      </c>
      <c r="AG102" s="509">
        <f t="shared" ca="1" si="53"/>
        <v>0</v>
      </c>
      <c r="AH102" s="509">
        <f t="shared" ca="1" si="53"/>
        <v>0</v>
      </c>
      <c r="AI102" s="509">
        <f t="shared" ca="1" si="53"/>
        <v>0</v>
      </c>
      <c r="AJ102" s="509">
        <f t="shared" ca="1" si="53"/>
        <v>0</v>
      </c>
      <c r="AK102" s="509">
        <f t="shared" ca="1" si="53"/>
        <v>0</v>
      </c>
      <c r="AL102" s="509">
        <f t="shared" ca="1" si="53"/>
        <v>0</v>
      </c>
      <c r="AM102" s="509">
        <f t="shared" ca="1" si="53"/>
        <v>0</v>
      </c>
      <c r="AN102" s="509">
        <f t="shared" ca="1" si="53"/>
        <v>0</v>
      </c>
      <c r="AO102" s="509">
        <f t="shared" ca="1" si="53"/>
        <v>0</v>
      </c>
      <c r="AP102" s="509">
        <f t="shared" ca="1" si="53"/>
        <v>0</v>
      </c>
      <c r="AQ102" s="509">
        <f t="shared" ca="1" si="53"/>
        <v>0</v>
      </c>
      <c r="AR102" s="509">
        <f t="shared" ca="1" si="53"/>
        <v>0</v>
      </c>
      <c r="AS102" s="509">
        <f t="shared" ca="1" si="53"/>
        <v>0</v>
      </c>
      <c r="AT102" s="509">
        <f t="shared" ca="1" si="53"/>
        <v>0</v>
      </c>
      <c r="AU102" s="427"/>
      <c r="AV102" s="427"/>
      <c r="AW102" s="427"/>
      <c r="AX102" s="427"/>
      <c r="AY102" s="428"/>
      <c r="AZ102" s="428"/>
      <c r="BA102" s="428"/>
      <c r="BB102" s="428"/>
      <c r="BC102" s="428"/>
      <c r="BD102" s="428"/>
      <c r="BE102" s="428"/>
      <c r="BF102" s="428"/>
      <c r="BG102" s="428"/>
      <c r="BH102" s="428"/>
      <c r="BI102" s="428"/>
      <c r="BJ102" s="428"/>
    </row>
    <row r="103" spans="1:62" ht="15.75" customHeight="1" outlineLevel="1" x14ac:dyDescent="0.3">
      <c r="A103" s="13"/>
      <c r="B103" s="13"/>
      <c r="C103" s="13"/>
      <c r="D103" s="369" t="s">
        <v>158</v>
      </c>
      <c r="E103" s="370"/>
      <c r="F103" s="357"/>
      <c r="G103" s="358"/>
      <c r="H103" s="359"/>
      <c r="I103" s="138"/>
      <c r="J103" s="7"/>
      <c r="K103" s="267">
        <f t="shared" ref="K103:AT103" ca="1" si="54" xml:space="preserve"> K75</f>
        <v>0</v>
      </c>
      <c r="L103" s="267">
        <f t="shared" ca="1" si="54"/>
        <v>160110255.51656675</v>
      </c>
      <c r="M103" s="36">
        <f t="shared" ca="1" si="54"/>
        <v>0</v>
      </c>
      <c r="N103" s="36">
        <f t="shared" ca="1" si="54"/>
        <v>0</v>
      </c>
      <c r="O103" s="36">
        <f t="shared" ca="1" si="54"/>
        <v>0</v>
      </c>
      <c r="P103" s="36">
        <f t="shared" ca="1" si="54"/>
        <v>0</v>
      </c>
      <c r="Q103" s="36">
        <f t="shared" ca="1" si="54"/>
        <v>0</v>
      </c>
      <c r="R103" s="36">
        <f t="shared" ca="1" si="54"/>
        <v>0</v>
      </c>
      <c r="S103" s="36">
        <f t="shared" ca="1" si="54"/>
        <v>0</v>
      </c>
      <c r="T103" s="36">
        <f t="shared" ca="1" si="54"/>
        <v>0</v>
      </c>
      <c r="U103" s="36">
        <f t="shared" ca="1" si="54"/>
        <v>0</v>
      </c>
      <c r="V103" s="36">
        <f t="shared" ca="1" si="54"/>
        <v>0</v>
      </c>
      <c r="W103" s="36">
        <f t="shared" ca="1" si="54"/>
        <v>0</v>
      </c>
      <c r="X103" s="36">
        <f t="shared" ca="1" si="54"/>
        <v>0</v>
      </c>
      <c r="Y103" s="36">
        <f t="shared" ca="1" si="54"/>
        <v>0</v>
      </c>
      <c r="Z103" s="36">
        <f t="shared" ca="1" si="54"/>
        <v>0</v>
      </c>
      <c r="AA103" s="36">
        <f t="shared" ca="1" si="54"/>
        <v>0</v>
      </c>
      <c r="AB103" s="36">
        <f t="shared" ca="1" si="54"/>
        <v>0</v>
      </c>
      <c r="AC103" s="36">
        <f t="shared" ca="1" si="54"/>
        <v>0</v>
      </c>
      <c r="AD103" s="36">
        <f t="shared" ca="1" si="54"/>
        <v>0</v>
      </c>
      <c r="AE103" s="36">
        <f t="shared" ca="1" si="54"/>
        <v>0</v>
      </c>
      <c r="AF103" s="36">
        <f t="shared" ca="1" si="54"/>
        <v>0</v>
      </c>
      <c r="AG103" s="36">
        <f t="shared" ca="1" si="54"/>
        <v>0</v>
      </c>
      <c r="AH103" s="36">
        <f t="shared" ca="1" si="54"/>
        <v>0</v>
      </c>
      <c r="AI103" s="36">
        <f t="shared" ca="1" si="54"/>
        <v>0</v>
      </c>
      <c r="AJ103" s="36">
        <f t="shared" ca="1" si="54"/>
        <v>0</v>
      </c>
      <c r="AK103" s="36">
        <f t="shared" ca="1" si="54"/>
        <v>0</v>
      </c>
      <c r="AL103" s="36">
        <f t="shared" ca="1" si="54"/>
        <v>0</v>
      </c>
      <c r="AM103" s="36">
        <f t="shared" ca="1" si="54"/>
        <v>0</v>
      </c>
      <c r="AN103" s="36">
        <f t="shared" ca="1" si="54"/>
        <v>0</v>
      </c>
      <c r="AO103" s="36">
        <f t="shared" ca="1" si="54"/>
        <v>0</v>
      </c>
      <c r="AP103" s="36">
        <f t="shared" ca="1" si="54"/>
        <v>0</v>
      </c>
      <c r="AQ103" s="36">
        <f t="shared" ca="1" si="54"/>
        <v>0</v>
      </c>
      <c r="AR103" s="36">
        <f t="shared" ca="1" si="54"/>
        <v>0</v>
      </c>
      <c r="AS103" s="36">
        <f t="shared" ca="1" si="54"/>
        <v>0</v>
      </c>
      <c r="AT103" s="36">
        <f t="shared" ca="1" si="54"/>
        <v>0</v>
      </c>
      <c r="AU103" s="194"/>
      <c r="AV103" s="194"/>
      <c r="AW103" s="194"/>
      <c r="AX103" s="194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</row>
    <row r="104" spans="1:62" ht="15.75" customHeight="1" outlineLevel="1" x14ac:dyDescent="0.3">
      <c r="A104" s="13"/>
      <c r="B104" s="13"/>
      <c r="C104" s="13"/>
      <c r="D104" s="369" t="s">
        <v>159</v>
      </c>
      <c r="E104" s="370"/>
      <c r="F104" s="357"/>
      <c r="G104" s="358"/>
      <c r="H104" s="359"/>
      <c r="I104" s="138"/>
      <c r="J104" s="7"/>
      <c r="K104" s="267">
        <f t="shared" ref="K104:AT104" ca="1" si="55" xml:space="preserve"> K78</f>
        <v>0</v>
      </c>
      <c r="L104" s="267">
        <f t="shared" ca="1" si="55"/>
        <v>0</v>
      </c>
      <c r="M104" s="36">
        <f t="shared" ca="1" si="55"/>
        <v>7576544.1037122756</v>
      </c>
      <c r="N104" s="36">
        <f ca="1" xml:space="preserve"> N78</f>
        <v>8351051.1967523843</v>
      </c>
      <c r="O104" s="36">
        <f t="shared" ca="1" si="55"/>
        <v>13457450.546139166</v>
      </c>
      <c r="P104" s="36">
        <f t="shared" ca="1" si="55"/>
        <v>23016153.450121887</v>
      </c>
      <c r="Q104" s="36">
        <f t="shared" ca="1" si="55"/>
        <v>23249411.233665995</v>
      </c>
      <c r="R104" s="36">
        <f t="shared" ca="1" si="55"/>
        <v>28643839.339196995</v>
      </c>
      <c r="S104" s="36">
        <f t="shared" ca="1" si="55"/>
        <v>26050006.896286506</v>
      </c>
      <c r="T104" s="36">
        <f t="shared" ca="1" si="55"/>
        <v>23617764.514455058</v>
      </c>
      <c r="U104" s="36">
        <f t="shared" ca="1" si="55"/>
        <v>6148034.2362365015</v>
      </c>
      <c r="V104" s="36">
        <f t="shared" ca="1" si="55"/>
        <v>0</v>
      </c>
      <c r="W104" s="36">
        <f t="shared" ca="1" si="55"/>
        <v>-33012112.892632108</v>
      </c>
      <c r="X104" s="36">
        <f t="shared" ca="1" si="55"/>
        <v>28963278.324749757</v>
      </c>
      <c r="Y104" s="36">
        <f t="shared" ca="1" si="55"/>
        <v>4048834.5678823516</v>
      </c>
      <c r="Z104" s="36">
        <f t="shared" ca="1" si="55"/>
        <v>0</v>
      </c>
      <c r="AA104" s="36">
        <f t="shared" ca="1" si="55"/>
        <v>0</v>
      </c>
      <c r="AB104" s="36">
        <f t="shared" ca="1" si="55"/>
        <v>0</v>
      </c>
      <c r="AC104" s="36">
        <f t="shared" ca="1" si="55"/>
        <v>0</v>
      </c>
      <c r="AD104" s="36">
        <f t="shared" ca="1" si="55"/>
        <v>0</v>
      </c>
      <c r="AE104" s="36">
        <f t="shared" ca="1" si="55"/>
        <v>0</v>
      </c>
      <c r="AF104" s="36">
        <f t="shared" ca="1" si="55"/>
        <v>0</v>
      </c>
      <c r="AG104" s="36">
        <f t="shared" ca="1" si="55"/>
        <v>0</v>
      </c>
      <c r="AH104" s="36">
        <f t="shared" ca="1" si="55"/>
        <v>0</v>
      </c>
      <c r="AI104" s="36">
        <f t="shared" ca="1" si="55"/>
        <v>0</v>
      </c>
      <c r="AJ104" s="36">
        <f t="shared" ca="1" si="55"/>
        <v>0</v>
      </c>
      <c r="AK104" s="36">
        <f t="shared" ca="1" si="55"/>
        <v>0</v>
      </c>
      <c r="AL104" s="36">
        <f t="shared" ca="1" si="55"/>
        <v>0</v>
      </c>
      <c r="AM104" s="36">
        <f t="shared" ca="1" si="55"/>
        <v>0</v>
      </c>
      <c r="AN104" s="36">
        <f t="shared" ca="1" si="55"/>
        <v>0</v>
      </c>
      <c r="AO104" s="36">
        <f t="shared" ca="1" si="55"/>
        <v>0</v>
      </c>
      <c r="AP104" s="36">
        <f t="shared" ca="1" si="55"/>
        <v>0</v>
      </c>
      <c r="AQ104" s="36">
        <f t="shared" ca="1" si="55"/>
        <v>0</v>
      </c>
      <c r="AR104" s="36">
        <f t="shared" ca="1" si="55"/>
        <v>0</v>
      </c>
      <c r="AS104" s="36">
        <f t="shared" ca="1" si="55"/>
        <v>0</v>
      </c>
      <c r="AT104" s="36">
        <f t="shared" ca="1" si="55"/>
        <v>0</v>
      </c>
      <c r="AU104" s="194"/>
      <c r="AV104" s="194"/>
      <c r="AW104" s="194"/>
      <c r="AX104" s="194"/>
      <c r="AY104" s="195"/>
      <c r="AZ104" s="195"/>
      <c r="BA104" s="195"/>
      <c r="BB104" s="195"/>
      <c r="BC104" s="195"/>
      <c r="BD104" s="195"/>
      <c r="BE104" s="195"/>
      <c r="BF104" s="195"/>
      <c r="BG104" s="195"/>
      <c r="BH104" s="195"/>
      <c r="BI104" s="195"/>
      <c r="BJ104" s="195"/>
    </row>
    <row r="105" spans="1:62" ht="15.75" customHeight="1" outlineLevel="1" x14ac:dyDescent="0.3">
      <c r="A105" s="13"/>
      <c r="B105" s="13"/>
      <c r="C105" s="13"/>
      <c r="D105" s="369"/>
      <c r="E105" s="370"/>
      <c r="F105" s="357"/>
      <c r="G105" s="358"/>
      <c r="H105" s="359"/>
      <c r="I105" s="138"/>
      <c r="J105" s="7"/>
      <c r="K105" s="267"/>
      <c r="L105" s="267"/>
      <c r="M105" s="36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5"/>
      <c r="AZ105" s="195"/>
      <c r="BA105" s="195"/>
      <c r="BB105" s="195"/>
      <c r="BC105" s="195"/>
      <c r="BD105" s="195"/>
      <c r="BE105" s="195"/>
      <c r="BF105" s="195"/>
      <c r="BG105" s="195"/>
      <c r="BH105" s="195"/>
      <c r="BI105" s="195"/>
      <c r="BJ105" s="195"/>
    </row>
    <row r="106" spans="1:62" s="429" customFormat="1" ht="15.75" customHeight="1" outlineLevel="1" x14ac:dyDescent="0.3">
      <c r="A106" s="13"/>
      <c r="B106" s="13"/>
      <c r="C106" s="421"/>
      <c r="D106" s="422" t="s">
        <v>231</v>
      </c>
      <c r="E106" s="423"/>
      <c r="F106" s="424"/>
      <c r="G106" s="425"/>
      <c r="H106" s="426">
        <f ca="1" xml:space="preserve"> SUM(K106:AT106)</f>
        <v>430576768.34468323</v>
      </c>
      <c r="I106" s="423"/>
      <c r="J106" s="7"/>
      <c r="K106" s="509">
        <f ca="1" xml:space="preserve"> K81 - K91 + K102</f>
        <v>-297500000</v>
      </c>
      <c r="L106" s="426">
        <f t="shared" ref="L106:AT106" ca="1" si="56" xml:space="preserve"> L81 - L91 + L102</f>
        <v>-182830766.54970026</v>
      </c>
      <c r="M106" s="426">
        <f t="shared" ca="1" si="56"/>
        <v>-1359840.5263050878</v>
      </c>
      <c r="N106" s="426">
        <f t="shared" ca="1" si="56"/>
        <v>-1253701.7376399003</v>
      </c>
      <c r="O106" s="426">
        <f t="shared" ca="1" si="56"/>
        <v>-1224565.0593696348</v>
      </c>
      <c r="P106" s="426">
        <f t="shared" ca="1" si="56"/>
        <v>-260042.56843949482</v>
      </c>
      <c r="Q106" s="426">
        <f t="shared" ca="1" si="56"/>
        <v>-563730.38507050648</v>
      </c>
      <c r="R106" s="426">
        <f t="shared" ca="1" si="56"/>
        <v>-573862.79333072156</v>
      </c>
      <c r="S106" s="426">
        <f t="shared" ca="1" si="56"/>
        <v>-367008.03713081405</v>
      </c>
      <c r="T106" s="426">
        <f t="shared" ca="1" si="56"/>
        <v>-202244.3312375769</v>
      </c>
      <c r="U106" s="426">
        <f t="shared" ca="1" si="56"/>
        <v>20128437.523668926</v>
      </c>
      <c r="V106" s="426">
        <f t="shared" ca="1" si="56"/>
        <v>17746516.738130502</v>
      </c>
      <c r="W106" s="426">
        <f t="shared" ca="1" si="56"/>
        <v>0</v>
      </c>
      <c r="X106" s="426">
        <f t="shared" ca="1" si="56"/>
        <v>-202594.88460135832</v>
      </c>
      <c r="Y106" s="426">
        <f t="shared" ca="1" si="56"/>
        <v>10561887.217338476</v>
      </c>
      <c r="Z106" s="426">
        <f t="shared" ca="1" si="56"/>
        <v>15593155.983287966</v>
      </c>
      <c r="AA106" s="426">
        <f t="shared" ca="1" si="56"/>
        <v>25954479.288531132</v>
      </c>
      <c r="AB106" s="426">
        <f t="shared" ca="1" si="56"/>
        <v>48107587.805097654</v>
      </c>
      <c r="AC106" s="426">
        <f t="shared" ca="1" si="56"/>
        <v>51214934.329568692</v>
      </c>
      <c r="AD106" s="426">
        <f t="shared" ca="1" si="56"/>
        <v>63073944.164737299</v>
      </c>
      <c r="AE106" s="426">
        <f t="shared" ca="1" si="56"/>
        <v>57109874.28539829</v>
      </c>
      <c r="AF106" s="426">
        <f t="shared" ca="1" si="56"/>
        <v>51541449.290744781</v>
      </c>
      <c r="AG106" s="426">
        <f t="shared" ca="1" si="56"/>
        <v>55910835.472742423</v>
      </c>
      <c r="AH106" s="426">
        <f t="shared" ca="1" si="56"/>
        <v>31050858.531154975</v>
      </c>
      <c r="AI106" s="426">
        <f t="shared" ca="1" si="56"/>
        <v>16687514.418975163</v>
      </c>
      <c r="AJ106" s="426">
        <f t="shared" ca="1" si="56"/>
        <v>28904861.939051729</v>
      </c>
      <c r="AK106" s="426">
        <f t="shared" ca="1" si="56"/>
        <v>14052088.811180096</v>
      </c>
      <c r="AL106" s="426">
        <f t="shared" ca="1" si="56"/>
        <v>14861772.288633198</v>
      </c>
      <c r="AM106" s="426">
        <f t="shared" ca="1" si="56"/>
        <v>25368158.308994308</v>
      </c>
      <c r="AN106" s="426">
        <f t="shared" ca="1" si="56"/>
        <v>48129011.961543515</v>
      </c>
      <c r="AO106" s="426">
        <f t="shared" ca="1" si="56"/>
        <v>51337091.417404316</v>
      </c>
      <c r="AP106" s="426">
        <f t="shared" ca="1" si="56"/>
        <v>63639777.448538102</v>
      </c>
      <c r="AQ106" s="426">
        <f t="shared" ca="1" si="56"/>
        <v>57600829.732170932</v>
      </c>
      <c r="AR106" s="426">
        <f t="shared" ca="1" si="56"/>
        <v>51948887.086705148</v>
      </c>
      <c r="AS106" s="426">
        <f t="shared" ca="1" si="56"/>
        <v>58033351.440794051</v>
      </c>
      <c r="AT106" s="426">
        <f t="shared" ca="1" si="56"/>
        <v>38357819.73311685</v>
      </c>
      <c r="AU106" s="427"/>
      <c r="AV106" s="427"/>
      <c r="AW106" s="427"/>
      <c r="AX106" s="427"/>
      <c r="AY106" s="428"/>
      <c r="AZ106" s="428"/>
      <c r="BA106" s="428"/>
      <c r="BB106" s="428"/>
      <c r="BC106" s="428"/>
      <c r="BD106" s="428"/>
      <c r="BE106" s="428"/>
      <c r="BF106" s="428"/>
      <c r="BG106" s="428"/>
      <c r="BH106" s="428"/>
      <c r="BI106" s="428"/>
      <c r="BJ106" s="428"/>
    </row>
    <row r="107" spans="1:62" ht="15.75" customHeight="1" outlineLevel="1" x14ac:dyDescent="0.3">
      <c r="A107" s="13"/>
      <c r="B107" s="13"/>
      <c r="C107" s="233"/>
      <c r="D107" s="377" t="s">
        <v>188</v>
      </c>
      <c r="E107" s="378" t="s">
        <v>27</v>
      </c>
      <c r="F107" s="379"/>
      <c r="G107" s="380"/>
      <c r="H107" s="520">
        <f xml:space="preserve"> 'Assumptions and inputs'!H99</f>
        <v>0.13001309473684208</v>
      </c>
      <c r="I107" s="235"/>
      <c r="J107" s="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8"/>
      <c r="AV107" s="238"/>
      <c r="AW107" s="238"/>
      <c r="AX107" s="238"/>
    </row>
    <row r="108" spans="1:62" s="240" customFormat="1" ht="15.75" customHeight="1" outlineLevel="1" x14ac:dyDescent="0.35">
      <c r="A108" s="13"/>
      <c r="B108" s="13"/>
      <c r="C108" s="239"/>
      <c r="D108" s="381" t="s">
        <v>189</v>
      </c>
      <c r="E108" s="382" t="s">
        <v>27</v>
      </c>
      <c r="F108" s="383"/>
      <c r="G108" s="384"/>
      <c r="H108" s="385">
        <f xml:space="preserve"> (1 + H107) ^ (1 / 12) - 1</f>
        <v>1.0237819927156E-2</v>
      </c>
      <c r="J108" s="7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  <c r="AP108" s="241"/>
      <c r="AQ108" s="241"/>
      <c r="AR108" s="241"/>
      <c r="AS108" s="241"/>
      <c r="AT108" s="241"/>
      <c r="AU108" s="242"/>
      <c r="AV108" s="242"/>
      <c r="AW108" s="242"/>
      <c r="AX108" s="242"/>
    </row>
    <row r="109" spans="1:62" s="489" customFormat="1" ht="15.75" customHeight="1" outlineLevel="1" thickBot="1" x14ac:dyDescent="0.35">
      <c r="A109" s="233"/>
      <c r="B109" s="233"/>
      <c r="C109" s="479"/>
      <c r="D109" s="519" t="s">
        <v>325</v>
      </c>
      <c r="E109" s="481" t="s">
        <v>63</v>
      </c>
      <c r="F109" s="482"/>
      <c r="G109" s="483"/>
      <c r="H109" s="477">
        <f ca="1" xml:space="preserve"> SUM(K109:AT109)</f>
        <v>227880653.53242469</v>
      </c>
      <c r="I109" s="484"/>
      <c r="J109" s="7"/>
      <c r="K109" s="485">
        <f t="shared" ref="K109:AT109" ca="1" si="57" xml:space="preserve"> K106 / (1 + $H$108) ^ K7</f>
        <v>-294485114.4272657</v>
      </c>
      <c r="L109" s="485">
        <f t="shared" ca="1" si="57"/>
        <v>-179143903.88929731</v>
      </c>
      <c r="M109" s="486">
        <f t="shared" ca="1" si="57"/>
        <v>-1318915.9214915924</v>
      </c>
      <c r="N109" s="486">
        <f t="shared" ca="1" si="57"/>
        <v>-1203648.6573975778</v>
      </c>
      <c r="O109" s="486">
        <f t="shared" ca="1" si="57"/>
        <v>-1163760.8644894897</v>
      </c>
      <c r="P109" s="486">
        <f t="shared" ca="1" si="57"/>
        <v>-244626.0534077248</v>
      </c>
      <c r="Q109" s="486">
        <f t="shared" ca="1" si="57"/>
        <v>-524935.66786073847</v>
      </c>
      <c r="R109" s="486">
        <f t="shared" ca="1" si="57"/>
        <v>-528955.43500189972</v>
      </c>
      <c r="S109" s="486">
        <f t="shared" ca="1" si="57"/>
        <v>-334859.76480631833</v>
      </c>
      <c r="T109" s="486">
        <f t="shared" ca="1" si="57"/>
        <v>-182658.60113860643</v>
      </c>
      <c r="U109" s="486">
        <f t="shared" ca="1" si="57"/>
        <v>17994932.038541351</v>
      </c>
      <c r="V109" s="486">
        <f t="shared" ca="1" si="57"/>
        <v>15704700.078952027</v>
      </c>
      <c r="W109" s="486">
        <f t="shared" ca="1" si="57"/>
        <v>0</v>
      </c>
      <c r="X109" s="486">
        <f t="shared" ca="1" si="57"/>
        <v>-175670.06147949278</v>
      </c>
      <c r="Y109" s="486">
        <f t="shared" ca="1" si="57"/>
        <v>9065404.3598453198</v>
      </c>
      <c r="Z109" s="486">
        <f t="shared" ca="1" si="57"/>
        <v>13248174.964411318</v>
      </c>
      <c r="AA109" s="486">
        <f t="shared" ca="1" si="57"/>
        <v>21827838.35764936</v>
      </c>
      <c r="AB109" s="486">
        <f t="shared" ca="1" si="57"/>
        <v>40048694.80787047</v>
      </c>
      <c r="AC109" s="486">
        <f t="shared" ca="1" si="57"/>
        <v>42203433.31247282</v>
      </c>
      <c r="AD109" s="486">
        <f t="shared" ca="1" si="57"/>
        <v>51449070.026256621</v>
      </c>
      <c r="AE109" s="486">
        <f t="shared" ca="1" si="57"/>
        <v>46112123.34867353</v>
      </c>
      <c r="AF109" s="486">
        <f t="shared" ca="1" si="57"/>
        <v>41194280.320119619</v>
      </c>
      <c r="AG109" s="486">
        <f t="shared" ca="1" si="57"/>
        <v>44233637.305807658</v>
      </c>
      <c r="AH109" s="486">
        <f t="shared" ca="1" si="57"/>
        <v>24316813.292076994</v>
      </c>
      <c r="AI109" s="486">
        <f t="shared" ca="1" si="57"/>
        <v>12936031.922130883</v>
      </c>
      <c r="AJ109" s="486">
        <f t="shared" ca="1" si="57"/>
        <v>22179752.773608573</v>
      </c>
      <c r="AK109" s="486">
        <f t="shared" ca="1" si="57"/>
        <v>10673406.85785047</v>
      </c>
      <c r="AL109" s="486">
        <f t="shared" ca="1" si="57"/>
        <v>11174012.642090017</v>
      </c>
      <c r="AM109" s="486">
        <f t="shared" ca="1" si="57"/>
        <v>18880081.809281334</v>
      </c>
      <c r="AN109" s="486">
        <f t="shared" ca="1" si="57"/>
        <v>35456695.339525715</v>
      </c>
      <c r="AO109" s="486">
        <f t="shared" ca="1" si="57"/>
        <v>37436819.538838997</v>
      </c>
      <c r="AP109" s="486">
        <f t="shared" ca="1" si="57"/>
        <v>45938066.887569241</v>
      </c>
      <c r="AQ109" s="486">
        <f t="shared" ca="1" si="57"/>
        <v>41157518.29867065</v>
      </c>
      <c r="AR109" s="486">
        <f t="shared" ca="1" si="57"/>
        <v>36742869.094965734</v>
      </c>
      <c r="AS109" s="486">
        <f t="shared" ca="1" si="57"/>
        <v>40630376.470191233</v>
      </c>
      <c r="AT109" s="486">
        <f t="shared" ca="1" si="57"/>
        <v>26582969.028661184</v>
      </c>
      <c r="AU109" s="487"/>
      <c r="AV109" s="487"/>
      <c r="AW109" s="487"/>
      <c r="AX109" s="487"/>
      <c r="AY109" s="488"/>
      <c r="AZ109" s="488"/>
      <c r="BA109" s="488"/>
      <c r="BB109" s="488"/>
      <c r="BC109" s="488"/>
      <c r="BD109" s="488"/>
      <c r="BE109" s="488"/>
      <c r="BF109" s="488"/>
      <c r="BG109" s="488"/>
      <c r="BH109" s="488"/>
      <c r="BI109" s="488"/>
      <c r="BJ109" s="488"/>
    </row>
    <row r="110" spans="1:62" ht="15.75" customHeight="1" thickTop="1" x14ac:dyDescent="0.3">
      <c r="A110" s="13"/>
      <c r="B110" s="13"/>
      <c r="C110" s="13"/>
      <c r="D110" s="369"/>
      <c r="E110" s="367"/>
      <c r="F110" s="386"/>
      <c r="G110" s="368"/>
      <c r="H110" s="367"/>
      <c r="I110" s="143"/>
      <c r="J110" s="7"/>
      <c r="K110" s="143"/>
      <c r="L110" s="143"/>
      <c r="M110" s="14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62" ht="15.75" customHeight="1" x14ac:dyDescent="0.3">
      <c r="A111" s="13"/>
      <c r="B111" s="13"/>
      <c r="C111" s="13"/>
      <c r="D111" s="369" t="s">
        <v>311</v>
      </c>
      <c r="E111" s="382" t="s">
        <v>72</v>
      </c>
      <c r="F111" s="386"/>
      <c r="G111" s="368"/>
      <c r="H111" s="367"/>
      <c r="I111" s="143"/>
      <c r="J111" s="7"/>
      <c r="K111" s="142">
        <f ca="1" xml:space="preserve"> MAX(K106 + J111, 0)</f>
        <v>0</v>
      </c>
      <c r="L111" s="142">
        <f t="shared" ref="L111:AS111" ca="1" si="58" xml:space="preserve"> MAX(L106 + K111, 0)</f>
        <v>0</v>
      </c>
      <c r="M111" s="142">
        <f t="shared" ca="1" si="58"/>
        <v>0</v>
      </c>
      <c r="N111" s="142">
        <f t="shared" ca="1" si="58"/>
        <v>0</v>
      </c>
      <c r="O111" s="142">
        <f t="shared" ca="1" si="58"/>
        <v>0</v>
      </c>
      <c r="P111" s="142">
        <f t="shared" ca="1" si="58"/>
        <v>0</v>
      </c>
      <c r="Q111" s="142">
        <f t="shared" ca="1" si="58"/>
        <v>0</v>
      </c>
      <c r="R111" s="142">
        <f t="shared" ca="1" si="58"/>
        <v>0</v>
      </c>
      <c r="S111" s="142">
        <f t="shared" ca="1" si="58"/>
        <v>0</v>
      </c>
      <c r="T111" s="142">
        <f t="shared" ca="1" si="58"/>
        <v>0</v>
      </c>
      <c r="U111" s="142">
        <f t="shared" ca="1" si="58"/>
        <v>20128437.523668926</v>
      </c>
      <c r="V111" s="142">
        <f t="shared" ca="1" si="58"/>
        <v>37874954.261799425</v>
      </c>
      <c r="W111" s="142">
        <f t="shared" ca="1" si="58"/>
        <v>37874954.261799425</v>
      </c>
      <c r="X111" s="142">
        <f t="shared" ca="1" si="58"/>
        <v>37672359.37719807</v>
      </c>
      <c r="Y111" s="142">
        <f t="shared" ca="1" si="58"/>
        <v>48234246.594536543</v>
      </c>
      <c r="Z111" s="142">
        <f t="shared" ca="1" si="58"/>
        <v>63827402.577824511</v>
      </c>
      <c r="AA111" s="142">
        <f t="shared" ca="1" si="58"/>
        <v>89781881.866355643</v>
      </c>
      <c r="AB111" s="142">
        <f t="shared" ca="1" si="58"/>
        <v>137889469.6714533</v>
      </c>
      <c r="AC111" s="142">
        <f t="shared" ca="1" si="58"/>
        <v>189104404.00102198</v>
      </c>
      <c r="AD111" s="142">
        <f t="shared" ca="1" si="58"/>
        <v>252178348.16575927</v>
      </c>
      <c r="AE111" s="142">
        <f t="shared" ca="1" si="58"/>
        <v>309288222.45115757</v>
      </c>
      <c r="AF111" s="142">
        <f ca="1" xml:space="preserve"> MAX(AF106 + AE111, 0)</f>
        <v>360829671.74190235</v>
      </c>
      <c r="AG111" s="142">
        <f t="shared" ca="1" si="58"/>
        <v>416740507.21464479</v>
      </c>
      <c r="AH111" s="142">
        <f t="shared" ca="1" si="58"/>
        <v>447791365.74579978</v>
      </c>
      <c r="AI111" s="142">
        <f t="shared" ca="1" si="58"/>
        <v>464478880.16477495</v>
      </c>
      <c r="AJ111" s="142">
        <f t="shared" ca="1" si="58"/>
        <v>493383742.1038267</v>
      </c>
      <c r="AK111" s="142">
        <f t="shared" ca="1" si="58"/>
        <v>507435830.91500682</v>
      </c>
      <c r="AL111" s="142">
        <f t="shared" ca="1" si="58"/>
        <v>522297603.20363998</v>
      </c>
      <c r="AM111" s="142">
        <f t="shared" ca="1" si="58"/>
        <v>547665761.51263428</v>
      </c>
      <c r="AN111" s="142">
        <f t="shared" ca="1" si="58"/>
        <v>595794773.47417784</v>
      </c>
      <c r="AO111" s="142">
        <f t="shared" ca="1" si="58"/>
        <v>647131864.89158213</v>
      </c>
      <c r="AP111" s="142">
        <f t="shared" ca="1" si="58"/>
        <v>710771642.3401202</v>
      </c>
      <c r="AQ111" s="142">
        <f t="shared" ca="1" si="58"/>
        <v>768372472.07229114</v>
      </c>
      <c r="AR111" s="142">
        <f t="shared" ca="1" si="58"/>
        <v>820321359.15899634</v>
      </c>
      <c r="AS111" s="142">
        <f t="shared" ca="1" si="58"/>
        <v>878354710.59979033</v>
      </c>
      <c r="AT111" s="142">
        <f ca="1" xml:space="preserve"> MAX(AT106 + AS111, 0)</f>
        <v>916712530.3329072</v>
      </c>
      <c r="AU111" s="7"/>
      <c r="AV111" s="7"/>
      <c r="AW111" s="7"/>
      <c r="AX111" s="7"/>
    </row>
    <row r="112" spans="1:62" ht="15.75" customHeight="1" x14ac:dyDescent="0.3">
      <c r="A112" s="13"/>
      <c r="B112" s="13"/>
      <c r="C112" s="13"/>
      <c r="D112" s="369"/>
      <c r="E112" s="367"/>
      <c r="F112" s="386"/>
      <c r="G112" s="368"/>
      <c r="H112" s="367"/>
      <c r="I112" s="143"/>
      <c r="J112" s="7"/>
      <c r="K112" s="143"/>
      <c r="L112" s="143"/>
      <c r="M112" s="14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5.75" customHeight="1" x14ac:dyDescent="0.3">
      <c r="A113" s="13"/>
      <c r="B113" s="13"/>
      <c r="C113" s="13"/>
      <c r="D113" s="136"/>
      <c r="E113" s="143"/>
      <c r="F113" s="147"/>
      <c r="G113" s="148"/>
      <c r="H113" s="143"/>
      <c r="I113" s="143"/>
      <c r="J113" s="7"/>
      <c r="K113" s="143"/>
      <c r="L113" s="143"/>
      <c r="M113" s="14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5.75" customHeight="1" x14ac:dyDescent="0.3">
      <c r="A114" s="13"/>
      <c r="B114" s="13"/>
      <c r="C114" s="13"/>
      <c r="D114" s="136"/>
      <c r="E114" s="143"/>
      <c r="F114" s="147"/>
      <c r="G114" s="148"/>
      <c r="H114" s="143"/>
      <c r="I114" s="143"/>
      <c r="J114" s="7"/>
      <c r="K114" s="143"/>
      <c r="L114" s="143"/>
      <c r="M114" s="14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5.75" customHeight="1" x14ac:dyDescent="0.3">
      <c r="A115" s="13"/>
      <c r="B115" s="13"/>
      <c r="C115" s="13"/>
      <c r="D115" s="136"/>
      <c r="E115" s="143"/>
      <c r="F115" s="147"/>
      <c r="G115" s="148"/>
      <c r="H115" s="143"/>
      <c r="I115" s="143"/>
      <c r="J115" s="7"/>
      <c r="K115" s="143"/>
      <c r="L115" s="143"/>
      <c r="M115" s="14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5.75" customHeight="1" x14ac:dyDescent="0.3">
      <c r="A116" s="13"/>
      <c r="B116" s="13"/>
      <c r="C116" s="13"/>
      <c r="D116" s="136"/>
      <c r="E116" s="143"/>
      <c r="F116" s="147"/>
      <c r="G116" s="148"/>
      <c r="H116" s="143"/>
      <c r="I116" s="143"/>
      <c r="J116" s="7"/>
      <c r="K116" s="143"/>
      <c r="L116" s="143"/>
      <c r="M116" s="14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5.75" customHeight="1" x14ac:dyDescent="0.3">
      <c r="A117" s="13"/>
      <c r="B117" s="13"/>
      <c r="C117" s="13"/>
      <c r="D117" s="136"/>
      <c r="E117" s="143"/>
      <c r="F117" s="147"/>
      <c r="G117" s="148"/>
      <c r="H117" s="143"/>
      <c r="I117" s="143"/>
      <c r="J117" s="7"/>
      <c r="K117" s="143"/>
      <c r="L117" s="143"/>
      <c r="M117" s="14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5.75" customHeight="1" x14ac:dyDescent="0.3">
      <c r="A118" s="13"/>
      <c r="B118" s="13"/>
      <c r="C118" s="13"/>
      <c r="D118" s="136"/>
      <c r="E118" s="143"/>
      <c r="F118" s="147"/>
      <c r="G118" s="148"/>
      <c r="H118" s="143"/>
      <c r="I118" s="143"/>
      <c r="J118" s="7"/>
      <c r="K118" s="143"/>
      <c r="L118" s="143"/>
      <c r="M118" s="14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5.75" customHeight="1" x14ac:dyDescent="0.3">
      <c r="A119" s="13"/>
      <c r="B119" s="13"/>
      <c r="C119" s="13"/>
      <c r="D119" s="136"/>
      <c r="E119" s="143"/>
      <c r="F119" s="147"/>
      <c r="G119" s="148"/>
      <c r="H119" s="143"/>
      <c r="I119" s="143"/>
      <c r="J119" s="7"/>
      <c r="K119" s="143"/>
      <c r="L119" s="143"/>
      <c r="M119" s="14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5.75" customHeight="1" x14ac:dyDescent="0.3">
      <c r="A120" s="13"/>
      <c r="B120" s="13"/>
      <c r="C120" s="13"/>
      <c r="D120" s="136"/>
      <c r="E120" s="143"/>
      <c r="F120" s="147"/>
      <c r="G120" s="148"/>
      <c r="H120" s="143"/>
      <c r="I120" s="143"/>
      <c r="J120" s="7"/>
      <c r="K120" s="143"/>
      <c r="L120" s="143"/>
      <c r="M120" s="14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5.75" customHeight="1" x14ac:dyDescent="0.3">
      <c r="A121" s="13"/>
      <c r="B121" s="13"/>
      <c r="C121" s="13"/>
      <c r="D121" s="136"/>
      <c r="E121" s="143"/>
      <c r="F121" s="147"/>
      <c r="G121" s="148"/>
      <c r="H121" s="143"/>
      <c r="I121" s="143"/>
      <c r="J121" s="7"/>
      <c r="K121" s="143"/>
      <c r="L121" s="143"/>
      <c r="M121" s="14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5.75" customHeight="1" x14ac:dyDescent="0.3">
      <c r="A122" s="13"/>
      <c r="B122" s="13"/>
      <c r="C122" s="13"/>
      <c r="D122" s="136"/>
      <c r="E122" s="143"/>
      <c r="F122" s="147"/>
      <c r="G122" s="148"/>
      <c r="H122" s="143"/>
      <c r="I122" s="143"/>
      <c r="J122" s="7"/>
      <c r="K122" s="143"/>
      <c r="L122" s="143"/>
      <c r="M122" s="14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5.75" customHeight="1" x14ac:dyDescent="0.3">
      <c r="A123" s="13"/>
      <c r="B123" s="13"/>
      <c r="C123" s="13"/>
      <c r="D123" s="136"/>
      <c r="E123" s="143"/>
      <c r="F123" s="147"/>
      <c r="G123" s="148"/>
      <c r="H123" s="143"/>
      <c r="I123" s="143"/>
      <c r="J123" s="7"/>
      <c r="K123" s="143"/>
      <c r="L123" s="143"/>
      <c r="M123" s="14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5.75" customHeight="1" x14ac:dyDescent="0.3">
      <c r="A124" s="13"/>
      <c r="B124" s="13"/>
      <c r="C124" s="13"/>
      <c r="D124" s="136"/>
      <c r="E124" s="143"/>
      <c r="F124" s="147"/>
      <c r="G124" s="148"/>
      <c r="H124" s="143"/>
      <c r="I124" s="143"/>
      <c r="J124" s="7"/>
      <c r="K124" s="143"/>
      <c r="L124" s="143"/>
      <c r="M124" s="14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5.75" customHeight="1" x14ac:dyDescent="0.3">
      <c r="A125" s="13"/>
      <c r="B125" s="13"/>
      <c r="C125" s="13"/>
      <c r="D125" s="136"/>
      <c r="E125" s="143"/>
      <c r="F125" s="147"/>
      <c r="G125" s="148"/>
      <c r="H125" s="143"/>
      <c r="I125" s="143"/>
      <c r="J125" s="7"/>
      <c r="K125" s="143"/>
      <c r="L125" s="143"/>
      <c r="M125" s="14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5.75" customHeight="1" x14ac:dyDescent="0.3">
      <c r="A126" s="13"/>
      <c r="B126" s="13"/>
      <c r="C126" s="13"/>
      <c r="D126" s="136"/>
      <c r="E126" s="143"/>
      <c r="F126" s="147"/>
      <c r="G126" s="148"/>
      <c r="H126" s="143"/>
      <c r="I126" s="143"/>
      <c r="J126" s="7"/>
      <c r="K126" s="143"/>
      <c r="L126" s="143"/>
      <c r="M126" s="14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5.75" customHeight="1" x14ac:dyDescent="0.3">
      <c r="A127" s="13"/>
      <c r="B127" s="13"/>
      <c r="C127" s="13"/>
      <c r="D127" s="136"/>
      <c r="E127" s="143"/>
      <c r="F127" s="147"/>
      <c r="G127" s="148"/>
      <c r="H127" s="143"/>
      <c r="I127" s="143"/>
      <c r="J127" s="7"/>
      <c r="K127" s="143"/>
      <c r="L127" s="143"/>
      <c r="M127" s="14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5.75" customHeight="1" x14ac:dyDescent="0.3">
      <c r="A128" s="13"/>
      <c r="B128" s="13"/>
      <c r="C128" s="13"/>
      <c r="D128" s="136"/>
      <c r="E128" s="143"/>
      <c r="F128" s="147"/>
      <c r="G128" s="148"/>
      <c r="H128" s="143"/>
      <c r="I128" s="143"/>
      <c r="J128" s="7"/>
      <c r="K128" s="143"/>
      <c r="L128" s="143"/>
      <c r="M128" s="14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5.75" customHeight="1" x14ac:dyDescent="0.3">
      <c r="A129" s="13"/>
      <c r="B129" s="13"/>
      <c r="C129" s="13"/>
      <c r="D129" s="136"/>
      <c r="E129" s="143"/>
      <c r="F129" s="147"/>
      <c r="G129" s="148"/>
      <c r="H129" s="143"/>
      <c r="I129" s="143"/>
      <c r="J129" s="7"/>
      <c r="K129" s="143"/>
      <c r="L129" s="143"/>
      <c r="M129" s="14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5.75" customHeight="1" x14ac:dyDescent="0.3">
      <c r="A130" s="13"/>
      <c r="B130" s="13"/>
      <c r="C130" s="13"/>
      <c r="D130" s="9"/>
      <c r="E130" s="39"/>
      <c r="F130" s="40"/>
      <c r="G130" s="40"/>
      <c r="H130" s="46"/>
      <c r="I130" s="46"/>
      <c r="J130" s="7"/>
      <c r="K130" s="43"/>
      <c r="L130" s="43"/>
      <c r="M130" s="4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5.75" customHeight="1" x14ac:dyDescent="0.3">
      <c r="A131" s="13"/>
      <c r="B131" s="13"/>
      <c r="C131" s="13"/>
      <c r="D131" s="9"/>
      <c r="E131" s="39"/>
      <c r="F131" s="40"/>
      <c r="G131" s="40"/>
      <c r="H131" s="46"/>
      <c r="I131" s="46"/>
      <c r="J131" s="7"/>
      <c r="K131" s="43"/>
      <c r="L131" s="43"/>
      <c r="M131" s="4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5.75" customHeight="1" x14ac:dyDescent="0.3">
      <c r="A132" s="13"/>
      <c r="B132" s="13"/>
      <c r="C132" s="13"/>
      <c r="D132" s="9"/>
      <c r="E132" s="39"/>
      <c r="F132" s="40"/>
      <c r="G132" s="40"/>
      <c r="H132" s="46"/>
      <c r="I132" s="46"/>
      <c r="J132" s="7"/>
      <c r="K132" s="43"/>
      <c r="L132" s="43"/>
      <c r="M132" s="4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5.75" customHeight="1" x14ac:dyDescent="0.3">
      <c r="A133" s="13"/>
      <c r="B133" s="13"/>
      <c r="C133" s="13"/>
      <c r="D133" s="9"/>
      <c r="E133" s="39"/>
      <c r="F133" s="40"/>
      <c r="G133" s="40"/>
      <c r="H133" s="46"/>
      <c r="I133" s="46"/>
      <c r="J133" s="7"/>
      <c r="K133" s="43"/>
      <c r="L133" s="43"/>
      <c r="M133" s="4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5.75" customHeight="1" x14ac:dyDescent="0.3">
      <c r="A134" s="13"/>
      <c r="B134" s="13"/>
      <c r="C134" s="13"/>
      <c r="D134" s="9"/>
      <c r="E134" s="39"/>
      <c r="F134" s="40"/>
      <c r="G134" s="40"/>
      <c r="H134" s="46"/>
      <c r="I134" s="46"/>
      <c r="J134" s="7"/>
      <c r="K134" s="43"/>
      <c r="L134" s="43"/>
      <c r="M134" s="4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5.75" customHeight="1" x14ac:dyDescent="0.3">
      <c r="A135" s="13"/>
      <c r="B135" s="13"/>
      <c r="C135" s="13"/>
      <c r="D135" s="9"/>
      <c r="E135" s="39"/>
      <c r="F135" s="40"/>
      <c r="G135" s="40"/>
      <c r="H135" s="46"/>
      <c r="I135" s="46"/>
      <c r="J135" s="7"/>
      <c r="K135" s="43"/>
      <c r="L135" s="43"/>
      <c r="M135" s="4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5.75" customHeight="1" x14ac:dyDescent="0.3">
      <c r="A136" s="13"/>
      <c r="B136" s="13"/>
      <c r="C136" s="13"/>
      <c r="D136" s="9"/>
      <c r="E136" s="39"/>
      <c r="F136" s="40"/>
      <c r="G136" s="40"/>
      <c r="H136" s="46"/>
      <c r="I136" s="46"/>
      <c r="J136" s="7"/>
      <c r="K136" s="43"/>
      <c r="L136" s="43"/>
      <c r="M136" s="4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5.75" customHeight="1" x14ac:dyDescent="0.3">
      <c r="A137" s="13"/>
      <c r="B137" s="13"/>
      <c r="C137" s="13"/>
      <c r="D137" s="9"/>
      <c r="E137" s="39"/>
      <c r="F137" s="40"/>
      <c r="G137" s="40"/>
      <c r="H137" s="46"/>
      <c r="I137" s="46"/>
      <c r="J137" s="7"/>
      <c r="K137" s="43"/>
      <c r="L137" s="43"/>
      <c r="M137" s="4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5.75" customHeight="1" x14ac:dyDescent="0.3">
      <c r="A138" s="13"/>
      <c r="B138" s="13"/>
      <c r="C138" s="13"/>
      <c r="D138" s="9"/>
      <c r="E138" s="39"/>
      <c r="F138" s="40"/>
      <c r="G138" s="40"/>
      <c r="H138" s="46"/>
      <c r="I138" s="46"/>
      <c r="J138" s="7"/>
      <c r="K138" s="43"/>
      <c r="L138" s="43"/>
      <c r="M138" s="4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5.75" customHeight="1" x14ac:dyDescent="0.3">
      <c r="A139" s="13"/>
      <c r="B139" s="13"/>
      <c r="C139" s="13"/>
      <c r="D139" s="9"/>
      <c r="E139" s="39"/>
      <c r="F139" s="40"/>
      <c r="G139" s="40"/>
      <c r="H139" s="46"/>
      <c r="I139" s="46"/>
      <c r="J139" s="7"/>
      <c r="K139" s="43"/>
      <c r="L139" s="43"/>
      <c r="M139" s="4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5.75" customHeight="1" x14ac:dyDescent="0.3">
      <c r="A140" s="13"/>
      <c r="B140" s="13"/>
      <c r="C140" s="13"/>
      <c r="D140" s="9"/>
      <c r="E140" s="39"/>
      <c r="F140" s="40"/>
      <c r="G140" s="40"/>
      <c r="H140" s="46"/>
      <c r="I140" s="46"/>
      <c r="J140" s="7"/>
      <c r="K140" s="43"/>
      <c r="L140" s="43"/>
      <c r="M140" s="4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5.75" customHeight="1" x14ac:dyDescent="0.3">
      <c r="A141" s="13"/>
      <c r="B141" s="13"/>
      <c r="C141" s="13"/>
      <c r="D141" s="9"/>
      <c r="E141" s="39"/>
      <c r="F141" s="40"/>
      <c r="G141" s="40"/>
      <c r="H141" s="46"/>
      <c r="I141" s="46"/>
      <c r="J141" s="7"/>
      <c r="K141" s="43"/>
      <c r="L141" s="43"/>
      <c r="M141" s="4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5.75" customHeight="1" x14ac:dyDescent="0.3">
      <c r="A142" s="13"/>
      <c r="B142" s="13"/>
      <c r="C142" s="13"/>
      <c r="D142" s="9"/>
      <c r="E142" s="39"/>
      <c r="F142" s="40"/>
      <c r="G142" s="40"/>
      <c r="H142" s="46"/>
      <c r="I142" s="46"/>
      <c r="J142" s="7"/>
      <c r="K142" s="43"/>
      <c r="L142" s="43"/>
      <c r="M142" s="4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5.75" customHeight="1" x14ac:dyDescent="0.3">
      <c r="A143" s="13"/>
      <c r="B143" s="13"/>
      <c r="C143" s="13"/>
      <c r="D143" s="9"/>
      <c r="E143" s="39"/>
      <c r="F143" s="40"/>
      <c r="G143" s="40"/>
      <c r="H143" s="46"/>
      <c r="I143" s="46"/>
      <c r="J143" s="7"/>
      <c r="K143" s="43"/>
      <c r="L143" s="43"/>
      <c r="M143" s="4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5.75" customHeight="1" x14ac:dyDescent="0.3">
      <c r="A144" s="13"/>
      <c r="B144" s="13"/>
      <c r="C144" s="13"/>
      <c r="D144" s="9"/>
      <c r="E144" s="39"/>
      <c r="F144" s="40"/>
      <c r="G144" s="40"/>
      <c r="H144" s="46"/>
      <c r="I144" s="46"/>
      <c r="J144" s="7"/>
      <c r="K144" s="43"/>
      <c r="L144" s="43"/>
      <c r="M144" s="4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5.75" customHeight="1" x14ac:dyDescent="0.3">
      <c r="A145" s="13"/>
      <c r="B145" s="13"/>
      <c r="C145" s="13"/>
      <c r="D145" s="9"/>
      <c r="E145" s="39"/>
      <c r="F145" s="40"/>
      <c r="G145" s="40"/>
      <c r="H145" s="46"/>
      <c r="I145" s="46"/>
      <c r="J145" s="7"/>
      <c r="K145" s="43"/>
      <c r="L145" s="43"/>
      <c r="M145" s="4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5.75" customHeight="1" x14ac:dyDescent="0.3">
      <c r="A146" s="13"/>
      <c r="B146" s="13"/>
      <c r="C146" s="13"/>
      <c r="D146" s="9"/>
      <c r="E146" s="39"/>
      <c r="F146" s="40"/>
      <c r="G146" s="40"/>
      <c r="H146" s="46"/>
      <c r="I146" s="46"/>
      <c r="J146" s="7"/>
      <c r="K146" s="43"/>
      <c r="L146" s="43"/>
      <c r="M146" s="4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5.75" customHeight="1" x14ac:dyDescent="0.3">
      <c r="A147" s="13"/>
      <c r="B147" s="13"/>
      <c r="C147" s="13"/>
      <c r="D147" s="9"/>
      <c r="E147" s="39"/>
      <c r="F147" s="40"/>
      <c r="G147" s="40"/>
      <c r="H147" s="46"/>
      <c r="I147" s="46"/>
      <c r="J147" s="7"/>
      <c r="K147" s="43"/>
      <c r="L147" s="43"/>
      <c r="M147" s="4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5.75" customHeight="1" x14ac:dyDescent="0.3">
      <c r="A148" s="13"/>
      <c r="B148" s="13"/>
      <c r="C148" s="13"/>
      <c r="D148" s="9"/>
      <c r="E148" s="39"/>
      <c r="F148" s="40"/>
      <c r="G148" s="40"/>
      <c r="H148" s="46"/>
      <c r="I148" s="46"/>
      <c r="J148" s="7"/>
      <c r="K148" s="43"/>
      <c r="L148" s="43"/>
      <c r="M148" s="4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5.75" customHeight="1" x14ac:dyDescent="0.3">
      <c r="A149" s="13"/>
      <c r="B149" s="13"/>
      <c r="C149" s="13"/>
      <c r="D149" s="9"/>
      <c r="E149" s="39"/>
      <c r="F149" s="40"/>
      <c r="G149" s="40"/>
      <c r="H149" s="46"/>
      <c r="I149" s="46"/>
      <c r="J149" s="7"/>
      <c r="K149" s="43"/>
      <c r="L149" s="43"/>
      <c r="M149" s="4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5.75" customHeight="1" x14ac:dyDescent="0.3">
      <c r="A150" s="13"/>
      <c r="B150" s="13"/>
      <c r="C150" s="13"/>
      <c r="D150" s="9"/>
      <c r="E150" s="39"/>
      <c r="F150" s="40"/>
      <c r="G150" s="40"/>
      <c r="H150" s="46"/>
      <c r="I150" s="46"/>
      <c r="J150" s="7"/>
      <c r="K150" s="43"/>
      <c r="L150" s="43"/>
      <c r="M150" s="4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5.75" customHeight="1" x14ac:dyDescent="0.3">
      <c r="A151" s="13"/>
      <c r="B151" s="13"/>
      <c r="C151" s="13"/>
      <c r="D151" s="9"/>
      <c r="E151" s="39"/>
      <c r="F151" s="40"/>
      <c r="G151" s="40"/>
      <c r="H151" s="46"/>
      <c r="I151" s="46"/>
      <c r="J151" s="7"/>
      <c r="K151" s="43"/>
      <c r="L151" s="43"/>
      <c r="M151" s="4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5.75" customHeight="1" x14ac:dyDescent="0.3">
      <c r="A152" s="13"/>
      <c r="B152" s="13"/>
      <c r="C152" s="13"/>
      <c r="D152" s="9"/>
      <c r="E152" s="39"/>
      <c r="F152" s="40"/>
      <c r="G152" s="40"/>
      <c r="H152" s="46"/>
      <c r="I152" s="46"/>
      <c r="J152" s="7"/>
      <c r="K152" s="43"/>
      <c r="L152" s="43"/>
      <c r="M152" s="4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5.75" customHeight="1" x14ac:dyDescent="0.3">
      <c r="A153" s="13"/>
      <c r="B153" s="13"/>
      <c r="C153" s="13"/>
      <c r="D153" s="9"/>
      <c r="E153" s="39"/>
      <c r="F153" s="40"/>
      <c r="G153" s="40"/>
      <c r="H153" s="46"/>
      <c r="I153" s="46"/>
      <c r="J153" s="7"/>
      <c r="K153" s="43"/>
      <c r="L153" s="43"/>
      <c r="M153" s="4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5.75" customHeight="1" x14ac:dyDescent="0.3">
      <c r="A154" s="13"/>
      <c r="B154" s="13"/>
      <c r="C154" s="13"/>
      <c r="D154" s="9"/>
      <c r="E154" s="39"/>
      <c r="F154" s="40"/>
      <c r="G154" s="40"/>
      <c r="H154" s="46"/>
      <c r="I154" s="46"/>
      <c r="J154" s="7"/>
      <c r="K154" s="43"/>
      <c r="L154" s="43"/>
      <c r="M154" s="4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5.75" customHeight="1" x14ac:dyDescent="0.3">
      <c r="A155" s="13"/>
      <c r="B155" s="13"/>
      <c r="C155" s="13"/>
      <c r="D155" s="9"/>
      <c r="E155" s="39"/>
      <c r="F155" s="40"/>
      <c r="G155" s="40"/>
      <c r="H155" s="46"/>
      <c r="I155" s="46"/>
      <c r="J155" s="7"/>
      <c r="K155" s="43"/>
      <c r="L155" s="43"/>
      <c r="M155" s="4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5.75" customHeight="1" x14ac:dyDescent="0.3">
      <c r="A156" s="13"/>
      <c r="B156" s="13"/>
      <c r="C156" s="13"/>
      <c r="D156" s="9"/>
      <c r="E156" s="39"/>
      <c r="F156" s="40"/>
      <c r="G156" s="40"/>
      <c r="H156" s="46"/>
      <c r="I156" s="46"/>
      <c r="J156" s="7"/>
      <c r="K156" s="43"/>
      <c r="L156" s="43"/>
      <c r="M156" s="4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5.75" customHeight="1" x14ac:dyDescent="0.3">
      <c r="A157" s="13"/>
      <c r="B157" s="13"/>
      <c r="C157" s="13"/>
      <c r="D157" s="9"/>
      <c r="E157" s="39"/>
      <c r="F157" s="40"/>
      <c r="G157" s="40"/>
      <c r="H157" s="46"/>
      <c r="I157" s="46"/>
      <c r="J157" s="7"/>
      <c r="K157" s="43"/>
      <c r="L157" s="43"/>
      <c r="M157" s="4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5.75" customHeight="1" x14ac:dyDescent="0.3">
      <c r="A158" s="13"/>
      <c r="B158" s="13"/>
      <c r="C158" s="13"/>
      <c r="D158" s="9"/>
      <c r="E158" s="39"/>
      <c r="F158" s="40"/>
      <c r="G158" s="40"/>
      <c r="H158" s="46"/>
      <c r="I158" s="46"/>
      <c r="J158" s="7"/>
      <c r="K158" s="43"/>
      <c r="L158" s="43"/>
      <c r="M158" s="4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5.75" customHeight="1" x14ac:dyDescent="0.3">
      <c r="A159" s="13"/>
      <c r="B159" s="13"/>
      <c r="C159" s="13"/>
      <c r="D159" s="9"/>
      <c r="E159" s="39"/>
      <c r="F159" s="40"/>
      <c r="G159" s="40"/>
      <c r="H159" s="46"/>
      <c r="I159" s="46"/>
      <c r="J159" s="7"/>
      <c r="K159" s="43"/>
      <c r="L159" s="43"/>
      <c r="M159" s="4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5.75" customHeight="1" x14ac:dyDescent="0.3">
      <c r="A160" s="13"/>
      <c r="B160" s="13"/>
      <c r="C160" s="13"/>
      <c r="D160" s="9"/>
      <c r="E160" s="39"/>
      <c r="F160" s="40"/>
      <c r="G160" s="40"/>
      <c r="H160" s="46"/>
      <c r="I160" s="46"/>
      <c r="J160" s="7"/>
      <c r="K160" s="43"/>
      <c r="L160" s="43"/>
      <c r="M160" s="43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5.75" customHeight="1" x14ac:dyDescent="0.3">
      <c r="A161" s="13"/>
      <c r="B161" s="13"/>
      <c r="C161" s="13"/>
      <c r="D161" s="9"/>
      <c r="E161" s="39"/>
      <c r="F161" s="40"/>
      <c r="G161" s="40"/>
      <c r="H161" s="46"/>
      <c r="I161" s="46"/>
      <c r="J161" s="7"/>
      <c r="K161" s="43"/>
      <c r="L161" s="43"/>
      <c r="M161" s="43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5.75" customHeight="1" x14ac:dyDescent="0.3">
      <c r="A162" s="13"/>
      <c r="B162" s="13"/>
      <c r="C162" s="13"/>
      <c r="D162" s="9"/>
      <c r="E162" s="39"/>
      <c r="F162" s="40"/>
      <c r="G162" s="40"/>
      <c r="H162" s="46"/>
      <c r="I162" s="46"/>
      <c r="J162" s="7"/>
      <c r="K162" s="43"/>
      <c r="L162" s="43"/>
      <c r="M162" s="4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5.75" customHeight="1" x14ac:dyDescent="0.3">
      <c r="A163" s="13"/>
      <c r="B163" s="13"/>
      <c r="C163" s="13"/>
      <c r="D163" s="9"/>
      <c r="E163" s="39"/>
      <c r="F163" s="40"/>
      <c r="G163" s="40"/>
      <c r="H163" s="46"/>
      <c r="I163" s="46"/>
      <c r="J163" s="7"/>
      <c r="K163" s="43"/>
      <c r="L163" s="43"/>
      <c r="M163" s="4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5.75" customHeight="1" x14ac:dyDescent="0.3">
      <c r="A164" s="13"/>
      <c r="B164" s="13"/>
      <c r="C164" s="13"/>
      <c r="D164" s="9"/>
      <c r="E164" s="39"/>
      <c r="F164" s="40"/>
      <c r="G164" s="40"/>
      <c r="H164" s="46"/>
      <c r="I164" s="46"/>
      <c r="J164" s="7"/>
      <c r="K164" s="43"/>
      <c r="L164" s="43"/>
      <c r="M164" s="4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5.75" customHeight="1" x14ac:dyDescent="0.3">
      <c r="A165" s="13"/>
      <c r="B165" s="13"/>
      <c r="C165" s="13"/>
      <c r="D165" s="9"/>
      <c r="E165" s="39"/>
      <c r="F165" s="40"/>
      <c r="G165" s="40"/>
      <c r="H165" s="46"/>
      <c r="I165" s="46"/>
      <c r="J165" s="7"/>
      <c r="K165" s="43"/>
      <c r="L165" s="43"/>
      <c r="M165" s="4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5.75" customHeight="1" x14ac:dyDescent="0.3">
      <c r="A166" s="13"/>
      <c r="B166" s="13"/>
      <c r="C166" s="13"/>
      <c r="D166" s="9"/>
      <c r="E166" s="39"/>
      <c r="F166" s="40"/>
      <c r="G166" s="40"/>
      <c r="H166" s="46"/>
      <c r="I166" s="46"/>
      <c r="J166" s="7"/>
      <c r="K166" s="43"/>
      <c r="L166" s="43"/>
      <c r="M166" s="4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5.75" customHeight="1" x14ac:dyDescent="0.3">
      <c r="A167" s="13"/>
      <c r="B167" s="13"/>
      <c r="C167" s="13"/>
      <c r="D167" s="9"/>
      <c r="E167" s="39"/>
      <c r="F167" s="40"/>
      <c r="G167" s="40"/>
      <c r="H167" s="46"/>
      <c r="I167" s="46"/>
      <c r="J167" s="7"/>
      <c r="K167" s="43"/>
      <c r="L167" s="43"/>
      <c r="M167" s="4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5.75" customHeight="1" x14ac:dyDescent="0.3">
      <c r="A168" s="13"/>
      <c r="B168" s="13"/>
      <c r="C168" s="13"/>
      <c r="D168" s="9"/>
      <c r="E168" s="39"/>
      <c r="F168" s="40"/>
      <c r="G168" s="40"/>
      <c r="H168" s="46"/>
      <c r="I168" s="46"/>
      <c r="J168" s="7"/>
      <c r="K168" s="43"/>
      <c r="L168" s="43"/>
      <c r="M168" s="4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5.75" customHeight="1" x14ac:dyDescent="0.3">
      <c r="A169" s="13"/>
      <c r="B169" s="13"/>
      <c r="C169" s="13"/>
      <c r="D169" s="9"/>
      <c r="E169" s="39"/>
      <c r="F169" s="40"/>
      <c r="G169" s="40"/>
      <c r="H169" s="46"/>
      <c r="I169" s="46"/>
      <c r="J169" s="7"/>
      <c r="K169" s="43"/>
      <c r="L169" s="43"/>
      <c r="M169" s="4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5.75" customHeight="1" x14ac:dyDescent="0.3">
      <c r="A170" s="13"/>
      <c r="B170" s="13"/>
      <c r="C170" s="13"/>
      <c r="D170" s="9"/>
      <c r="E170" s="39"/>
      <c r="F170" s="40"/>
      <c r="G170" s="40"/>
      <c r="H170" s="46"/>
      <c r="I170" s="46"/>
      <c r="J170" s="7"/>
      <c r="K170" s="43"/>
      <c r="L170" s="43"/>
      <c r="M170" s="4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5.75" customHeight="1" x14ac:dyDescent="0.3">
      <c r="A171" s="13"/>
      <c r="B171" s="13"/>
      <c r="C171" s="13"/>
      <c r="D171" s="9"/>
      <c r="E171" s="39"/>
      <c r="F171" s="40"/>
      <c r="G171" s="40"/>
      <c r="H171" s="46"/>
      <c r="I171" s="46"/>
      <c r="J171" s="7"/>
      <c r="K171" s="43"/>
      <c r="L171" s="43"/>
      <c r="M171" s="4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5.75" customHeight="1" x14ac:dyDescent="0.3">
      <c r="A172" s="13"/>
      <c r="B172" s="13"/>
      <c r="C172" s="13"/>
      <c r="D172" s="9"/>
      <c r="E172" s="39"/>
      <c r="F172" s="40"/>
      <c r="G172" s="40"/>
      <c r="H172" s="46"/>
      <c r="I172" s="46"/>
      <c r="J172" s="7"/>
      <c r="K172" s="43"/>
      <c r="L172" s="43"/>
      <c r="M172" s="4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5.75" customHeight="1" x14ac:dyDescent="0.3">
      <c r="A173" s="13"/>
      <c r="B173" s="13"/>
      <c r="C173" s="13"/>
      <c r="D173" s="9"/>
      <c r="E173" s="39"/>
      <c r="F173" s="40"/>
      <c r="G173" s="40"/>
      <c r="H173" s="46"/>
      <c r="I173" s="46"/>
      <c r="J173" s="7"/>
      <c r="K173" s="43"/>
      <c r="L173" s="43"/>
      <c r="M173" s="4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5.75" customHeight="1" x14ac:dyDescent="0.3">
      <c r="A174" s="13"/>
      <c r="B174" s="13"/>
      <c r="C174" s="13"/>
      <c r="D174" s="9"/>
      <c r="E174" s="39"/>
      <c r="F174" s="40"/>
      <c r="G174" s="40"/>
      <c r="H174" s="46"/>
      <c r="I174" s="46"/>
      <c r="J174" s="7"/>
      <c r="K174" s="43"/>
      <c r="L174" s="43"/>
      <c r="M174" s="4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5.75" customHeight="1" x14ac:dyDescent="0.3">
      <c r="A175" s="13"/>
      <c r="B175" s="13"/>
      <c r="C175" s="13"/>
      <c r="D175" s="9"/>
      <c r="E175" s="39"/>
      <c r="F175" s="40"/>
      <c r="G175" s="40"/>
      <c r="H175" s="46"/>
      <c r="I175" s="46"/>
      <c r="J175" s="7"/>
      <c r="K175" s="43"/>
      <c r="L175" s="43"/>
      <c r="M175" s="4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5.75" customHeight="1" x14ac:dyDescent="0.3">
      <c r="A176" s="13"/>
      <c r="B176" s="13"/>
      <c r="C176" s="13"/>
      <c r="D176" s="9"/>
      <c r="E176" s="39"/>
      <c r="F176" s="40"/>
      <c r="G176" s="40"/>
      <c r="H176" s="46"/>
      <c r="I176" s="46"/>
      <c r="J176" s="7"/>
      <c r="K176" s="43"/>
      <c r="L176" s="43"/>
      <c r="M176" s="4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5.75" customHeight="1" x14ac:dyDescent="0.3">
      <c r="A177" s="13"/>
      <c r="B177" s="13"/>
      <c r="C177" s="13"/>
      <c r="D177" s="9"/>
      <c r="E177" s="39"/>
      <c r="F177" s="40"/>
      <c r="G177" s="40"/>
      <c r="H177" s="46"/>
      <c r="I177" s="46"/>
      <c r="J177" s="7"/>
      <c r="K177" s="43"/>
      <c r="L177" s="43"/>
      <c r="M177" s="4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5.75" customHeight="1" x14ac:dyDescent="0.3">
      <c r="A178" s="13"/>
      <c r="B178" s="13"/>
      <c r="C178" s="13"/>
      <c r="D178" s="9"/>
      <c r="E178" s="39"/>
      <c r="F178" s="40"/>
      <c r="G178" s="40"/>
      <c r="H178" s="46"/>
      <c r="I178" s="46"/>
      <c r="J178" s="7"/>
      <c r="K178" s="43"/>
      <c r="L178" s="43"/>
      <c r="M178" s="4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5.75" customHeight="1" x14ac:dyDescent="0.3">
      <c r="A179" s="13"/>
      <c r="B179" s="13"/>
      <c r="C179" s="13"/>
      <c r="D179" s="9"/>
      <c r="E179" s="39"/>
      <c r="F179" s="40"/>
      <c r="G179" s="40"/>
      <c r="H179" s="46"/>
      <c r="I179" s="46"/>
      <c r="J179" s="7"/>
      <c r="K179" s="43"/>
      <c r="L179" s="43"/>
      <c r="M179" s="4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5.75" customHeight="1" x14ac:dyDescent="0.3">
      <c r="A180" s="13"/>
      <c r="B180" s="13"/>
      <c r="C180" s="13"/>
      <c r="D180" s="9"/>
      <c r="E180" s="39"/>
      <c r="F180" s="40"/>
      <c r="G180" s="40"/>
      <c r="H180" s="46"/>
      <c r="I180" s="46"/>
      <c r="J180" s="7"/>
      <c r="K180" s="43"/>
      <c r="L180" s="43"/>
      <c r="M180" s="4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5.75" customHeight="1" x14ac:dyDescent="0.3">
      <c r="A181" s="13"/>
      <c r="B181" s="13"/>
      <c r="C181" s="13"/>
      <c r="D181" s="9"/>
      <c r="E181" s="39"/>
      <c r="F181" s="40"/>
      <c r="G181" s="40"/>
      <c r="H181" s="46"/>
      <c r="I181" s="46"/>
      <c r="J181" s="7"/>
      <c r="K181" s="43"/>
      <c r="L181" s="43"/>
      <c r="M181" s="4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5.75" customHeight="1" x14ac:dyDescent="0.3">
      <c r="A182" s="13"/>
      <c r="B182" s="13"/>
      <c r="C182" s="13"/>
      <c r="D182" s="9"/>
      <c r="E182" s="39"/>
      <c r="F182" s="40"/>
      <c r="G182" s="40"/>
      <c r="H182" s="46"/>
      <c r="I182" s="46"/>
      <c r="J182" s="7"/>
      <c r="K182" s="43"/>
      <c r="L182" s="43"/>
      <c r="M182" s="4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5.75" customHeight="1" x14ac:dyDescent="0.3">
      <c r="A183" s="13"/>
      <c r="B183" s="13"/>
      <c r="C183" s="13"/>
      <c r="D183" s="9"/>
      <c r="E183" s="39"/>
      <c r="F183" s="40"/>
      <c r="G183" s="40"/>
      <c r="H183" s="46"/>
      <c r="I183" s="46"/>
      <c r="J183" s="7"/>
      <c r="K183" s="43"/>
      <c r="L183" s="43"/>
      <c r="M183" s="4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5.75" customHeight="1" x14ac:dyDescent="0.3">
      <c r="A184" s="13"/>
      <c r="B184" s="13"/>
      <c r="C184" s="13"/>
      <c r="D184" s="9"/>
      <c r="E184" s="39"/>
      <c r="F184" s="40"/>
      <c r="G184" s="40"/>
      <c r="H184" s="46"/>
      <c r="I184" s="46"/>
      <c r="J184" s="7"/>
      <c r="K184" s="43"/>
      <c r="L184" s="43"/>
      <c r="M184" s="43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5.75" customHeight="1" x14ac:dyDescent="0.3">
      <c r="A185" s="13"/>
      <c r="B185" s="13"/>
      <c r="C185" s="13"/>
      <c r="D185" s="9"/>
      <c r="E185" s="39"/>
      <c r="F185" s="40"/>
      <c r="G185" s="40"/>
      <c r="H185" s="46"/>
      <c r="I185" s="46"/>
      <c r="J185" s="7"/>
      <c r="K185" s="43"/>
      <c r="L185" s="43"/>
      <c r="M185" s="43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5.75" customHeight="1" x14ac:dyDescent="0.3">
      <c r="A186" s="13"/>
      <c r="B186" s="13"/>
      <c r="C186" s="13"/>
      <c r="D186" s="9"/>
      <c r="E186" s="39"/>
      <c r="F186" s="40"/>
      <c r="G186" s="40"/>
      <c r="H186" s="46"/>
      <c r="I186" s="46"/>
      <c r="J186" s="7"/>
      <c r="K186" s="43"/>
      <c r="L186" s="43"/>
      <c r="M186" s="43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5.75" customHeight="1" x14ac:dyDescent="0.3">
      <c r="A187" s="13"/>
      <c r="B187" s="13"/>
      <c r="C187" s="13"/>
      <c r="D187" s="9"/>
      <c r="E187" s="39"/>
      <c r="F187" s="40"/>
      <c r="G187" s="40"/>
      <c r="H187" s="46"/>
      <c r="I187" s="46"/>
      <c r="J187" s="7"/>
      <c r="K187" s="43"/>
      <c r="L187" s="43"/>
      <c r="M187" s="4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5.75" customHeight="1" x14ac:dyDescent="0.3">
      <c r="A188" s="13"/>
      <c r="B188" s="13"/>
      <c r="C188" s="13"/>
      <c r="D188" s="9"/>
      <c r="E188" s="39"/>
      <c r="F188" s="40"/>
      <c r="G188" s="40"/>
      <c r="H188" s="46"/>
      <c r="I188" s="46"/>
      <c r="J188" s="7"/>
      <c r="K188" s="43"/>
      <c r="L188" s="43"/>
      <c r="M188" s="4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5.75" customHeight="1" x14ac:dyDescent="0.3">
      <c r="A189" s="13"/>
      <c r="B189" s="13"/>
      <c r="C189" s="13"/>
      <c r="D189" s="9"/>
      <c r="E189" s="39"/>
      <c r="F189" s="40"/>
      <c r="G189" s="40"/>
      <c r="H189" s="46"/>
      <c r="I189" s="46"/>
      <c r="J189" s="7"/>
      <c r="K189" s="43"/>
      <c r="L189" s="43"/>
      <c r="M189" s="43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5.75" customHeight="1" x14ac:dyDescent="0.3">
      <c r="A190" s="13"/>
      <c r="B190" s="13"/>
      <c r="C190" s="13"/>
      <c r="D190" s="9"/>
      <c r="E190" s="39"/>
      <c r="F190" s="40"/>
      <c r="G190" s="40"/>
      <c r="H190" s="46"/>
      <c r="I190" s="46"/>
      <c r="J190" s="7"/>
      <c r="K190" s="43"/>
      <c r="L190" s="43"/>
      <c r="M190" s="4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5.75" customHeight="1" x14ac:dyDescent="0.3">
      <c r="A191" s="13"/>
      <c r="B191" s="13"/>
      <c r="C191" s="13"/>
      <c r="D191" s="9"/>
      <c r="E191" s="39"/>
      <c r="F191" s="40"/>
      <c r="G191" s="40"/>
      <c r="H191" s="46"/>
      <c r="I191" s="46"/>
      <c r="J191" s="7"/>
      <c r="K191" s="43"/>
      <c r="L191" s="43"/>
      <c r="M191" s="43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5.75" customHeight="1" x14ac:dyDescent="0.3">
      <c r="A192" s="13"/>
      <c r="B192" s="13"/>
      <c r="C192" s="13"/>
      <c r="D192" s="9"/>
      <c r="E192" s="39"/>
      <c r="F192" s="40"/>
      <c r="G192" s="40"/>
      <c r="H192" s="46"/>
      <c r="I192" s="46"/>
      <c r="J192" s="7"/>
      <c r="K192" s="43"/>
      <c r="L192" s="43"/>
      <c r="M192" s="4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5.75" customHeight="1" x14ac:dyDescent="0.3">
      <c r="A193" s="13"/>
      <c r="B193" s="13"/>
      <c r="C193" s="13"/>
      <c r="D193" s="9"/>
      <c r="E193" s="39"/>
      <c r="F193" s="40"/>
      <c r="G193" s="40"/>
      <c r="H193" s="46"/>
      <c r="I193" s="46"/>
      <c r="J193" s="7"/>
      <c r="K193" s="43"/>
      <c r="L193" s="43"/>
      <c r="M193" s="4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5.75" customHeight="1" x14ac:dyDescent="0.3">
      <c r="A194" s="13"/>
      <c r="B194" s="13"/>
      <c r="C194" s="13"/>
      <c r="D194" s="9"/>
      <c r="E194" s="39"/>
      <c r="F194" s="40"/>
      <c r="G194" s="40"/>
      <c r="H194" s="46"/>
      <c r="I194" s="46"/>
      <c r="J194" s="7"/>
      <c r="K194" s="43"/>
      <c r="L194" s="43"/>
      <c r="M194" s="4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5.75" customHeight="1" x14ac:dyDescent="0.3">
      <c r="A195" s="13"/>
      <c r="B195" s="13"/>
      <c r="C195" s="13"/>
      <c r="D195" s="9"/>
      <c r="E195" s="39"/>
      <c r="F195" s="40"/>
      <c r="G195" s="40"/>
      <c r="H195" s="46"/>
      <c r="I195" s="46"/>
      <c r="J195" s="7"/>
      <c r="K195" s="43"/>
      <c r="L195" s="43"/>
      <c r="M195" s="4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5.75" customHeight="1" x14ac:dyDescent="0.3">
      <c r="A196" s="13"/>
      <c r="B196" s="13"/>
      <c r="C196" s="13"/>
      <c r="D196" s="9"/>
      <c r="E196" s="39"/>
      <c r="F196" s="40"/>
      <c r="G196" s="40"/>
      <c r="H196" s="46"/>
      <c r="I196" s="46"/>
      <c r="J196" s="7"/>
      <c r="K196" s="43"/>
      <c r="L196" s="43"/>
      <c r="M196" s="4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5.75" customHeight="1" x14ac:dyDescent="0.3">
      <c r="A197" s="13"/>
      <c r="B197" s="13"/>
      <c r="C197" s="13"/>
      <c r="D197" s="9"/>
      <c r="E197" s="39"/>
      <c r="F197" s="40"/>
      <c r="G197" s="40"/>
      <c r="H197" s="46"/>
      <c r="I197" s="46"/>
      <c r="J197" s="7"/>
      <c r="K197" s="43"/>
      <c r="L197" s="43"/>
      <c r="M197" s="4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5.75" customHeight="1" x14ac:dyDescent="0.3">
      <c r="A198" s="13"/>
      <c r="B198" s="13"/>
      <c r="C198" s="13"/>
      <c r="D198" s="9"/>
      <c r="E198" s="39"/>
      <c r="F198" s="40"/>
      <c r="G198" s="40"/>
      <c r="H198" s="46"/>
      <c r="I198" s="46"/>
      <c r="J198" s="7"/>
      <c r="K198" s="43"/>
      <c r="L198" s="43"/>
      <c r="M198" s="4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5.75" customHeight="1" x14ac:dyDescent="0.3">
      <c r="A199" s="13"/>
      <c r="B199" s="13"/>
      <c r="C199" s="13"/>
      <c r="D199" s="9"/>
      <c r="E199" s="39"/>
      <c r="F199" s="40"/>
      <c r="G199" s="40"/>
      <c r="H199" s="46"/>
      <c r="I199" s="46"/>
      <c r="J199" s="7"/>
      <c r="K199" s="43"/>
      <c r="L199" s="43"/>
      <c r="M199" s="4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5.75" customHeight="1" x14ac:dyDescent="0.3">
      <c r="A200" s="13"/>
      <c r="B200" s="13"/>
      <c r="C200" s="13"/>
      <c r="D200" s="9"/>
      <c r="E200" s="39"/>
      <c r="F200" s="40"/>
      <c r="G200" s="40"/>
      <c r="H200" s="46"/>
      <c r="I200" s="46"/>
      <c r="J200" s="7"/>
      <c r="K200" s="43"/>
      <c r="L200" s="43"/>
      <c r="M200" s="4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5.75" customHeight="1" x14ac:dyDescent="0.3">
      <c r="A201" s="13"/>
      <c r="B201" s="13"/>
      <c r="C201" s="13"/>
      <c r="D201" s="9"/>
      <c r="E201" s="39"/>
      <c r="F201" s="40"/>
      <c r="G201" s="40"/>
      <c r="H201" s="46"/>
      <c r="I201" s="46"/>
      <c r="J201" s="7"/>
      <c r="K201" s="43"/>
      <c r="L201" s="43"/>
      <c r="M201" s="4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5.75" customHeight="1" x14ac:dyDescent="0.3">
      <c r="A202" s="13"/>
      <c r="B202" s="13"/>
      <c r="C202" s="13"/>
      <c r="D202" s="9"/>
      <c r="E202" s="39"/>
      <c r="F202" s="40"/>
      <c r="G202" s="40"/>
      <c r="H202" s="46"/>
      <c r="I202" s="46"/>
      <c r="J202" s="7"/>
      <c r="K202" s="43"/>
      <c r="L202" s="43"/>
      <c r="M202" s="4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5.75" customHeight="1" x14ac:dyDescent="0.3">
      <c r="A203" s="13"/>
      <c r="B203" s="13"/>
      <c r="C203" s="13"/>
      <c r="D203" s="9"/>
      <c r="E203" s="39"/>
      <c r="F203" s="40"/>
      <c r="G203" s="40"/>
      <c r="H203" s="46"/>
      <c r="I203" s="46"/>
      <c r="J203" s="7"/>
      <c r="K203" s="43"/>
      <c r="L203" s="43"/>
      <c r="M203" s="4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5.75" customHeight="1" x14ac:dyDescent="0.3">
      <c r="A204" s="13"/>
      <c r="B204" s="13"/>
      <c r="C204" s="13"/>
      <c r="D204" s="9"/>
      <c r="E204" s="39"/>
      <c r="F204" s="40"/>
      <c r="G204" s="40"/>
      <c r="H204" s="46"/>
      <c r="I204" s="46"/>
      <c r="J204" s="7"/>
      <c r="K204" s="43"/>
      <c r="L204" s="43"/>
      <c r="M204" s="4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5.75" customHeight="1" x14ac:dyDescent="0.3">
      <c r="A205" s="13"/>
      <c r="B205" s="13"/>
      <c r="C205" s="13"/>
      <c r="D205" s="9"/>
      <c r="E205" s="39"/>
      <c r="F205" s="40"/>
      <c r="G205" s="40"/>
      <c r="H205" s="46"/>
      <c r="I205" s="46"/>
      <c r="J205" s="7"/>
      <c r="K205" s="43"/>
      <c r="L205" s="43"/>
      <c r="M205" s="43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5.75" customHeight="1" x14ac:dyDescent="0.3">
      <c r="A206" s="13"/>
      <c r="B206" s="13"/>
      <c r="C206" s="13"/>
      <c r="D206" s="9"/>
      <c r="E206" s="39"/>
      <c r="F206" s="40"/>
      <c r="G206" s="40"/>
      <c r="H206" s="46"/>
      <c r="I206" s="46"/>
      <c r="J206" s="7"/>
      <c r="K206" s="43"/>
      <c r="L206" s="43"/>
      <c r="M206" s="43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5.75" customHeight="1" x14ac:dyDescent="0.3">
      <c r="A207" s="13"/>
      <c r="B207" s="13"/>
      <c r="C207" s="13"/>
      <c r="D207" s="9"/>
      <c r="E207" s="39"/>
      <c r="F207" s="40"/>
      <c r="G207" s="40"/>
      <c r="H207" s="46"/>
      <c r="I207" s="46"/>
      <c r="J207" s="7"/>
      <c r="K207" s="43"/>
      <c r="L207" s="43"/>
      <c r="M207" s="43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5.75" customHeight="1" x14ac:dyDescent="0.3">
      <c r="A208" s="13"/>
      <c r="B208" s="13"/>
      <c r="C208" s="13"/>
      <c r="D208" s="9"/>
      <c r="E208" s="39"/>
      <c r="F208" s="40"/>
      <c r="G208" s="40"/>
      <c r="H208" s="46"/>
      <c r="I208" s="46"/>
      <c r="J208" s="7"/>
      <c r="K208" s="43"/>
      <c r="L208" s="43"/>
      <c r="M208" s="43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5.75" customHeight="1" x14ac:dyDescent="0.3">
      <c r="A209" s="13"/>
      <c r="B209" s="13"/>
      <c r="C209" s="13"/>
      <c r="D209" s="9"/>
      <c r="E209" s="39"/>
      <c r="F209" s="40"/>
      <c r="G209" s="40"/>
      <c r="H209" s="46"/>
      <c r="I209" s="46"/>
      <c r="J209" s="7"/>
      <c r="K209" s="43"/>
      <c r="L209" s="43"/>
      <c r="M209" s="43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5.75" customHeight="1" x14ac:dyDescent="0.3">
      <c r="A210" s="13"/>
      <c r="B210" s="13"/>
      <c r="C210" s="13"/>
      <c r="D210" s="9"/>
      <c r="E210" s="39"/>
      <c r="F210" s="40"/>
      <c r="G210" s="40"/>
      <c r="H210" s="46"/>
      <c r="I210" s="46"/>
      <c r="J210" s="7"/>
      <c r="K210" s="43"/>
      <c r="L210" s="43"/>
      <c r="M210" s="43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5.75" customHeight="1" x14ac:dyDescent="0.3">
      <c r="A211" s="13"/>
      <c r="B211" s="13"/>
      <c r="C211" s="13"/>
      <c r="D211" s="9"/>
      <c r="E211" s="39"/>
      <c r="F211" s="40"/>
      <c r="G211" s="40"/>
      <c r="H211" s="46"/>
      <c r="I211" s="46"/>
      <c r="J211" s="7"/>
      <c r="K211" s="43"/>
      <c r="L211" s="43"/>
      <c r="M211" s="43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5.75" customHeight="1" x14ac:dyDescent="0.3">
      <c r="A212" s="13"/>
      <c r="B212" s="13"/>
      <c r="C212" s="13"/>
      <c r="D212" s="9"/>
      <c r="E212" s="39"/>
      <c r="F212" s="40"/>
      <c r="G212" s="40"/>
      <c r="H212" s="46"/>
      <c r="I212" s="46"/>
      <c r="J212" s="7"/>
      <c r="K212" s="43"/>
      <c r="L212" s="43"/>
      <c r="M212" s="43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5.75" customHeight="1" x14ac:dyDescent="0.3">
      <c r="A213" s="13"/>
      <c r="B213" s="13"/>
      <c r="C213" s="13"/>
      <c r="D213" s="9"/>
      <c r="E213" s="39"/>
      <c r="F213" s="40"/>
      <c r="G213" s="40"/>
      <c r="H213" s="46"/>
      <c r="I213" s="46"/>
      <c r="J213" s="7"/>
      <c r="K213" s="43"/>
      <c r="L213" s="43"/>
      <c r="M213" s="43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5.75" customHeight="1" x14ac:dyDescent="0.3">
      <c r="A214" s="13"/>
      <c r="B214" s="13"/>
      <c r="C214" s="13"/>
      <c r="D214" s="9"/>
      <c r="E214" s="39"/>
      <c r="F214" s="40"/>
      <c r="G214" s="40"/>
      <c r="H214" s="46"/>
      <c r="I214" s="46"/>
      <c r="J214" s="7"/>
      <c r="K214" s="43"/>
      <c r="L214" s="43"/>
      <c r="M214" s="43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5.75" customHeight="1" x14ac:dyDescent="0.3">
      <c r="A215" s="13"/>
      <c r="B215" s="13"/>
      <c r="C215" s="13"/>
      <c r="D215" s="9"/>
      <c r="E215" s="39"/>
      <c r="F215" s="40"/>
      <c r="G215" s="40"/>
      <c r="H215" s="46"/>
      <c r="I215" s="46"/>
      <c r="J215" s="7"/>
      <c r="K215" s="43"/>
      <c r="L215" s="43"/>
      <c r="M215" s="43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5.75" customHeight="1" x14ac:dyDescent="0.3">
      <c r="A216" s="13"/>
      <c r="B216" s="13"/>
      <c r="C216" s="13"/>
      <c r="D216" s="9"/>
      <c r="E216" s="39"/>
      <c r="F216" s="40"/>
      <c r="G216" s="40"/>
      <c r="H216" s="46"/>
      <c r="I216" s="46"/>
      <c r="J216" s="7"/>
      <c r="K216" s="43"/>
      <c r="L216" s="43"/>
      <c r="M216" s="43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5.75" customHeight="1" x14ac:dyDescent="0.3">
      <c r="A217" s="13"/>
      <c r="B217" s="13"/>
      <c r="C217" s="13"/>
      <c r="D217" s="9"/>
      <c r="E217" s="39"/>
      <c r="F217" s="40"/>
      <c r="G217" s="40"/>
      <c r="H217" s="46"/>
      <c r="I217" s="46"/>
      <c r="J217" s="7"/>
      <c r="K217" s="43"/>
      <c r="L217" s="43"/>
      <c r="M217" s="43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5.75" customHeight="1" x14ac:dyDescent="0.3">
      <c r="A218" s="13"/>
      <c r="B218" s="13"/>
      <c r="C218" s="13"/>
      <c r="D218" s="9"/>
      <c r="E218" s="39"/>
      <c r="F218" s="40"/>
      <c r="G218" s="40"/>
      <c r="H218" s="46"/>
      <c r="I218" s="46"/>
      <c r="J218" s="7"/>
      <c r="K218" s="43"/>
      <c r="L218" s="43"/>
      <c r="M218" s="43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5.75" customHeight="1" x14ac:dyDescent="0.3">
      <c r="A219" s="13"/>
      <c r="B219" s="13"/>
      <c r="C219" s="13"/>
      <c r="D219" s="9"/>
      <c r="E219" s="39"/>
      <c r="F219" s="40"/>
      <c r="G219" s="40"/>
      <c r="H219" s="46"/>
      <c r="I219" s="46"/>
      <c r="J219" s="7"/>
      <c r="K219" s="43"/>
      <c r="L219" s="43"/>
      <c r="M219" s="43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5.75" customHeight="1" x14ac:dyDescent="0.3">
      <c r="A220" s="13"/>
      <c r="B220" s="13"/>
      <c r="C220" s="13"/>
      <c r="D220" s="9"/>
      <c r="E220" s="39"/>
      <c r="F220" s="40"/>
      <c r="G220" s="40"/>
      <c r="H220" s="46"/>
      <c r="I220" s="46"/>
      <c r="J220" s="7"/>
      <c r="K220" s="43"/>
      <c r="L220" s="43"/>
      <c r="M220" s="43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5.75" customHeight="1" x14ac:dyDescent="0.3">
      <c r="A221" s="13"/>
      <c r="B221" s="13"/>
      <c r="C221" s="13"/>
      <c r="D221" s="9"/>
      <c r="E221" s="39"/>
      <c r="F221" s="40"/>
      <c r="G221" s="40"/>
      <c r="H221" s="46"/>
      <c r="I221" s="46"/>
      <c r="J221" s="7"/>
      <c r="K221" s="43"/>
      <c r="L221" s="43"/>
      <c r="M221" s="43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5.75" customHeight="1" x14ac:dyDescent="0.3">
      <c r="A222" s="13"/>
      <c r="B222" s="13"/>
      <c r="C222" s="13"/>
      <c r="D222" s="9"/>
      <c r="E222" s="39"/>
      <c r="F222" s="40"/>
      <c r="G222" s="40"/>
      <c r="H222" s="46"/>
      <c r="I222" s="46"/>
      <c r="J222" s="7"/>
      <c r="K222" s="43"/>
      <c r="L222" s="43"/>
      <c r="M222" s="43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5.75" customHeight="1" x14ac:dyDescent="0.3">
      <c r="A223" s="13"/>
      <c r="B223" s="13"/>
      <c r="C223" s="13"/>
      <c r="D223" s="9"/>
      <c r="E223" s="39"/>
      <c r="F223" s="40"/>
      <c r="G223" s="40"/>
      <c r="H223" s="46"/>
      <c r="I223" s="46"/>
      <c r="J223" s="7"/>
      <c r="K223" s="43"/>
      <c r="L223" s="43"/>
      <c r="M223" s="43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5.75" customHeight="1" x14ac:dyDescent="0.3">
      <c r="A224" s="13"/>
      <c r="B224" s="13"/>
      <c r="C224" s="13"/>
      <c r="D224" s="9"/>
      <c r="E224" s="39"/>
      <c r="F224" s="40"/>
      <c r="G224" s="40"/>
      <c r="H224" s="46"/>
      <c r="I224" s="46"/>
      <c r="J224" s="7"/>
      <c r="K224" s="43"/>
      <c r="L224" s="43"/>
      <c r="M224" s="43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5.75" customHeight="1" x14ac:dyDescent="0.3">
      <c r="A225" s="13"/>
      <c r="B225" s="13"/>
      <c r="C225" s="13"/>
      <c r="D225" s="6"/>
      <c r="E225" s="8"/>
      <c r="F225" s="8"/>
      <c r="G225" s="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5.75" customHeight="1" x14ac:dyDescent="0.3">
      <c r="A226" s="13"/>
      <c r="B226" s="13"/>
      <c r="C226" s="13"/>
      <c r="D226" s="6"/>
      <c r="E226" s="8"/>
      <c r="F226" s="8"/>
      <c r="G226" s="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5.75" customHeight="1" x14ac:dyDescent="0.3">
      <c r="A227" s="13"/>
      <c r="B227" s="13"/>
      <c r="C227" s="13"/>
      <c r="D227" s="6"/>
      <c r="E227" s="8"/>
      <c r="F227" s="8"/>
      <c r="G227" s="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5.75" customHeight="1" x14ac:dyDescent="0.3">
      <c r="A228" s="13"/>
      <c r="B228" s="13"/>
      <c r="C228" s="13"/>
      <c r="D228" s="6"/>
      <c r="E228" s="8"/>
      <c r="F228" s="8"/>
      <c r="G228" s="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5.75" customHeight="1" x14ac:dyDescent="0.3">
      <c r="A229" s="13"/>
      <c r="B229" s="13"/>
      <c r="C229" s="13"/>
      <c r="D229" s="6"/>
      <c r="E229" s="8"/>
      <c r="F229" s="8"/>
      <c r="G229" s="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5.75" customHeight="1" x14ac:dyDescent="0.3">
      <c r="A230" s="13"/>
      <c r="B230" s="13"/>
      <c r="C230" s="13"/>
      <c r="D230" s="6"/>
      <c r="E230" s="8"/>
      <c r="F230" s="8"/>
      <c r="G230" s="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5.75" customHeight="1" x14ac:dyDescent="0.3">
      <c r="A231" s="13"/>
      <c r="B231" s="13"/>
      <c r="C231" s="13"/>
      <c r="D231" s="6"/>
      <c r="E231" s="8"/>
      <c r="F231" s="8"/>
      <c r="G231" s="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5.75" customHeight="1" x14ac:dyDescent="0.3">
      <c r="A232" s="13"/>
      <c r="B232" s="13"/>
      <c r="C232" s="13"/>
      <c r="D232" s="6"/>
      <c r="E232" s="8"/>
      <c r="F232" s="8"/>
      <c r="G232" s="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5.75" customHeight="1" x14ac:dyDescent="0.3">
      <c r="A233" s="13"/>
      <c r="B233" s="13"/>
      <c r="C233" s="13"/>
      <c r="D233" s="6"/>
      <c r="E233" s="8"/>
      <c r="F233" s="8"/>
      <c r="G233" s="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5.75" customHeight="1" x14ac:dyDescent="0.3">
      <c r="A234" s="13"/>
      <c r="B234" s="13"/>
      <c r="C234" s="13"/>
      <c r="D234" s="6"/>
      <c r="E234" s="8"/>
      <c r="F234" s="8"/>
      <c r="G234" s="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5.75" customHeight="1" x14ac:dyDescent="0.3">
      <c r="A235" s="13"/>
      <c r="B235" s="13"/>
      <c r="C235" s="13"/>
      <c r="D235" s="6"/>
      <c r="E235" s="8"/>
      <c r="F235" s="8"/>
      <c r="G235" s="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5.75" customHeight="1" x14ac:dyDescent="0.3">
      <c r="A236" s="13"/>
      <c r="B236" s="13"/>
      <c r="C236" s="13"/>
      <c r="D236" s="6"/>
      <c r="E236" s="8"/>
      <c r="F236" s="8"/>
      <c r="G236" s="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5.75" customHeight="1" x14ac:dyDescent="0.3">
      <c r="A237" s="13"/>
      <c r="B237" s="13"/>
      <c r="C237" s="13"/>
      <c r="D237" s="6"/>
      <c r="E237" s="8"/>
      <c r="F237" s="8"/>
      <c r="G237" s="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5.75" customHeight="1" x14ac:dyDescent="0.3">
      <c r="A238" s="13"/>
      <c r="B238" s="13"/>
      <c r="C238" s="13"/>
      <c r="D238" s="6"/>
      <c r="E238" s="8"/>
      <c r="F238" s="8"/>
      <c r="G238" s="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5.75" customHeight="1" x14ac:dyDescent="0.3">
      <c r="A239" s="13"/>
      <c r="B239" s="13"/>
      <c r="C239" s="13"/>
      <c r="D239" s="6"/>
      <c r="E239" s="8"/>
      <c r="F239" s="8"/>
      <c r="G239" s="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5.75" customHeight="1" x14ac:dyDescent="0.3">
      <c r="A240" s="13"/>
      <c r="B240" s="13"/>
      <c r="C240" s="13"/>
      <c r="D240" s="6"/>
      <c r="E240" s="8"/>
      <c r="F240" s="8"/>
      <c r="G240" s="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5.75" customHeight="1" x14ac:dyDescent="0.3">
      <c r="A241" s="13"/>
      <c r="B241" s="13"/>
      <c r="C241" s="13"/>
      <c r="D241" s="6"/>
      <c r="E241" s="8"/>
      <c r="F241" s="8"/>
      <c r="G241" s="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5.75" customHeight="1" x14ac:dyDescent="0.3">
      <c r="A242" s="13"/>
      <c r="B242" s="13"/>
      <c r="C242" s="13"/>
      <c r="D242" s="6"/>
      <c r="E242" s="8"/>
      <c r="F242" s="8"/>
      <c r="G242" s="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5.75" customHeight="1" x14ac:dyDescent="0.3">
      <c r="A243" s="13"/>
      <c r="B243" s="13"/>
      <c r="C243" s="13"/>
      <c r="D243" s="6"/>
      <c r="E243" s="8"/>
      <c r="F243" s="8"/>
      <c r="G243" s="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5.75" customHeight="1" x14ac:dyDescent="0.3">
      <c r="A244" s="13"/>
      <c r="B244" s="13"/>
      <c r="C244" s="13"/>
      <c r="D244" s="6"/>
      <c r="E244" s="8"/>
      <c r="F244" s="8"/>
      <c r="G244" s="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5.75" customHeight="1" x14ac:dyDescent="0.3">
      <c r="A245" s="13"/>
      <c r="B245" s="13"/>
      <c r="C245" s="13"/>
      <c r="D245" s="6"/>
      <c r="E245" s="8"/>
      <c r="F245" s="8"/>
      <c r="G245" s="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5.75" customHeight="1" x14ac:dyDescent="0.3">
      <c r="A246" s="13"/>
      <c r="B246" s="13"/>
      <c r="C246" s="13"/>
      <c r="D246" s="6"/>
      <c r="E246" s="8"/>
      <c r="F246" s="8"/>
      <c r="G246" s="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5.75" customHeight="1" x14ac:dyDescent="0.3">
      <c r="A247" s="13"/>
      <c r="B247" s="13"/>
      <c r="C247" s="13"/>
      <c r="D247" s="6"/>
      <c r="E247" s="8"/>
      <c r="F247" s="8"/>
      <c r="G247" s="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5.75" customHeight="1" x14ac:dyDescent="0.3">
      <c r="A248" s="13"/>
      <c r="B248" s="13"/>
      <c r="C248" s="13"/>
      <c r="D248" s="6"/>
      <c r="E248" s="8"/>
      <c r="F248" s="8"/>
      <c r="G248" s="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5.75" customHeight="1" x14ac:dyDescent="0.3">
      <c r="A249" s="13"/>
      <c r="B249" s="13"/>
      <c r="C249" s="13"/>
      <c r="D249" s="6"/>
      <c r="E249" s="8"/>
      <c r="F249" s="8"/>
      <c r="G249" s="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5.75" customHeight="1" x14ac:dyDescent="0.3">
      <c r="A250" s="13"/>
      <c r="B250" s="13"/>
      <c r="C250" s="13"/>
      <c r="D250" s="6"/>
      <c r="E250" s="8"/>
      <c r="F250" s="8"/>
      <c r="G250" s="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5.75" customHeight="1" x14ac:dyDescent="0.3">
      <c r="A251" s="13"/>
      <c r="B251" s="13"/>
      <c r="C251" s="13"/>
      <c r="D251" s="6"/>
      <c r="E251" s="8"/>
      <c r="F251" s="8"/>
      <c r="G251" s="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5.75" customHeight="1" x14ac:dyDescent="0.3">
      <c r="A252" s="13"/>
      <c r="B252" s="13"/>
      <c r="C252" s="13"/>
      <c r="D252" s="6"/>
      <c r="E252" s="8"/>
      <c r="F252" s="8"/>
      <c r="G252" s="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5.75" customHeight="1" x14ac:dyDescent="0.3">
      <c r="A253" s="13"/>
      <c r="B253" s="13"/>
      <c r="C253" s="13"/>
      <c r="D253" s="6"/>
      <c r="E253" s="8"/>
      <c r="F253" s="8"/>
      <c r="G253" s="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5.75" customHeight="1" x14ac:dyDescent="0.3">
      <c r="A254" s="13"/>
      <c r="B254" s="13"/>
      <c r="C254" s="13"/>
      <c r="D254" s="6"/>
      <c r="E254" s="8"/>
      <c r="F254" s="8"/>
      <c r="G254" s="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5.75" customHeight="1" x14ac:dyDescent="0.3">
      <c r="A255" s="13"/>
      <c r="B255" s="13"/>
      <c r="C255" s="13"/>
      <c r="D255" s="6"/>
      <c r="E255" s="8"/>
      <c r="F255" s="8"/>
      <c r="G255" s="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5.75" customHeight="1" x14ac:dyDescent="0.3">
      <c r="A256" s="13"/>
      <c r="B256" s="13"/>
      <c r="C256" s="13"/>
      <c r="D256" s="6"/>
      <c r="E256" s="8"/>
      <c r="F256" s="8"/>
      <c r="G256" s="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5.75" customHeight="1" x14ac:dyDescent="0.3">
      <c r="A257" s="13"/>
      <c r="B257" s="13"/>
      <c r="C257" s="13"/>
      <c r="D257" s="6"/>
      <c r="E257" s="8"/>
      <c r="F257" s="8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5.75" customHeight="1" x14ac:dyDescent="0.3">
      <c r="A258" s="13"/>
      <c r="B258" s="13"/>
      <c r="C258" s="13"/>
      <c r="D258" s="6"/>
      <c r="E258" s="8"/>
      <c r="F258" s="8"/>
      <c r="G258" s="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5.75" customHeight="1" x14ac:dyDescent="0.3">
      <c r="A259" s="13"/>
      <c r="B259" s="13"/>
      <c r="C259" s="13"/>
      <c r="D259" s="6"/>
      <c r="E259" s="8"/>
      <c r="F259" s="8"/>
      <c r="G259" s="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5.75" customHeight="1" x14ac:dyDescent="0.3">
      <c r="A260" s="13"/>
      <c r="B260" s="13"/>
      <c r="C260" s="13"/>
      <c r="D260" s="6"/>
      <c r="E260" s="8"/>
      <c r="F260" s="8"/>
      <c r="G260" s="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5.75" customHeight="1" x14ac:dyDescent="0.3">
      <c r="A261" s="13"/>
      <c r="B261" s="13"/>
      <c r="C261" s="13"/>
      <c r="D261" s="6"/>
      <c r="E261" s="8"/>
      <c r="F261" s="8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5.75" customHeight="1" x14ac:dyDescent="0.3">
      <c r="A262" s="13"/>
      <c r="B262" s="13"/>
      <c r="C262" s="13"/>
      <c r="D262" s="6"/>
      <c r="E262" s="8"/>
      <c r="F262" s="8"/>
      <c r="G262" s="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5.75" customHeight="1" x14ac:dyDescent="0.3">
      <c r="A263" s="13"/>
      <c r="B263" s="13"/>
      <c r="C263" s="13"/>
      <c r="D263" s="6"/>
      <c r="E263" s="8"/>
      <c r="F263" s="8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5.75" customHeight="1" x14ac:dyDescent="0.3">
      <c r="A264" s="13"/>
      <c r="B264" s="13"/>
      <c r="C264" s="13"/>
      <c r="D264" s="6"/>
      <c r="E264" s="8"/>
      <c r="F264" s="8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5.75" customHeight="1" x14ac:dyDescent="0.3">
      <c r="A265" s="13"/>
      <c r="B265" s="13"/>
      <c r="C265" s="13"/>
      <c r="D265" s="6"/>
      <c r="E265" s="8"/>
      <c r="F265" s="8"/>
      <c r="G265" s="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178"/>
      <c r="AV265" s="178"/>
      <c r="AW265" s="178"/>
      <c r="AX265" s="178"/>
    </row>
    <row r="266" spans="1:50" ht="15.75" customHeight="1" x14ac:dyDescent="0.3">
      <c r="A266" s="13"/>
      <c r="B266" s="13"/>
      <c r="C266" s="13"/>
      <c r="D266" s="6"/>
      <c r="E266" s="8"/>
      <c r="F266" s="8"/>
      <c r="G266" s="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178"/>
      <c r="AV266" s="178"/>
      <c r="AW266" s="178"/>
      <c r="AX266" s="178"/>
    </row>
    <row r="267" spans="1:50" ht="15.75" customHeight="1" x14ac:dyDescent="0.3">
      <c r="A267" s="13"/>
      <c r="B267" s="13"/>
      <c r="C267" s="13"/>
      <c r="D267" s="6"/>
      <c r="E267" s="8"/>
      <c r="F267" s="8"/>
      <c r="G267" s="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178"/>
      <c r="AV267" s="178"/>
      <c r="AW267" s="178"/>
      <c r="AX267" s="178"/>
    </row>
    <row r="268" spans="1:50" ht="15.75" customHeight="1" x14ac:dyDescent="0.3">
      <c r="A268" s="13"/>
      <c r="B268" s="13"/>
      <c r="C268" s="13"/>
      <c r="D268" s="6"/>
      <c r="E268" s="8"/>
      <c r="F268" s="8"/>
      <c r="G268" s="8"/>
      <c r="H268" s="8"/>
      <c r="I268" s="8"/>
      <c r="J268" s="7"/>
      <c r="K268" s="7"/>
      <c r="L268" s="7"/>
      <c r="M268" s="7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178"/>
    </row>
    <row r="269" spans="1:50" ht="15.75" customHeight="1" x14ac:dyDescent="0.3">
      <c r="A269" s="13"/>
      <c r="B269" s="13"/>
      <c r="C269" s="13"/>
      <c r="D269" s="6"/>
      <c r="E269" s="8"/>
      <c r="F269" s="8"/>
      <c r="G269" s="8"/>
      <c r="H269" s="8"/>
      <c r="I269" s="8"/>
      <c r="J269" s="7"/>
      <c r="K269" s="7"/>
      <c r="L269" s="7"/>
      <c r="M269" s="7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178"/>
    </row>
    <row r="270" spans="1:50" ht="15.75" customHeight="1" x14ac:dyDescent="0.3">
      <c r="A270" s="13"/>
      <c r="B270" s="13"/>
      <c r="C270" s="13"/>
      <c r="D270" s="6"/>
      <c r="E270" s="8"/>
      <c r="F270" s="8"/>
      <c r="G270" s="8"/>
      <c r="H270" s="8"/>
      <c r="I270" s="8"/>
      <c r="J270" s="7"/>
      <c r="K270" s="7"/>
      <c r="L270" s="7"/>
      <c r="M270" s="7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  <c r="AR270" s="178"/>
      <c r="AS270" s="178"/>
      <c r="AT270" s="178"/>
      <c r="AU270" s="178"/>
      <c r="AV270" s="178"/>
      <c r="AW270" s="178"/>
      <c r="AX270" s="178"/>
    </row>
    <row r="271" spans="1:50" ht="15.75" customHeight="1" x14ac:dyDescent="0.3">
      <c r="A271" s="13"/>
      <c r="B271" s="13"/>
      <c r="C271" s="13"/>
      <c r="D271" s="6"/>
      <c r="E271" s="8"/>
      <c r="F271" s="8"/>
      <c r="G271" s="8"/>
      <c r="H271" s="8"/>
      <c r="I271" s="8"/>
      <c r="J271" s="7"/>
      <c r="K271" s="7"/>
      <c r="L271" s="7"/>
      <c r="M271" s="7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s="178"/>
      <c r="AV271" s="178"/>
      <c r="AW271" s="178"/>
      <c r="AX271" s="178"/>
    </row>
    <row r="272" spans="1:50" ht="15.75" customHeight="1" x14ac:dyDescent="0.3">
      <c r="A272" s="13"/>
      <c r="B272" s="13"/>
      <c r="C272" s="13"/>
      <c r="D272" s="6"/>
      <c r="E272" s="8"/>
      <c r="F272" s="8"/>
      <c r="G272" s="8"/>
      <c r="H272" s="8"/>
      <c r="I272" s="8"/>
      <c r="J272" s="7"/>
      <c r="K272" s="7"/>
      <c r="L272" s="7"/>
      <c r="M272" s="7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178"/>
      <c r="AK272" s="178"/>
      <c r="AL272" s="178"/>
      <c r="AM272" s="178"/>
      <c r="AN272" s="178"/>
      <c r="AO272" s="178"/>
      <c r="AP272" s="178"/>
      <c r="AQ272" s="178"/>
      <c r="AR272" s="178"/>
      <c r="AS272" s="178"/>
      <c r="AT272" s="178"/>
      <c r="AU272" s="178"/>
      <c r="AV272" s="178"/>
      <c r="AW272" s="178"/>
      <c r="AX272" s="178"/>
    </row>
    <row r="273" spans="1:50" ht="15.75" customHeight="1" x14ac:dyDescent="0.3">
      <c r="A273" s="13"/>
      <c r="B273" s="13"/>
      <c r="C273" s="13"/>
      <c r="D273" s="6"/>
      <c r="E273" s="8"/>
      <c r="F273" s="8"/>
      <c r="G273" s="8"/>
      <c r="H273" s="8"/>
      <c r="I273" s="8"/>
      <c r="J273" s="7"/>
      <c r="K273" s="7"/>
      <c r="L273" s="7"/>
      <c r="M273" s="7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178"/>
      <c r="AK273" s="178"/>
      <c r="AL273" s="178"/>
      <c r="AM273" s="178"/>
      <c r="AN273" s="178"/>
      <c r="AO273" s="178"/>
      <c r="AP273" s="178"/>
      <c r="AQ273" s="178"/>
      <c r="AR273" s="178"/>
      <c r="AS273" s="178"/>
      <c r="AT273" s="178"/>
      <c r="AU273" s="178"/>
      <c r="AV273" s="178"/>
      <c r="AW273" s="178"/>
      <c r="AX273" s="178"/>
    </row>
    <row r="274" spans="1:50" ht="15.75" customHeight="1" x14ac:dyDescent="0.3">
      <c r="A274" s="13"/>
      <c r="B274" s="13"/>
      <c r="C274" s="13"/>
      <c r="D274" s="6"/>
      <c r="E274" s="8"/>
      <c r="F274" s="8"/>
      <c r="G274" s="8"/>
      <c r="H274" s="8"/>
      <c r="I274" s="8"/>
      <c r="J274" s="7"/>
      <c r="K274" s="7"/>
      <c r="L274" s="7"/>
      <c r="M274" s="7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  <c r="AV274" s="178"/>
      <c r="AW274" s="178"/>
      <c r="AX274" s="178"/>
    </row>
    <row r="275" spans="1:50" ht="15.75" customHeight="1" x14ac:dyDescent="0.3">
      <c r="A275" s="13"/>
      <c r="B275" s="13"/>
      <c r="C275" s="13"/>
      <c r="D275" s="6"/>
      <c r="E275" s="8"/>
      <c r="F275" s="8"/>
      <c r="G275" s="8"/>
      <c r="H275" s="8"/>
      <c r="I275" s="8"/>
      <c r="J275" s="7"/>
      <c r="K275" s="7"/>
      <c r="L275" s="7"/>
      <c r="M275" s="7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  <c r="AV275" s="178"/>
      <c r="AW275" s="178"/>
      <c r="AX275" s="178"/>
    </row>
    <row r="276" spans="1:50" ht="15.75" customHeight="1" x14ac:dyDescent="0.3">
      <c r="A276" s="13"/>
      <c r="B276" s="13"/>
      <c r="C276" s="13"/>
      <c r="D276" s="6"/>
      <c r="E276" s="8"/>
      <c r="F276" s="8"/>
      <c r="G276" s="8"/>
      <c r="H276" s="8"/>
      <c r="I276" s="8"/>
      <c r="J276" s="7"/>
      <c r="K276" s="7"/>
      <c r="L276" s="7"/>
      <c r="M276" s="7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s="178"/>
      <c r="AV276" s="178"/>
      <c r="AW276" s="178"/>
      <c r="AX276" s="178"/>
    </row>
    <row r="277" spans="1:50" ht="15.75" customHeight="1" x14ac:dyDescent="0.3">
      <c r="A277" s="13"/>
      <c r="B277" s="13"/>
      <c r="C277" s="13"/>
      <c r="D277" s="6"/>
      <c r="E277" s="8"/>
      <c r="F277" s="8"/>
      <c r="G277" s="8"/>
      <c r="H277" s="8"/>
      <c r="I277" s="8"/>
      <c r="J277" s="7"/>
      <c r="K277" s="7"/>
      <c r="L277" s="7"/>
      <c r="M277" s="7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  <c r="AR277" s="178"/>
      <c r="AS277" s="178"/>
      <c r="AT277" s="178"/>
      <c r="AU277" s="178"/>
      <c r="AV277" s="178"/>
      <c r="AW277" s="178"/>
      <c r="AX277" s="178"/>
    </row>
    <row r="278" spans="1:50" ht="15.75" customHeight="1" x14ac:dyDescent="0.3">
      <c r="A278" s="13"/>
      <c r="B278" s="13"/>
      <c r="C278" s="13"/>
      <c r="D278" s="6"/>
      <c r="E278" s="8"/>
      <c r="F278" s="8"/>
      <c r="G278" s="8"/>
      <c r="H278" s="8"/>
      <c r="I278" s="8"/>
      <c r="J278" s="7"/>
      <c r="K278" s="7"/>
      <c r="L278" s="7"/>
      <c r="M278" s="7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  <c r="AV278" s="178"/>
      <c r="AW278" s="178"/>
      <c r="AX278" s="178"/>
    </row>
    <row r="279" spans="1:50" ht="15.75" customHeight="1" x14ac:dyDescent="0.3">
      <c r="A279" s="13"/>
      <c r="B279" s="13"/>
      <c r="C279" s="13"/>
      <c r="D279" s="6"/>
      <c r="E279" s="8"/>
      <c r="F279" s="8"/>
      <c r="G279" s="8"/>
      <c r="H279" s="8"/>
      <c r="I279" s="8"/>
      <c r="J279" s="7"/>
      <c r="K279" s="7"/>
      <c r="L279" s="7"/>
      <c r="M279" s="7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  <c r="AJ279" s="178"/>
      <c r="AK279" s="178"/>
      <c r="AL279" s="178"/>
      <c r="AM279" s="178"/>
      <c r="AN279" s="178"/>
      <c r="AO279" s="178"/>
      <c r="AP279" s="178"/>
      <c r="AQ279" s="178"/>
      <c r="AR279" s="178"/>
      <c r="AS279" s="178"/>
      <c r="AT279" s="178"/>
      <c r="AU279" s="178"/>
      <c r="AV279" s="178"/>
      <c r="AW279" s="178"/>
      <c r="AX279" s="178"/>
    </row>
    <row r="280" spans="1:50" ht="15.75" customHeight="1" x14ac:dyDescent="0.3">
      <c r="A280" s="13"/>
      <c r="B280" s="13"/>
      <c r="C280" s="13"/>
      <c r="D280" s="6"/>
      <c r="E280" s="8"/>
      <c r="F280" s="8"/>
      <c r="G280" s="8"/>
      <c r="H280" s="8"/>
      <c r="I280" s="8"/>
      <c r="J280" s="7"/>
      <c r="K280" s="7"/>
      <c r="L280" s="7"/>
      <c r="M280" s="7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  <c r="AJ280" s="178"/>
      <c r="AK280" s="178"/>
      <c r="AL280" s="178"/>
      <c r="AM280" s="178"/>
      <c r="AN280" s="178"/>
      <c r="AO280" s="178"/>
      <c r="AP280" s="178"/>
      <c r="AQ280" s="178"/>
      <c r="AR280" s="178"/>
      <c r="AS280" s="178"/>
      <c r="AT280" s="178"/>
      <c r="AU280" s="178"/>
      <c r="AV280" s="178"/>
      <c r="AW280" s="178"/>
      <c r="AX280" s="178"/>
    </row>
    <row r="281" spans="1:50" ht="15.75" customHeight="1" x14ac:dyDescent="0.3">
      <c r="A281" s="13"/>
      <c r="B281" s="13"/>
      <c r="C281" s="13"/>
      <c r="D281" s="6"/>
      <c r="E281" s="8"/>
      <c r="F281" s="8"/>
      <c r="G281" s="8"/>
      <c r="H281" s="8"/>
      <c r="I281" s="8"/>
      <c r="J281" s="7"/>
      <c r="K281" s="7"/>
      <c r="L281" s="7"/>
      <c r="M281" s="7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  <c r="AJ281" s="178"/>
      <c r="AK281" s="178"/>
      <c r="AL281" s="178"/>
      <c r="AM281" s="178"/>
      <c r="AN281" s="178"/>
      <c r="AO281" s="178"/>
      <c r="AP281" s="178"/>
      <c r="AQ281" s="178"/>
      <c r="AR281" s="178"/>
      <c r="AS281" s="178"/>
      <c r="AT281" s="178"/>
      <c r="AU281" s="178"/>
      <c r="AV281" s="178"/>
      <c r="AW281" s="178"/>
      <c r="AX281" s="178"/>
    </row>
    <row r="282" spans="1:50" ht="15.75" customHeight="1" x14ac:dyDescent="0.3">
      <c r="A282" s="13"/>
      <c r="B282" s="13"/>
      <c r="C282" s="13"/>
      <c r="D282" s="6"/>
      <c r="E282" s="8"/>
      <c r="F282" s="8"/>
      <c r="G282" s="8"/>
      <c r="H282" s="8"/>
      <c r="I282" s="8"/>
      <c r="J282" s="7"/>
      <c r="K282" s="7"/>
      <c r="L282" s="7"/>
      <c r="M282" s="7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  <c r="AR282" s="178"/>
      <c r="AS282" s="178"/>
      <c r="AT282" s="178"/>
      <c r="AU282" s="178"/>
      <c r="AV282" s="178"/>
      <c r="AW282" s="178"/>
      <c r="AX282" s="178"/>
    </row>
    <row r="283" spans="1:50" ht="15.75" customHeight="1" x14ac:dyDescent="0.3">
      <c r="A283" s="13"/>
      <c r="B283" s="13"/>
      <c r="C283" s="13"/>
      <c r="D283" s="6"/>
      <c r="E283" s="8"/>
      <c r="F283" s="8"/>
      <c r="G283" s="8"/>
      <c r="H283" s="8"/>
      <c r="I283" s="8"/>
      <c r="J283" s="7"/>
      <c r="K283" s="7"/>
      <c r="L283" s="7"/>
      <c r="M283" s="7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  <c r="AJ283" s="178"/>
      <c r="AK283" s="178"/>
      <c r="AL283" s="178"/>
      <c r="AM283" s="178"/>
      <c r="AN283" s="178"/>
      <c r="AO283" s="178"/>
      <c r="AP283" s="178"/>
      <c r="AQ283" s="178"/>
      <c r="AR283" s="178"/>
      <c r="AS283" s="178"/>
      <c r="AT283" s="178"/>
      <c r="AU283" s="178"/>
      <c r="AV283" s="178"/>
      <c r="AW283" s="178"/>
      <c r="AX283" s="178"/>
    </row>
    <row r="284" spans="1:50" ht="15.75" customHeight="1" x14ac:dyDescent="0.3">
      <c r="A284" s="13"/>
      <c r="B284" s="13"/>
      <c r="C284" s="13"/>
      <c r="D284" s="6"/>
      <c r="E284" s="8"/>
      <c r="F284" s="8"/>
      <c r="G284" s="8"/>
      <c r="H284" s="8"/>
      <c r="I284" s="8"/>
      <c r="J284" s="7"/>
      <c r="K284" s="7"/>
      <c r="L284" s="7"/>
      <c r="M284" s="7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  <c r="AR284" s="178"/>
      <c r="AS284" s="178"/>
      <c r="AT284" s="178"/>
      <c r="AU284" s="178"/>
      <c r="AV284" s="178"/>
      <c r="AW284" s="178"/>
      <c r="AX284" s="178"/>
    </row>
    <row r="285" spans="1:50" ht="15.75" customHeight="1" x14ac:dyDescent="0.3">
      <c r="A285" s="13"/>
      <c r="B285" s="13"/>
      <c r="C285" s="13"/>
      <c r="D285" s="6"/>
      <c r="E285" s="8"/>
      <c r="F285" s="8"/>
      <c r="G285" s="8"/>
      <c r="H285" s="8"/>
      <c r="I285" s="8"/>
      <c r="J285" s="7"/>
      <c r="K285" s="7"/>
      <c r="L285" s="7"/>
      <c r="M285" s="7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</row>
    <row r="286" spans="1:50" ht="15.75" customHeight="1" x14ac:dyDescent="0.3">
      <c r="A286" s="13"/>
      <c r="B286" s="13"/>
      <c r="C286" s="13"/>
      <c r="D286" s="6"/>
      <c r="E286" s="8"/>
      <c r="F286" s="8"/>
      <c r="G286" s="8"/>
      <c r="H286" s="8"/>
      <c r="I286" s="8"/>
      <c r="J286" s="7"/>
      <c r="K286" s="7"/>
      <c r="L286" s="7"/>
      <c r="M286" s="7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78"/>
      <c r="AI286" s="178"/>
      <c r="AJ286" s="178"/>
      <c r="AK286" s="178"/>
      <c r="AL286" s="178"/>
      <c r="AM286" s="178"/>
      <c r="AN286" s="178"/>
      <c r="AO286" s="178"/>
      <c r="AP286" s="178"/>
      <c r="AQ286" s="178"/>
      <c r="AR286" s="178"/>
      <c r="AS286" s="178"/>
      <c r="AT286" s="178"/>
      <c r="AU286" s="178"/>
      <c r="AV286" s="178"/>
      <c r="AW286" s="178"/>
      <c r="AX286" s="178"/>
    </row>
    <row r="287" spans="1:50" ht="15.75" customHeight="1" x14ac:dyDescent="0.3">
      <c r="A287" s="13"/>
      <c r="B287" s="13"/>
      <c r="C287" s="13"/>
      <c r="D287" s="6"/>
      <c r="E287" s="8"/>
      <c r="F287" s="8"/>
      <c r="G287" s="8"/>
      <c r="H287" s="8"/>
      <c r="I287" s="8"/>
      <c r="J287" s="7"/>
      <c r="K287" s="7"/>
      <c r="L287" s="7"/>
      <c r="M287" s="7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  <c r="AR287" s="178"/>
      <c r="AS287" s="178"/>
      <c r="AT287" s="178"/>
      <c r="AU287" s="178"/>
      <c r="AV287" s="178"/>
      <c r="AW287" s="178"/>
      <c r="AX287" s="178"/>
    </row>
    <row r="288" spans="1:50" ht="15.75" customHeight="1" x14ac:dyDescent="0.3">
      <c r="A288" s="13"/>
      <c r="B288" s="13"/>
      <c r="C288" s="13"/>
      <c r="D288" s="6"/>
      <c r="E288" s="8"/>
      <c r="F288" s="8"/>
      <c r="G288" s="8"/>
      <c r="H288" s="8"/>
      <c r="I288" s="8"/>
      <c r="J288" s="7"/>
      <c r="K288" s="7"/>
      <c r="L288" s="7"/>
      <c r="M288" s="7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  <c r="AP288" s="178"/>
      <c r="AQ288" s="178"/>
      <c r="AR288" s="178"/>
      <c r="AS288" s="178"/>
      <c r="AT288" s="178"/>
      <c r="AU288" s="178"/>
      <c r="AV288" s="178"/>
      <c r="AW288" s="178"/>
      <c r="AX288" s="178"/>
    </row>
    <row r="289" spans="1:50" ht="15.75" customHeight="1" x14ac:dyDescent="0.3">
      <c r="A289" s="13"/>
      <c r="B289" s="13"/>
      <c r="C289" s="13"/>
      <c r="D289" s="6"/>
      <c r="E289" s="8"/>
      <c r="F289" s="8"/>
      <c r="G289" s="8"/>
      <c r="H289" s="8"/>
      <c r="I289" s="8"/>
      <c r="J289" s="7"/>
      <c r="K289" s="7"/>
      <c r="L289" s="7"/>
      <c r="M289" s="7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78"/>
      <c r="AI289" s="178"/>
      <c r="AJ289" s="178"/>
      <c r="AK289" s="178"/>
      <c r="AL289" s="178"/>
      <c r="AM289" s="178"/>
      <c r="AN289" s="178"/>
      <c r="AO289" s="178"/>
      <c r="AP289" s="178"/>
      <c r="AQ289" s="178"/>
      <c r="AR289" s="178"/>
      <c r="AS289" s="178"/>
      <c r="AT289" s="178"/>
      <c r="AU289" s="178"/>
      <c r="AV289" s="178"/>
      <c r="AW289" s="178"/>
      <c r="AX289" s="178"/>
    </row>
    <row r="290" spans="1:50" ht="15.75" customHeight="1" x14ac:dyDescent="0.3">
      <c r="A290" s="13"/>
      <c r="B290" s="13"/>
      <c r="C290" s="13"/>
      <c r="D290" s="6"/>
      <c r="E290" s="8"/>
      <c r="F290" s="8"/>
      <c r="G290" s="8"/>
      <c r="H290" s="8"/>
      <c r="I290" s="8"/>
      <c r="J290" s="7"/>
      <c r="K290" s="7"/>
      <c r="L290" s="7"/>
      <c r="M290" s="7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78"/>
      <c r="AI290" s="178"/>
      <c r="AJ290" s="178"/>
      <c r="AK290" s="178"/>
      <c r="AL290" s="178"/>
      <c r="AM290" s="178"/>
      <c r="AN290" s="178"/>
      <c r="AO290" s="178"/>
      <c r="AP290" s="178"/>
      <c r="AQ290" s="178"/>
      <c r="AR290" s="178"/>
      <c r="AS290" s="178"/>
      <c r="AT290" s="178"/>
      <c r="AU290" s="178"/>
      <c r="AV290" s="178"/>
      <c r="AW290" s="178"/>
      <c r="AX290" s="178"/>
    </row>
    <row r="291" spans="1:50" ht="15.75" customHeight="1" x14ac:dyDescent="0.3">
      <c r="A291" s="13"/>
      <c r="B291" s="13"/>
      <c r="C291" s="13"/>
      <c r="D291" s="6"/>
      <c r="E291" s="8"/>
      <c r="F291" s="8"/>
      <c r="G291" s="8"/>
      <c r="H291" s="8"/>
      <c r="I291" s="8"/>
      <c r="J291" s="7"/>
      <c r="K291" s="7"/>
      <c r="L291" s="7"/>
      <c r="M291" s="7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78"/>
      <c r="AI291" s="178"/>
      <c r="AJ291" s="178"/>
      <c r="AK291" s="178"/>
      <c r="AL291" s="178"/>
      <c r="AM291" s="178"/>
      <c r="AN291" s="178"/>
      <c r="AO291" s="178"/>
      <c r="AP291" s="178"/>
      <c r="AQ291" s="178"/>
      <c r="AR291" s="178"/>
      <c r="AS291" s="178"/>
      <c r="AT291" s="178"/>
      <c r="AU291" s="178"/>
      <c r="AV291" s="178"/>
      <c r="AW291" s="178"/>
      <c r="AX291" s="178"/>
    </row>
    <row r="292" spans="1:50" ht="15.75" customHeight="1" x14ac:dyDescent="0.3">
      <c r="A292" s="13"/>
      <c r="B292" s="13"/>
      <c r="C292" s="13"/>
      <c r="D292" s="6"/>
      <c r="E292" s="8"/>
      <c r="F292" s="8"/>
      <c r="G292" s="8"/>
      <c r="H292" s="8"/>
      <c r="I292" s="8"/>
      <c r="J292" s="7"/>
      <c r="K292" s="7"/>
      <c r="L292" s="7"/>
      <c r="M292" s="7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78"/>
      <c r="AI292" s="178"/>
      <c r="AJ292" s="178"/>
      <c r="AK292" s="178"/>
      <c r="AL292" s="178"/>
      <c r="AM292" s="178"/>
      <c r="AN292" s="178"/>
      <c r="AO292" s="178"/>
      <c r="AP292" s="178"/>
      <c r="AQ292" s="178"/>
      <c r="AR292" s="178"/>
      <c r="AS292" s="178"/>
      <c r="AT292" s="178"/>
      <c r="AU292" s="178"/>
      <c r="AV292" s="178"/>
      <c r="AW292" s="178"/>
      <c r="AX292" s="178"/>
    </row>
    <row r="293" spans="1:50" ht="15.75" customHeight="1" x14ac:dyDescent="0.3">
      <c r="A293" s="13"/>
      <c r="B293" s="13"/>
      <c r="C293" s="13"/>
      <c r="D293" s="6"/>
      <c r="E293" s="8"/>
      <c r="F293" s="8"/>
      <c r="G293" s="8"/>
      <c r="H293" s="8"/>
      <c r="I293" s="8"/>
      <c r="J293" s="7"/>
      <c r="K293" s="7"/>
      <c r="L293" s="7"/>
      <c r="M293" s="7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s="178"/>
      <c r="AV293" s="178"/>
      <c r="AW293" s="178"/>
      <c r="AX293" s="178"/>
    </row>
    <row r="294" spans="1:50" ht="15.75" customHeight="1" x14ac:dyDescent="0.3">
      <c r="A294" s="13"/>
      <c r="B294" s="13"/>
      <c r="C294" s="13"/>
      <c r="D294" s="6"/>
      <c r="E294" s="8"/>
      <c r="F294" s="8"/>
      <c r="G294" s="8"/>
      <c r="H294" s="8"/>
      <c r="I294" s="8"/>
      <c r="J294" s="7"/>
      <c r="K294" s="7"/>
      <c r="L294" s="7"/>
      <c r="M294" s="7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78"/>
      <c r="AI294" s="178"/>
      <c r="AJ294" s="178"/>
      <c r="AK294" s="178"/>
      <c r="AL294" s="178"/>
      <c r="AM294" s="178"/>
      <c r="AN294" s="178"/>
      <c r="AO294" s="178"/>
      <c r="AP294" s="178"/>
      <c r="AQ294" s="178"/>
      <c r="AR294" s="178"/>
      <c r="AS294" s="178"/>
      <c r="AT294" s="178"/>
      <c r="AU294" s="178"/>
      <c r="AV294" s="178"/>
      <c r="AW294" s="178"/>
      <c r="AX294" s="178"/>
    </row>
    <row r="295" spans="1:50" ht="15.75" customHeight="1" x14ac:dyDescent="0.3">
      <c r="A295" s="13"/>
      <c r="B295" s="13"/>
      <c r="C295" s="13"/>
      <c r="D295" s="6"/>
      <c r="E295" s="8"/>
      <c r="F295" s="8"/>
      <c r="G295" s="8"/>
      <c r="H295" s="8"/>
      <c r="I295" s="8"/>
      <c r="J295" s="7"/>
      <c r="K295" s="7"/>
      <c r="L295" s="7"/>
      <c r="M295" s="7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78"/>
      <c r="AI295" s="178"/>
      <c r="AJ295" s="178"/>
      <c r="AK295" s="178"/>
      <c r="AL295" s="178"/>
      <c r="AM295" s="178"/>
      <c r="AN295" s="178"/>
      <c r="AO295" s="178"/>
      <c r="AP295" s="178"/>
      <c r="AQ295" s="178"/>
      <c r="AR295" s="178"/>
      <c r="AS295" s="178"/>
      <c r="AT295" s="178"/>
      <c r="AU295" s="178"/>
      <c r="AV295" s="178"/>
      <c r="AW295" s="178"/>
      <c r="AX295" s="178"/>
    </row>
    <row r="296" spans="1:50" ht="15.75" customHeight="1" x14ac:dyDescent="0.3">
      <c r="A296" s="13"/>
      <c r="B296" s="13"/>
      <c r="C296" s="13"/>
      <c r="D296" s="6"/>
      <c r="E296" s="8"/>
      <c r="F296" s="8"/>
      <c r="G296" s="8"/>
      <c r="H296" s="8"/>
      <c r="I296" s="8"/>
      <c r="J296" s="7"/>
      <c r="K296" s="7"/>
      <c r="L296" s="7"/>
      <c r="M296" s="7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  <c r="AR296" s="178"/>
      <c r="AS296" s="178"/>
      <c r="AT296" s="178"/>
      <c r="AU296" s="178"/>
      <c r="AV296" s="178"/>
      <c r="AW296" s="178"/>
      <c r="AX296" s="178"/>
    </row>
    <row r="297" spans="1:50" ht="15.75" customHeight="1" x14ac:dyDescent="0.3">
      <c r="A297" s="13"/>
      <c r="B297" s="13"/>
      <c r="C297" s="13"/>
      <c r="D297" s="6"/>
      <c r="E297" s="8"/>
      <c r="F297" s="8"/>
      <c r="G297" s="8"/>
      <c r="H297" s="8"/>
      <c r="I297" s="8"/>
      <c r="J297" s="7"/>
      <c r="K297" s="7"/>
      <c r="L297" s="7"/>
      <c r="M297" s="7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78"/>
      <c r="AI297" s="178"/>
      <c r="AJ297" s="178"/>
      <c r="AK297" s="178"/>
      <c r="AL297" s="178"/>
      <c r="AM297" s="178"/>
      <c r="AN297" s="178"/>
      <c r="AO297" s="178"/>
      <c r="AP297" s="178"/>
      <c r="AQ297" s="178"/>
      <c r="AR297" s="178"/>
      <c r="AS297" s="178"/>
      <c r="AT297" s="178"/>
      <c r="AU297" s="178"/>
      <c r="AV297" s="178"/>
      <c r="AW297" s="178"/>
      <c r="AX297" s="178"/>
    </row>
    <row r="298" spans="1:50" ht="15.75" customHeight="1" x14ac:dyDescent="0.3">
      <c r="A298" s="13"/>
      <c r="B298" s="13"/>
      <c r="C298" s="13"/>
      <c r="D298" s="6"/>
      <c r="E298" s="8"/>
      <c r="F298" s="8"/>
      <c r="G298" s="8"/>
      <c r="H298" s="8"/>
      <c r="I298" s="8"/>
      <c r="J298" s="7"/>
      <c r="K298" s="7"/>
      <c r="L298" s="7"/>
      <c r="M298" s="7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78"/>
      <c r="AI298" s="178"/>
      <c r="AJ298" s="178"/>
      <c r="AK298" s="178"/>
      <c r="AL298" s="178"/>
      <c r="AM298" s="178"/>
      <c r="AN298" s="178"/>
      <c r="AO298" s="178"/>
      <c r="AP298" s="178"/>
      <c r="AQ298" s="178"/>
      <c r="AR298" s="178"/>
      <c r="AS298" s="178"/>
      <c r="AT298" s="178"/>
      <c r="AU298" s="178"/>
      <c r="AV298" s="178"/>
      <c r="AW298" s="178"/>
      <c r="AX298" s="178"/>
    </row>
    <row r="299" spans="1:50" ht="15.75" customHeight="1" x14ac:dyDescent="0.3">
      <c r="A299" s="13"/>
      <c r="B299" s="13"/>
      <c r="C299" s="13"/>
      <c r="D299" s="6"/>
      <c r="E299" s="8"/>
      <c r="F299" s="8"/>
      <c r="G299" s="8"/>
      <c r="H299" s="8"/>
      <c r="I299" s="8"/>
      <c r="J299" s="7"/>
      <c r="K299" s="7"/>
      <c r="L299" s="7"/>
      <c r="M299" s="7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</row>
    <row r="300" spans="1:50" ht="15.75" customHeight="1" x14ac:dyDescent="0.3">
      <c r="A300" s="13"/>
      <c r="B300" s="13"/>
      <c r="C300" s="13"/>
      <c r="D300" s="6"/>
      <c r="E300" s="8"/>
      <c r="F300" s="8"/>
      <c r="G300" s="8"/>
      <c r="H300" s="8"/>
      <c r="I300" s="8"/>
      <c r="J300" s="7"/>
      <c r="K300" s="7"/>
      <c r="L300" s="7"/>
      <c r="M300" s="7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  <c r="AW300" s="178"/>
      <c r="AX300" s="178"/>
    </row>
    <row r="301" spans="1:50" ht="15.75" customHeight="1" x14ac:dyDescent="0.3">
      <c r="A301" s="13"/>
      <c r="B301" s="13"/>
      <c r="C301" s="13"/>
      <c r="D301" s="6"/>
      <c r="E301" s="8"/>
      <c r="F301" s="8"/>
      <c r="G301" s="8"/>
      <c r="H301" s="8"/>
      <c r="I301" s="8"/>
      <c r="J301" s="7"/>
      <c r="K301" s="7"/>
      <c r="L301" s="7"/>
      <c r="M301" s="7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  <c r="AW301" s="178"/>
      <c r="AX301" s="178"/>
    </row>
    <row r="302" spans="1:50" ht="15.75" customHeight="1" x14ac:dyDescent="0.3">
      <c r="A302" s="13"/>
      <c r="B302" s="13"/>
      <c r="C302" s="13"/>
      <c r="D302" s="6"/>
      <c r="E302" s="8"/>
      <c r="F302" s="8"/>
      <c r="G302" s="8"/>
      <c r="H302" s="8"/>
      <c r="I302" s="8"/>
      <c r="J302" s="7"/>
      <c r="K302" s="7"/>
      <c r="L302" s="7"/>
      <c r="M302" s="7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  <c r="AR302" s="178"/>
      <c r="AS302" s="178"/>
      <c r="AT302" s="178"/>
      <c r="AU302" s="178"/>
      <c r="AV302" s="178"/>
      <c r="AW302" s="178"/>
      <c r="AX302" s="178"/>
    </row>
    <row r="303" spans="1:50" ht="15.75" customHeight="1" x14ac:dyDescent="0.3">
      <c r="A303" s="13"/>
      <c r="B303" s="13"/>
      <c r="C303" s="13"/>
      <c r="D303" s="6"/>
      <c r="E303" s="8"/>
      <c r="F303" s="8"/>
      <c r="G303" s="8"/>
      <c r="H303" s="8"/>
      <c r="I303" s="8"/>
      <c r="J303" s="7"/>
      <c r="K303" s="7"/>
      <c r="L303" s="7"/>
      <c r="M303" s="7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78"/>
      <c r="AI303" s="178"/>
      <c r="AJ303" s="178"/>
      <c r="AK303" s="178"/>
      <c r="AL303" s="178"/>
      <c r="AM303" s="178"/>
      <c r="AN303" s="178"/>
      <c r="AO303" s="178"/>
      <c r="AP303" s="178"/>
      <c r="AQ303" s="178"/>
      <c r="AR303" s="178"/>
      <c r="AS303" s="178"/>
      <c r="AT303" s="178"/>
      <c r="AU303" s="178"/>
      <c r="AV303" s="178"/>
      <c r="AW303" s="178"/>
      <c r="AX303" s="178"/>
    </row>
    <row r="304" spans="1:50" ht="15.75" customHeight="1" x14ac:dyDescent="0.3">
      <c r="A304" s="13"/>
      <c r="B304" s="13"/>
      <c r="C304" s="13"/>
      <c r="D304" s="6"/>
      <c r="E304" s="8"/>
      <c r="F304" s="8"/>
      <c r="G304" s="8"/>
      <c r="H304" s="8"/>
      <c r="I304" s="8"/>
      <c r="J304" s="7"/>
      <c r="K304" s="7"/>
      <c r="L304" s="7"/>
      <c r="M304" s="7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78"/>
      <c r="AI304" s="178"/>
      <c r="AJ304" s="178"/>
      <c r="AK304" s="178"/>
      <c r="AL304" s="178"/>
      <c r="AM304" s="178"/>
      <c r="AN304" s="178"/>
      <c r="AO304" s="178"/>
      <c r="AP304" s="178"/>
      <c r="AQ304" s="178"/>
      <c r="AR304" s="178"/>
      <c r="AS304" s="178"/>
      <c r="AT304" s="178"/>
      <c r="AU304" s="178"/>
      <c r="AV304" s="178"/>
      <c r="AW304" s="178"/>
      <c r="AX304" s="178"/>
    </row>
    <row r="305" spans="1:50" ht="15.75" customHeight="1" x14ac:dyDescent="0.3">
      <c r="A305" s="13"/>
      <c r="B305" s="13"/>
      <c r="C305" s="13"/>
      <c r="D305" s="6"/>
      <c r="E305" s="8"/>
      <c r="F305" s="8"/>
      <c r="G305" s="8"/>
      <c r="H305" s="8"/>
      <c r="I305" s="8"/>
      <c r="J305" s="7"/>
      <c r="K305" s="7"/>
      <c r="L305" s="7"/>
      <c r="M305" s="7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78"/>
      <c r="AI305" s="178"/>
      <c r="AJ305" s="178"/>
      <c r="AK305" s="178"/>
      <c r="AL305" s="178"/>
      <c r="AM305" s="178"/>
      <c r="AN305" s="178"/>
      <c r="AO305" s="178"/>
      <c r="AP305" s="178"/>
      <c r="AQ305" s="178"/>
      <c r="AR305" s="178"/>
      <c r="AS305" s="178"/>
      <c r="AT305" s="178"/>
      <c r="AU305" s="178"/>
      <c r="AV305" s="178"/>
      <c r="AW305" s="178"/>
      <c r="AX305" s="178"/>
    </row>
    <row r="306" spans="1:50" ht="15.75" customHeight="1" x14ac:dyDescent="0.3">
      <c r="A306" s="13"/>
      <c r="B306" s="13"/>
      <c r="C306" s="13"/>
      <c r="D306" s="6"/>
      <c r="E306" s="8"/>
      <c r="F306" s="8"/>
      <c r="G306" s="8"/>
      <c r="H306" s="8"/>
      <c r="I306" s="8"/>
      <c r="J306" s="7"/>
      <c r="K306" s="7"/>
      <c r="L306" s="7"/>
      <c r="M306" s="7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  <c r="AR306" s="178"/>
      <c r="AS306" s="178"/>
      <c r="AT306" s="178"/>
      <c r="AU306" s="178"/>
      <c r="AV306" s="178"/>
      <c r="AW306" s="178"/>
      <c r="AX306" s="178"/>
    </row>
    <row r="307" spans="1:50" ht="15.75" customHeight="1" x14ac:dyDescent="0.3">
      <c r="A307" s="13"/>
      <c r="B307" s="13"/>
      <c r="C307" s="13"/>
      <c r="D307" s="6"/>
      <c r="E307" s="8"/>
      <c r="F307" s="8"/>
      <c r="G307" s="8"/>
      <c r="H307" s="8"/>
      <c r="I307" s="8"/>
      <c r="J307" s="7"/>
      <c r="K307" s="7"/>
      <c r="L307" s="7"/>
      <c r="M307" s="7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78"/>
      <c r="AI307" s="178"/>
      <c r="AJ307" s="178"/>
      <c r="AK307" s="178"/>
      <c r="AL307" s="178"/>
      <c r="AM307" s="178"/>
      <c r="AN307" s="178"/>
      <c r="AO307" s="178"/>
      <c r="AP307" s="178"/>
      <c r="AQ307" s="178"/>
      <c r="AR307" s="178"/>
      <c r="AS307" s="178"/>
      <c r="AT307" s="178"/>
      <c r="AU307" s="178"/>
      <c r="AV307" s="178"/>
      <c r="AW307" s="178"/>
      <c r="AX307" s="178"/>
    </row>
    <row r="308" spans="1:50" ht="15.75" customHeight="1" x14ac:dyDescent="0.3">
      <c r="A308" s="13"/>
      <c r="B308" s="13"/>
      <c r="C308" s="13"/>
      <c r="D308" s="6"/>
      <c r="E308" s="8"/>
      <c r="F308" s="8"/>
      <c r="G308" s="8"/>
      <c r="H308" s="8"/>
      <c r="I308" s="8"/>
      <c r="J308" s="7"/>
      <c r="K308" s="7"/>
      <c r="L308" s="7"/>
      <c r="M308" s="7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78"/>
      <c r="AI308" s="178"/>
      <c r="AJ308" s="178"/>
      <c r="AK308" s="178"/>
      <c r="AL308" s="178"/>
      <c r="AM308" s="178"/>
      <c r="AN308" s="178"/>
      <c r="AO308" s="178"/>
      <c r="AP308" s="178"/>
      <c r="AQ308" s="178"/>
      <c r="AR308" s="178"/>
      <c r="AS308" s="178"/>
      <c r="AT308" s="178"/>
      <c r="AU308" s="178"/>
      <c r="AV308" s="178"/>
      <c r="AW308" s="178"/>
      <c r="AX308" s="178"/>
    </row>
    <row r="309" spans="1:50" ht="15.75" customHeight="1" x14ac:dyDescent="0.3">
      <c r="A309" s="13"/>
      <c r="B309" s="13"/>
      <c r="C309" s="13"/>
      <c r="D309" s="6"/>
      <c r="E309" s="8"/>
      <c r="F309" s="8"/>
      <c r="G309" s="8"/>
      <c r="H309" s="8"/>
      <c r="I309" s="8"/>
      <c r="J309" s="7"/>
      <c r="K309" s="7"/>
      <c r="L309" s="7"/>
      <c r="M309" s="7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  <c r="AW309" s="178"/>
      <c r="AX309" s="178"/>
    </row>
    <row r="310" spans="1:50" ht="15.75" customHeight="1" x14ac:dyDescent="0.3">
      <c r="A310" s="13"/>
      <c r="B310" s="13"/>
      <c r="C310" s="13"/>
      <c r="D310" s="6"/>
      <c r="E310" s="8"/>
      <c r="F310" s="8"/>
      <c r="G310" s="8"/>
      <c r="H310" s="8"/>
      <c r="I310" s="8"/>
      <c r="J310" s="42"/>
      <c r="K310" s="7"/>
      <c r="L310" s="7"/>
      <c r="M310" s="7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78"/>
      <c r="AI310" s="178"/>
      <c r="AJ310" s="178"/>
      <c r="AK310" s="178"/>
      <c r="AL310" s="178"/>
      <c r="AM310" s="178"/>
      <c r="AN310" s="178"/>
      <c r="AO310" s="178"/>
      <c r="AP310" s="178"/>
      <c r="AQ310" s="178"/>
      <c r="AR310" s="178"/>
      <c r="AS310" s="178"/>
      <c r="AT310" s="178"/>
      <c r="AU310" s="178"/>
      <c r="AV310" s="178"/>
      <c r="AW310" s="178"/>
      <c r="AX310" s="178"/>
    </row>
    <row r="311" spans="1:50" ht="15.75" customHeight="1" x14ac:dyDescent="0.3">
      <c r="A311" s="13"/>
      <c r="B311" s="13"/>
      <c r="C311" s="13"/>
      <c r="D311" s="6"/>
      <c r="E311" s="8"/>
      <c r="F311" s="8"/>
      <c r="G311" s="8"/>
      <c r="H311" s="8"/>
      <c r="I311" s="8"/>
      <c r="J311" s="42"/>
      <c r="K311" s="7"/>
      <c r="L311" s="7"/>
      <c r="M311" s="7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  <c r="AI311" s="178"/>
      <c r="AJ311" s="178"/>
      <c r="AK311" s="178"/>
      <c r="AL311" s="178"/>
      <c r="AM311" s="178"/>
      <c r="AN311" s="178"/>
      <c r="AO311" s="178"/>
      <c r="AP311" s="178"/>
      <c r="AQ311" s="178"/>
      <c r="AR311" s="178"/>
      <c r="AS311" s="178"/>
      <c r="AT311" s="178"/>
      <c r="AU311" s="178"/>
      <c r="AV311" s="178"/>
      <c r="AW311" s="178"/>
      <c r="AX311" s="178"/>
    </row>
    <row r="312" spans="1:50" ht="15.75" customHeight="1" x14ac:dyDescent="0.3">
      <c r="A312" s="13"/>
      <c r="B312" s="13"/>
      <c r="C312" s="13"/>
      <c r="D312" s="6"/>
      <c r="E312" s="8"/>
      <c r="F312" s="8"/>
      <c r="G312" s="8"/>
      <c r="H312" s="8"/>
      <c r="I312" s="8"/>
      <c r="J312" s="42"/>
      <c r="K312" s="7"/>
      <c r="L312" s="7"/>
      <c r="M312" s="7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78"/>
      <c r="AI312" s="178"/>
      <c r="AJ312" s="178"/>
      <c r="AK312" s="178"/>
      <c r="AL312" s="178"/>
      <c r="AM312" s="178"/>
      <c r="AN312" s="178"/>
      <c r="AO312" s="178"/>
      <c r="AP312" s="178"/>
      <c r="AQ312" s="178"/>
      <c r="AR312" s="178"/>
      <c r="AS312" s="178"/>
      <c r="AT312" s="178"/>
      <c r="AU312" s="178"/>
      <c r="AV312" s="178"/>
      <c r="AW312" s="178"/>
      <c r="AX312" s="178"/>
    </row>
    <row r="313" spans="1:50" ht="15.75" customHeight="1" x14ac:dyDescent="0.3">
      <c r="A313" s="13"/>
      <c r="B313" s="13"/>
      <c r="C313" s="13"/>
      <c r="D313" s="6"/>
      <c r="E313" s="8"/>
      <c r="F313" s="8"/>
      <c r="G313" s="8"/>
      <c r="H313" s="8"/>
      <c r="I313" s="8"/>
      <c r="J313" s="42"/>
      <c r="K313" s="7"/>
      <c r="L313" s="7"/>
      <c r="M313" s="7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</row>
    <row r="314" spans="1:50" ht="15.75" customHeight="1" x14ac:dyDescent="0.3">
      <c r="A314" s="13"/>
      <c r="B314" s="13"/>
      <c r="C314" s="13"/>
      <c r="D314" s="6"/>
      <c r="E314" s="8"/>
      <c r="F314" s="8"/>
      <c r="G314" s="8"/>
      <c r="H314" s="8"/>
      <c r="I314" s="8"/>
      <c r="J314" s="42"/>
      <c r="K314" s="7"/>
      <c r="L314" s="7"/>
      <c r="M314" s="7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  <c r="AR314" s="178"/>
      <c r="AS314" s="178"/>
      <c r="AT314" s="178"/>
      <c r="AU314" s="178"/>
      <c r="AV314" s="178"/>
      <c r="AW314" s="178"/>
      <c r="AX314" s="178"/>
    </row>
    <row r="315" spans="1:50" ht="15.75" customHeight="1" x14ac:dyDescent="0.3">
      <c r="A315" s="13"/>
      <c r="B315" s="13"/>
      <c r="C315" s="13"/>
      <c r="D315" s="6"/>
      <c r="E315" s="8"/>
      <c r="F315" s="8"/>
      <c r="G315" s="8"/>
      <c r="H315" s="8"/>
      <c r="I315" s="8"/>
      <c r="J315" s="42"/>
      <c r="K315" s="7"/>
      <c r="L315" s="7"/>
      <c r="M315" s="7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78"/>
      <c r="AI315" s="178"/>
      <c r="AJ315" s="178"/>
      <c r="AK315" s="178"/>
      <c r="AL315" s="178"/>
      <c r="AM315" s="178"/>
      <c r="AN315" s="178"/>
      <c r="AO315" s="178"/>
      <c r="AP315" s="178"/>
      <c r="AQ315" s="178"/>
      <c r="AR315" s="178"/>
      <c r="AS315" s="178"/>
      <c r="AT315" s="178"/>
      <c r="AU315" s="178"/>
      <c r="AV315" s="178"/>
      <c r="AW315" s="178"/>
      <c r="AX315" s="178"/>
    </row>
    <row r="316" spans="1:50" ht="15.75" customHeight="1" x14ac:dyDescent="0.3">
      <c r="A316" s="13"/>
      <c r="B316" s="13"/>
      <c r="C316" s="13"/>
      <c r="D316" s="6"/>
      <c r="E316" s="8"/>
      <c r="F316" s="8"/>
      <c r="G316" s="8"/>
      <c r="H316" s="8"/>
      <c r="I316" s="8"/>
      <c r="J316" s="42"/>
      <c r="K316" s="7"/>
      <c r="L316" s="7"/>
      <c r="M316" s="7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78"/>
      <c r="AI316" s="178"/>
      <c r="AJ316" s="178"/>
      <c r="AK316" s="178"/>
      <c r="AL316" s="178"/>
      <c r="AM316" s="178"/>
      <c r="AN316" s="178"/>
      <c r="AO316" s="178"/>
      <c r="AP316" s="178"/>
      <c r="AQ316" s="178"/>
      <c r="AR316" s="178"/>
      <c r="AS316" s="178"/>
      <c r="AT316" s="178"/>
      <c r="AU316" s="178"/>
      <c r="AV316" s="178"/>
      <c r="AW316" s="178"/>
      <c r="AX316" s="178"/>
    </row>
    <row r="317" spans="1:50" ht="15.75" customHeight="1" x14ac:dyDescent="0.3">
      <c r="A317" s="13"/>
      <c r="B317" s="13"/>
      <c r="C317" s="13"/>
      <c r="D317" s="6"/>
      <c r="E317" s="8"/>
      <c r="F317" s="8"/>
      <c r="G317" s="8"/>
      <c r="H317" s="8"/>
      <c r="I317" s="8"/>
      <c r="J317" s="42"/>
      <c r="K317" s="7"/>
      <c r="L317" s="7"/>
      <c r="M317" s="7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  <c r="AR317" s="178"/>
      <c r="AS317" s="178"/>
      <c r="AT317" s="178"/>
      <c r="AU317" s="178"/>
      <c r="AV317" s="178"/>
      <c r="AW317" s="178"/>
      <c r="AX317" s="178"/>
    </row>
    <row r="318" spans="1:50" ht="15.75" customHeight="1" x14ac:dyDescent="0.3">
      <c r="A318" s="13"/>
      <c r="B318" s="13"/>
      <c r="C318" s="13"/>
      <c r="D318" s="6"/>
      <c r="E318" s="8"/>
      <c r="F318" s="8"/>
      <c r="G318" s="8"/>
      <c r="H318" s="8"/>
      <c r="I318" s="8"/>
      <c r="J318" s="42"/>
      <c r="K318" s="7"/>
      <c r="L318" s="7"/>
      <c r="M318" s="7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  <c r="AR318" s="178"/>
      <c r="AS318" s="178"/>
      <c r="AT318" s="178"/>
      <c r="AU318" s="178"/>
      <c r="AV318" s="178"/>
      <c r="AW318" s="178"/>
      <c r="AX318" s="178"/>
    </row>
    <row r="319" spans="1:50" ht="15.75" customHeight="1" x14ac:dyDescent="0.3">
      <c r="A319" s="13"/>
      <c r="B319" s="13"/>
      <c r="C319" s="13"/>
      <c r="D319" s="6"/>
      <c r="E319" s="8"/>
      <c r="F319" s="8"/>
      <c r="G319" s="8"/>
      <c r="H319" s="8"/>
      <c r="I319" s="8"/>
      <c r="J319" s="42"/>
      <c r="K319" s="7"/>
      <c r="L319" s="7"/>
      <c r="M319" s="7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  <c r="AP319" s="178"/>
      <c r="AQ319" s="178"/>
      <c r="AR319" s="178"/>
      <c r="AS319" s="178"/>
      <c r="AT319" s="178"/>
      <c r="AU319" s="178"/>
      <c r="AV319" s="178"/>
      <c r="AW319" s="178"/>
      <c r="AX319" s="178"/>
    </row>
    <row r="320" spans="1:50" ht="15.75" customHeight="1" x14ac:dyDescent="0.3">
      <c r="A320" s="13"/>
      <c r="B320" s="13"/>
      <c r="C320" s="13"/>
      <c r="D320" s="6"/>
      <c r="E320" s="8"/>
      <c r="F320" s="8"/>
      <c r="G320" s="8"/>
      <c r="H320" s="8"/>
      <c r="I320" s="8"/>
      <c r="J320" s="42"/>
      <c r="K320" s="7"/>
      <c r="L320" s="7"/>
      <c r="M320" s="7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178"/>
    </row>
    <row r="321" spans="1:50" ht="15.75" customHeight="1" x14ac:dyDescent="0.3">
      <c r="A321" s="13"/>
      <c r="B321" s="13"/>
      <c r="C321" s="13"/>
      <c r="D321" s="6"/>
      <c r="E321" s="8"/>
      <c r="F321" s="8"/>
      <c r="G321" s="8"/>
      <c r="H321" s="8"/>
      <c r="I321" s="8"/>
      <c r="J321" s="42"/>
      <c r="K321" s="7"/>
      <c r="L321" s="7"/>
      <c r="M321" s="7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178"/>
    </row>
    <row r="322" spans="1:50" ht="15.75" customHeight="1" x14ac:dyDescent="0.3">
      <c r="A322" s="13"/>
      <c r="B322" s="13"/>
      <c r="C322" s="13"/>
      <c r="D322" s="6"/>
      <c r="E322" s="8"/>
      <c r="F322" s="8"/>
      <c r="G322" s="8"/>
      <c r="H322" s="8"/>
      <c r="I322" s="8"/>
      <c r="J322" s="42"/>
      <c r="K322" s="7"/>
      <c r="L322" s="7"/>
      <c r="M322" s="7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78"/>
      <c r="AI322" s="178"/>
      <c r="AJ322" s="178"/>
      <c r="AK322" s="178"/>
      <c r="AL322" s="178"/>
      <c r="AM322" s="178"/>
      <c r="AN322" s="178"/>
      <c r="AO322" s="178"/>
      <c r="AP322" s="178"/>
      <c r="AQ322" s="178"/>
      <c r="AR322" s="178"/>
      <c r="AS322" s="178"/>
      <c r="AT322" s="178"/>
      <c r="AU322" s="178"/>
      <c r="AV322" s="178"/>
      <c r="AW322" s="178"/>
      <c r="AX322" s="178"/>
    </row>
    <row r="323" spans="1:50" ht="15.75" customHeight="1" x14ac:dyDescent="0.3">
      <c r="A323" s="13"/>
      <c r="B323" s="13"/>
      <c r="C323" s="13"/>
      <c r="D323" s="6"/>
      <c r="E323" s="8"/>
      <c r="F323" s="8"/>
      <c r="G323" s="8"/>
      <c r="H323" s="8"/>
      <c r="I323" s="8"/>
      <c r="J323" s="42"/>
      <c r="K323" s="7"/>
      <c r="L323" s="7"/>
      <c r="M323" s="7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78"/>
      <c r="AI323" s="178"/>
      <c r="AJ323" s="178"/>
      <c r="AK323" s="178"/>
      <c r="AL323" s="178"/>
      <c r="AM323" s="178"/>
      <c r="AN323" s="178"/>
      <c r="AO323" s="178"/>
      <c r="AP323" s="178"/>
      <c r="AQ323" s="178"/>
      <c r="AR323" s="178"/>
      <c r="AS323" s="178"/>
      <c r="AT323" s="178"/>
      <c r="AU323" s="178"/>
      <c r="AV323" s="178"/>
      <c r="AW323" s="178"/>
      <c r="AX323" s="178"/>
    </row>
    <row r="324" spans="1:50" ht="15.75" customHeight="1" x14ac:dyDescent="0.3">
      <c r="A324" s="13"/>
      <c r="B324" s="13"/>
      <c r="C324" s="13"/>
      <c r="D324" s="6"/>
      <c r="E324" s="8"/>
      <c r="F324" s="8"/>
      <c r="G324" s="8"/>
      <c r="H324" s="8"/>
      <c r="I324" s="8"/>
      <c r="J324" s="42"/>
      <c r="K324" s="7"/>
      <c r="L324" s="7"/>
      <c r="M324" s="7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  <c r="AW324" s="178"/>
      <c r="AX324" s="178"/>
    </row>
    <row r="325" spans="1:50" ht="15.75" customHeight="1" x14ac:dyDescent="0.3">
      <c r="A325" s="13"/>
      <c r="B325" s="13"/>
      <c r="C325" s="13"/>
      <c r="D325" s="6"/>
      <c r="E325" s="8"/>
      <c r="F325" s="8"/>
      <c r="G325" s="8"/>
      <c r="H325" s="8"/>
      <c r="I325" s="8"/>
      <c r="J325" s="42"/>
      <c r="K325" s="7"/>
      <c r="L325" s="7"/>
      <c r="M325" s="7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  <c r="AW325" s="178"/>
      <c r="AX325" s="178"/>
    </row>
    <row r="326" spans="1:50" ht="15.75" customHeight="1" x14ac:dyDescent="0.3">
      <c r="A326" s="13"/>
      <c r="B326" s="13"/>
      <c r="C326" s="13"/>
      <c r="D326" s="6"/>
      <c r="E326" s="8"/>
      <c r="F326" s="8"/>
      <c r="G326" s="8"/>
      <c r="H326" s="8"/>
      <c r="I326" s="8"/>
      <c r="J326" s="42"/>
      <c r="K326" s="7"/>
      <c r="L326" s="7"/>
      <c r="M326" s="7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78"/>
      <c r="AK326" s="178"/>
      <c r="AL326" s="178"/>
      <c r="AM326" s="178"/>
      <c r="AN326" s="178"/>
      <c r="AO326" s="178"/>
      <c r="AP326" s="178"/>
      <c r="AQ326" s="178"/>
      <c r="AR326" s="178"/>
      <c r="AS326" s="178"/>
      <c r="AT326" s="178"/>
      <c r="AU326" s="178"/>
      <c r="AV326" s="178"/>
      <c r="AW326" s="178"/>
      <c r="AX326" s="178"/>
    </row>
    <row r="327" spans="1:50" ht="15.75" customHeight="1" x14ac:dyDescent="0.3">
      <c r="A327" s="13"/>
      <c r="B327" s="13"/>
      <c r="C327" s="13"/>
      <c r="D327" s="6"/>
      <c r="E327" s="8"/>
      <c r="F327" s="8"/>
      <c r="G327" s="8"/>
      <c r="H327" s="8"/>
      <c r="I327" s="8"/>
      <c r="J327" s="42"/>
      <c r="K327" s="7"/>
      <c r="L327" s="7"/>
      <c r="M327" s="7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78"/>
      <c r="AK327" s="178"/>
      <c r="AL327" s="178"/>
      <c r="AM327" s="178"/>
      <c r="AN327" s="178"/>
      <c r="AO327" s="178"/>
      <c r="AP327" s="178"/>
      <c r="AQ327" s="178"/>
      <c r="AR327" s="178"/>
      <c r="AS327" s="178"/>
      <c r="AT327" s="178"/>
      <c r="AU327" s="178"/>
      <c r="AV327" s="178"/>
      <c r="AW327" s="178"/>
      <c r="AX327" s="178"/>
    </row>
    <row r="328" spans="1:50" ht="15.75" customHeight="1" x14ac:dyDescent="0.3">
      <c r="A328" s="13"/>
      <c r="B328" s="13"/>
      <c r="C328" s="13"/>
      <c r="D328" s="6"/>
      <c r="E328" s="8"/>
      <c r="F328" s="8"/>
      <c r="G328" s="8"/>
      <c r="H328" s="8"/>
      <c r="I328" s="8"/>
      <c r="J328" s="42"/>
      <c r="K328" s="7"/>
      <c r="L328" s="7"/>
      <c r="M328" s="7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78"/>
      <c r="AK328" s="178"/>
      <c r="AL328" s="178"/>
      <c r="AM328" s="178"/>
      <c r="AN328" s="178"/>
      <c r="AO328" s="178"/>
      <c r="AP328" s="178"/>
      <c r="AQ328" s="178"/>
      <c r="AR328" s="178"/>
      <c r="AS328" s="178"/>
      <c r="AT328" s="178"/>
      <c r="AU328" s="178"/>
      <c r="AV328" s="178"/>
      <c r="AW328" s="178"/>
      <c r="AX328" s="178"/>
    </row>
    <row r="329" spans="1:50" ht="15.75" customHeight="1" x14ac:dyDescent="0.3">
      <c r="A329" s="13"/>
      <c r="B329" s="13"/>
      <c r="C329" s="13"/>
      <c r="D329" s="6"/>
      <c r="E329" s="8"/>
      <c r="F329" s="8"/>
      <c r="G329" s="8"/>
      <c r="H329" s="8"/>
      <c r="I329" s="8"/>
      <c r="J329" s="42"/>
      <c r="K329" s="7"/>
      <c r="L329" s="7"/>
      <c r="M329" s="7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  <c r="AR329" s="178"/>
      <c r="AS329" s="178"/>
      <c r="AT329" s="178"/>
      <c r="AU329" s="178"/>
      <c r="AV329" s="178"/>
      <c r="AW329" s="178"/>
      <c r="AX329" s="178"/>
    </row>
    <row r="330" spans="1:50" ht="15.75" customHeight="1" x14ac:dyDescent="0.3">
      <c r="A330" s="13"/>
      <c r="B330" s="13"/>
      <c r="C330" s="13"/>
      <c r="D330" s="6"/>
      <c r="E330" s="8"/>
      <c r="F330" s="8"/>
      <c r="G330" s="8"/>
      <c r="H330" s="8"/>
      <c r="I330" s="8"/>
      <c r="J330" s="42"/>
      <c r="K330" s="7"/>
      <c r="L330" s="7"/>
      <c r="M330" s="7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</row>
    <row r="331" spans="1:50" ht="15.75" customHeight="1" x14ac:dyDescent="0.3">
      <c r="A331" s="13"/>
      <c r="B331" s="13"/>
      <c r="C331" s="13"/>
      <c r="D331" s="6"/>
      <c r="E331" s="8"/>
      <c r="F331" s="8"/>
      <c r="G331" s="8"/>
      <c r="H331" s="8"/>
      <c r="I331" s="8"/>
      <c r="J331" s="42"/>
      <c r="K331" s="7"/>
      <c r="L331" s="7"/>
      <c r="M331" s="7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</row>
    <row r="332" spans="1:50" ht="15.75" customHeight="1" x14ac:dyDescent="0.3">
      <c r="A332" s="13"/>
      <c r="B332" s="13"/>
      <c r="C332" s="13"/>
      <c r="D332" s="6"/>
      <c r="E332" s="8"/>
      <c r="F332" s="8"/>
      <c r="G332" s="8"/>
      <c r="H332" s="8"/>
      <c r="I332" s="8"/>
      <c r="J332" s="42"/>
      <c r="K332" s="7"/>
      <c r="L332" s="7"/>
      <c r="M332" s="7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</row>
    <row r="333" spans="1:50" ht="15.75" customHeight="1" x14ac:dyDescent="0.3">
      <c r="A333" s="13"/>
      <c r="B333" s="13"/>
      <c r="C333" s="13"/>
      <c r="D333" s="6"/>
      <c r="E333" s="8"/>
      <c r="F333" s="8"/>
      <c r="G333" s="8"/>
      <c r="H333" s="8"/>
      <c r="I333" s="8"/>
      <c r="J333" s="42"/>
      <c r="K333" s="7"/>
      <c r="L333" s="7"/>
      <c r="M333" s="7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</row>
    <row r="334" spans="1:50" ht="15.75" customHeight="1" x14ac:dyDescent="0.3">
      <c r="A334" s="13"/>
      <c r="B334" s="13"/>
      <c r="C334" s="13"/>
      <c r="D334" s="6"/>
      <c r="E334" s="8"/>
      <c r="F334" s="8"/>
      <c r="G334" s="8"/>
      <c r="H334" s="8"/>
      <c r="I334" s="8"/>
      <c r="J334" s="42"/>
      <c r="K334" s="7"/>
      <c r="L334" s="7"/>
      <c r="M334" s="7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</row>
    <row r="335" spans="1:50" ht="15.75" customHeight="1" x14ac:dyDescent="0.3">
      <c r="A335" s="13"/>
      <c r="B335" s="13"/>
      <c r="C335" s="13"/>
      <c r="D335" s="6"/>
      <c r="E335" s="8"/>
      <c r="F335" s="8"/>
      <c r="G335" s="8"/>
      <c r="H335" s="8"/>
      <c r="I335" s="8"/>
      <c r="J335" s="42"/>
      <c r="K335" s="7"/>
      <c r="L335" s="7"/>
      <c r="M335" s="7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</row>
    <row r="336" spans="1:50" ht="15.75" customHeight="1" x14ac:dyDescent="0.3">
      <c r="A336" s="13"/>
      <c r="B336" s="13"/>
      <c r="C336" s="13"/>
      <c r="D336" s="6"/>
      <c r="E336" s="8"/>
      <c r="F336" s="8"/>
      <c r="G336" s="8"/>
      <c r="H336" s="8"/>
      <c r="I336" s="8"/>
      <c r="J336" s="42"/>
      <c r="K336" s="7"/>
      <c r="L336" s="7"/>
      <c r="M336" s="7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</row>
    <row r="337" spans="1:50" ht="15.75" customHeight="1" x14ac:dyDescent="0.3">
      <c r="A337" s="13"/>
      <c r="B337" s="13"/>
      <c r="C337" s="13"/>
      <c r="D337" s="6"/>
      <c r="E337" s="8"/>
      <c r="F337" s="8"/>
      <c r="G337" s="8"/>
      <c r="H337" s="8"/>
      <c r="I337" s="8"/>
      <c r="J337" s="42"/>
      <c r="K337" s="7"/>
      <c r="L337" s="7"/>
      <c r="M337" s="7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</row>
    <row r="338" spans="1:50" ht="15.75" customHeight="1" x14ac:dyDescent="0.3">
      <c r="A338" s="13"/>
      <c r="B338" s="13"/>
      <c r="C338" s="13"/>
      <c r="D338" s="6"/>
      <c r="E338" s="8"/>
      <c r="F338" s="8"/>
      <c r="G338" s="8"/>
      <c r="H338" s="8"/>
      <c r="I338" s="8"/>
      <c r="J338" s="42"/>
      <c r="K338" s="7"/>
      <c r="L338" s="7"/>
      <c r="M338" s="7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</row>
    <row r="339" spans="1:50" ht="15.75" customHeight="1" x14ac:dyDescent="0.3">
      <c r="A339" s="13"/>
      <c r="B339" s="13"/>
      <c r="C339" s="13"/>
      <c r="D339" s="6"/>
      <c r="E339" s="8"/>
      <c r="F339" s="8"/>
      <c r="G339" s="8"/>
      <c r="H339" s="8"/>
      <c r="I339" s="8"/>
      <c r="J339" s="42"/>
      <c r="K339" s="7"/>
      <c r="L339" s="7"/>
      <c r="M339" s="7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</row>
    <row r="340" spans="1:50" ht="15.75" customHeight="1" x14ac:dyDescent="0.3">
      <c r="A340" s="13"/>
      <c r="B340" s="13"/>
      <c r="C340" s="13"/>
      <c r="D340" s="6"/>
      <c r="E340" s="8"/>
      <c r="F340" s="8"/>
      <c r="G340" s="8"/>
      <c r="H340" s="8"/>
      <c r="I340" s="8"/>
      <c r="J340" s="42"/>
      <c r="K340" s="7"/>
      <c r="L340" s="7"/>
      <c r="M340" s="7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</row>
    <row r="341" spans="1:50" ht="15.75" customHeight="1" x14ac:dyDescent="0.3">
      <c r="A341" s="13"/>
      <c r="B341" s="13"/>
      <c r="C341" s="13"/>
      <c r="D341" s="6"/>
      <c r="E341" s="8"/>
      <c r="F341" s="8"/>
      <c r="G341" s="8"/>
      <c r="H341" s="8"/>
      <c r="I341" s="8"/>
      <c r="J341" s="42"/>
      <c r="K341" s="7"/>
      <c r="L341" s="7"/>
      <c r="M341" s="7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</row>
    <row r="342" spans="1:50" ht="15.75" customHeight="1" x14ac:dyDescent="0.3">
      <c r="A342" s="13"/>
      <c r="B342" s="13"/>
      <c r="C342" s="13"/>
      <c r="D342" s="6"/>
      <c r="E342" s="8"/>
      <c r="F342" s="8"/>
      <c r="G342" s="8"/>
      <c r="H342" s="8"/>
      <c r="I342" s="8"/>
      <c r="J342" s="42"/>
      <c r="K342" s="7"/>
      <c r="L342" s="7"/>
      <c r="M342" s="7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</row>
    <row r="343" spans="1:50" ht="15.75" customHeight="1" x14ac:dyDescent="0.3">
      <c r="A343" s="13"/>
      <c r="B343" s="13"/>
      <c r="C343" s="13"/>
      <c r="D343" s="6"/>
      <c r="E343" s="8"/>
      <c r="F343" s="8"/>
      <c r="G343" s="8"/>
      <c r="H343" s="8"/>
      <c r="I343" s="8"/>
      <c r="J343" s="42"/>
      <c r="K343" s="7"/>
      <c r="L343" s="7"/>
      <c r="M343" s="7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</row>
    <row r="344" spans="1:50" ht="15.75" customHeight="1" x14ac:dyDescent="0.3">
      <c r="A344" s="13"/>
      <c r="B344" s="13"/>
      <c r="C344" s="13"/>
      <c r="D344" s="6"/>
      <c r="E344" s="8"/>
      <c r="F344" s="8"/>
      <c r="G344" s="8"/>
      <c r="H344" s="8"/>
      <c r="I344" s="8"/>
      <c r="J344" s="42"/>
      <c r="K344" s="7"/>
      <c r="L344" s="7"/>
      <c r="M344" s="7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</row>
    <row r="345" spans="1:50" ht="15.75" customHeight="1" x14ac:dyDescent="0.3">
      <c r="A345" s="13"/>
      <c r="B345" s="13"/>
      <c r="C345" s="13"/>
      <c r="D345" s="6"/>
      <c r="E345" s="8"/>
      <c r="F345" s="8"/>
      <c r="G345" s="8"/>
      <c r="H345" s="8"/>
      <c r="I345" s="8"/>
      <c r="J345" s="42"/>
      <c r="K345" s="7"/>
      <c r="L345" s="7"/>
      <c r="M345" s="7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</row>
    <row r="346" spans="1:50" ht="15.75" customHeight="1" x14ac:dyDescent="0.3">
      <c r="A346" s="13"/>
      <c r="B346" s="13"/>
      <c r="C346" s="13"/>
      <c r="D346" s="6"/>
      <c r="E346" s="8"/>
      <c r="F346" s="8"/>
      <c r="G346" s="8"/>
      <c r="H346" s="8"/>
      <c r="I346" s="8"/>
      <c r="J346" s="42"/>
      <c r="K346" s="7"/>
      <c r="L346" s="7"/>
      <c r="M346" s="7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</row>
    <row r="347" spans="1:50" ht="15.75" customHeight="1" x14ac:dyDescent="0.3">
      <c r="A347" s="13"/>
      <c r="B347" s="13"/>
      <c r="C347" s="13"/>
      <c r="D347" s="6"/>
      <c r="E347" s="8"/>
      <c r="F347" s="8"/>
      <c r="G347" s="8"/>
      <c r="H347" s="8"/>
      <c r="I347" s="8"/>
      <c r="J347" s="42"/>
      <c r="K347" s="7"/>
      <c r="L347" s="7"/>
      <c r="M347" s="7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</row>
    <row r="348" spans="1:50" ht="15.75" customHeight="1" x14ac:dyDescent="0.3">
      <c r="A348" s="13"/>
      <c r="B348" s="13"/>
      <c r="C348" s="13"/>
      <c r="D348" s="6"/>
      <c r="E348" s="8"/>
      <c r="F348" s="8"/>
      <c r="G348" s="8"/>
      <c r="H348" s="8"/>
      <c r="I348" s="8"/>
      <c r="J348" s="42"/>
      <c r="K348" s="7"/>
      <c r="L348" s="7"/>
      <c r="M348" s="7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</row>
    <row r="349" spans="1:50" ht="15.75" customHeight="1" x14ac:dyDescent="0.3">
      <c r="A349" s="13"/>
      <c r="B349" s="13"/>
      <c r="C349" s="13"/>
      <c r="D349" s="6"/>
      <c r="E349" s="8"/>
      <c r="F349" s="8"/>
      <c r="G349" s="8"/>
      <c r="H349" s="8"/>
      <c r="I349" s="8"/>
      <c r="J349" s="42"/>
      <c r="K349" s="7"/>
      <c r="L349" s="7"/>
      <c r="M349" s="7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</row>
    <row r="350" spans="1:50" ht="15.75" customHeight="1" x14ac:dyDescent="0.3">
      <c r="A350" s="13"/>
      <c r="B350" s="13"/>
      <c r="C350" s="13"/>
      <c r="D350" s="6"/>
      <c r="E350" s="8"/>
      <c r="F350" s="8"/>
      <c r="G350" s="8"/>
      <c r="H350" s="8"/>
      <c r="I350" s="8"/>
      <c r="J350" s="42"/>
      <c r="K350" s="7"/>
      <c r="L350" s="7"/>
      <c r="M350" s="7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</row>
    <row r="351" spans="1:50" ht="15.75" customHeight="1" x14ac:dyDescent="0.3">
      <c r="A351" s="13"/>
      <c r="B351" s="13"/>
      <c r="C351" s="13"/>
      <c r="D351" s="6"/>
      <c r="E351" s="8"/>
      <c r="F351" s="8"/>
      <c r="G351" s="8"/>
      <c r="H351" s="8"/>
      <c r="I351" s="8"/>
      <c r="J351" s="42"/>
      <c r="K351" s="7"/>
      <c r="L351" s="7"/>
      <c r="M351" s="7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</row>
    <row r="352" spans="1:50" ht="15.75" customHeight="1" x14ac:dyDescent="0.3">
      <c r="A352" s="13"/>
      <c r="B352" s="13"/>
      <c r="C352" s="13"/>
      <c r="D352" s="6"/>
      <c r="E352" s="8"/>
      <c r="F352" s="8"/>
      <c r="G352" s="8"/>
      <c r="H352" s="8"/>
      <c r="I352" s="8"/>
      <c r="J352" s="42"/>
      <c r="K352" s="7"/>
      <c r="L352" s="7"/>
      <c r="M352" s="7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</row>
    <row r="353" spans="1:50" ht="15.75" customHeight="1" x14ac:dyDescent="0.3">
      <c r="A353" s="13"/>
      <c r="B353" s="13"/>
      <c r="C353" s="13"/>
      <c r="D353" s="6"/>
      <c r="E353" s="8"/>
      <c r="F353" s="8"/>
      <c r="G353" s="8"/>
      <c r="H353" s="8"/>
      <c r="I353" s="8"/>
      <c r="J353" s="42"/>
      <c r="K353" s="7"/>
      <c r="L353" s="7"/>
      <c r="M353" s="7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</row>
    <row r="354" spans="1:50" ht="15.75" customHeight="1" x14ac:dyDescent="0.3">
      <c r="A354" s="13"/>
      <c r="B354" s="13"/>
      <c r="C354" s="13"/>
      <c r="D354" s="6"/>
      <c r="E354" s="8"/>
      <c r="F354" s="8"/>
      <c r="G354" s="8"/>
      <c r="H354" s="8"/>
      <c r="I354" s="8"/>
      <c r="J354" s="42"/>
      <c r="K354" s="7"/>
      <c r="L354" s="7"/>
      <c r="M354" s="7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</row>
    <row r="355" spans="1:50" ht="15.75" customHeight="1" x14ac:dyDescent="0.3">
      <c r="A355" s="13"/>
      <c r="B355" s="13"/>
      <c r="C355" s="13"/>
      <c r="D355" s="6"/>
      <c r="E355" s="8"/>
      <c r="F355" s="8"/>
      <c r="G355" s="8"/>
      <c r="H355" s="8"/>
      <c r="I355" s="8"/>
      <c r="J355" s="42"/>
      <c r="K355" s="7"/>
      <c r="L355" s="7"/>
      <c r="M355" s="7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</row>
    <row r="356" spans="1:50" ht="15.75" customHeight="1" x14ac:dyDescent="0.3">
      <c r="A356" s="13"/>
      <c r="B356" s="13"/>
      <c r="C356" s="13"/>
      <c r="D356" s="6"/>
      <c r="E356" s="8"/>
      <c r="F356" s="8"/>
      <c r="G356" s="8"/>
      <c r="H356" s="8"/>
      <c r="I356" s="8"/>
      <c r="J356" s="42"/>
      <c r="K356" s="7"/>
      <c r="L356" s="7"/>
      <c r="M356" s="7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</row>
    <row r="357" spans="1:50" ht="15.75" customHeight="1" x14ac:dyDescent="0.3">
      <c r="A357" s="13"/>
      <c r="B357" s="13"/>
      <c r="C357" s="13"/>
      <c r="D357" s="6"/>
      <c r="E357" s="8"/>
      <c r="F357" s="8"/>
      <c r="G357" s="8"/>
      <c r="H357" s="8"/>
      <c r="I357" s="8"/>
      <c r="J357" s="42"/>
      <c r="K357" s="7"/>
      <c r="L357" s="7"/>
      <c r="M357" s="7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</row>
    <row r="358" spans="1:50" ht="15.75" customHeight="1" x14ac:dyDescent="0.3">
      <c r="A358" s="13"/>
      <c r="B358" s="13"/>
      <c r="C358" s="13"/>
      <c r="D358" s="6"/>
      <c r="E358" s="8"/>
      <c r="F358" s="8"/>
      <c r="G358" s="8"/>
      <c r="H358" s="8"/>
      <c r="I358" s="8"/>
      <c r="J358" s="42"/>
      <c r="K358" s="7"/>
      <c r="L358" s="7"/>
      <c r="M358" s="7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</row>
    <row r="359" spans="1:50" ht="15.75" customHeight="1" x14ac:dyDescent="0.3">
      <c r="A359" s="13"/>
      <c r="B359" s="13"/>
      <c r="C359" s="13"/>
      <c r="D359" s="6"/>
      <c r="E359" s="8"/>
      <c r="F359" s="8"/>
      <c r="G359" s="8"/>
      <c r="H359" s="8"/>
      <c r="I359" s="8"/>
      <c r="J359" s="42"/>
      <c r="K359" s="7"/>
      <c r="L359" s="7"/>
      <c r="M359" s="7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</row>
    <row r="360" spans="1:50" ht="15.75" customHeight="1" x14ac:dyDescent="0.3">
      <c r="A360" s="13"/>
      <c r="B360" s="13"/>
      <c r="C360" s="13"/>
      <c r="D360" s="6"/>
      <c r="E360" s="8"/>
      <c r="F360" s="8"/>
      <c r="G360" s="8"/>
      <c r="H360" s="8"/>
      <c r="I360" s="8"/>
      <c r="J360" s="42"/>
      <c r="K360" s="7"/>
      <c r="L360" s="7"/>
      <c r="M360" s="7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</row>
    <row r="361" spans="1:50" ht="15.75" customHeight="1" x14ac:dyDescent="0.3">
      <c r="A361" s="13"/>
      <c r="B361" s="13"/>
      <c r="C361" s="13"/>
      <c r="D361" s="6"/>
      <c r="E361" s="8"/>
      <c r="F361" s="8"/>
      <c r="G361" s="8"/>
      <c r="H361" s="8"/>
      <c r="I361" s="8"/>
      <c r="J361" s="42"/>
      <c r="K361" s="7"/>
      <c r="L361" s="7"/>
      <c r="M361" s="7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</row>
    <row r="362" spans="1:50" ht="15.75" customHeight="1" x14ac:dyDescent="0.3">
      <c r="A362" s="13"/>
      <c r="B362" s="13"/>
      <c r="C362" s="13"/>
      <c r="D362" s="6"/>
      <c r="E362" s="8"/>
      <c r="F362" s="8"/>
      <c r="G362" s="8"/>
      <c r="H362" s="8"/>
      <c r="I362" s="8"/>
      <c r="J362" s="42"/>
      <c r="K362" s="7"/>
      <c r="L362" s="7"/>
      <c r="M362" s="7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</row>
    <row r="363" spans="1:50" ht="15.75" customHeight="1" x14ac:dyDescent="0.3">
      <c r="A363" s="13"/>
      <c r="B363" s="13"/>
      <c r="C363" s="13"/>
      <c r="D363" s="6"/>
      <c r="E363" s="8"/>
      <c r="F363" s="8"/>
      <c r="G363" s="8"/>
      <c r="H363" s="8"/>
      <c r="I363" s="8"/>
      <c r="J363" s="42"/>
      <c r="K363" s="7"/>
      <c r="L363" s="7"/>
      <c r="M363" s="7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</row>
    <row r="364" spans="1:50" ht="15.75" customHeight="1" x14ac:dyDescent="0.3">
      <c r="A364" s="13"/>
      <c r="B364" s="13"/>
      <c r="C364" s="13"/>
      <c r="D364" s="6"/>
      <c r="E364" s="8"/>
      <c r="F364" s="8"/>
      <c r="G364" s="8"/>
      <c r="H364" s="8"/>
      <c r="I364" s="8"/>
      <c r="J364" s="42"/>
      <c r="K364" s="7"/>
      <c r="L364" s="7"/>
      <c r="M364" s="7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</row>
    <row r="365" spans="1:50" ht="15.75" customHeight="1" x14ac:dyDescent="0.3">
      <c r="A365" s="13"/>
      <c r="B365" s="13"/>
      <c r="C365" s="13"/>
      <c r="D365" s="6"/>
      <c r="E365" s="8"/>
      <c r="F365" s="8"/>
      <c r="G365" s="8"/>
      <c r="H365" s="8"/>
      <c r="I365" s="8"/>
      <c r="J365" s="42"/>
      <c r="K365" s="7"/>
      <c r="L365" s="7"/>
      <c r="M365" s="7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</row>
    <row r="366" spans="1:50" ht="15.75" customHeight="1" x14ac:dyDescent="0.3">
      <c r="A366" s="13"/>
      <c r="B366" s="13"/>
      <c r="C366" s="13"/>
      <c r="D366" s="6"/>
      <c r="E366" s="8"/>
      <c r="F366" s="8"/>
      <c r="G366" s="8"/>
      <c r="H366" s="8"/>
      <c r="I366" s="8"/>
      <c r="J366" s="42"/>
      <c r="K366" s="7"/>
      <c r="L366" s="7"/>
      <c r="M366" s="7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</row>
    <row r="367" spans="1:50" ht="15.75" customHeight="1" x14ac:dyDescent="0.3">
      <c r="A367" s="13"/>
      <c r="B367" s="13"/>
      <c r="C367" s="13"/>
      <c r="D367" s="6"/>
      <c r="E367" s="8"/>
      <c r="F367" s="8"/>
      <c r="G367" s="8"/>
      <c r="H367" s="8"/>
      <c r="I367" s="8"/>
      <c r="J367" s="42"/>
      <c r="K367" s="7"/>
      <c r="L367" s="7"/>
      <c r="M367" s="7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</row>
    <row r="368" spans="1:50" ht="15.75" customHeight="1" x14ac:dyDescent="0.3">
      <c r="A368" s="13"/>
      <c r="B368" s="13"/>
      <c r="C368" s="13"/>
      <c r="D368" s="6"/>
      <c r="E368" s="8"/>
      <c r="F368" s="8"/>
      <c r="G368" s="8"/>
      <c r="H368" s="8"/>
      <c r="I368" s="8"/>
      <c r="J368" s="42"/>
      <c r="K368" s="7"/>
      <c r="L368" s="7"/>
      <c r="M368" s="7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</row>
    <row r="369" spans="1:50" ht="15.75" customHeight="1" x14ac:dyDescent="0.3">
      <c r="A369" s="13"/>
      <c r="B369" s="13"/>
      <c r="C369" s="13"/>
      <c r="D369" s="6"/>
      <c r="E369" s="8"/>
      <c r="F369" s="8"/>
      <c r="G369" s="8"/>
      <c r="H369" s="8"/>
      <c r="I369" s="8"/>
      <c r="J369" s="42"/>
      <c r="K369" s="7"/>
      <c r="L369" s="7"/>
      <c r="M369" s="7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</row>
    <row r="370" spans="1:50" ht="15.75" customHeight="1" x14ac:dyDescent="0.3">
      <c r="A370" s="13"/>
      <c r="B370" s="13"/>
      <c r="C370" s="13"/>
      <c r="D370" s="6"/>
      <c r="E370" s="8"/>
      <c r="F370" s="8"/>
      <c r="G370" s="8"/>
      <c r="H370" s="8"/>
      <c r="I370" s="8"/>
      <c r="J370" s="42"/>
      <c r="K370" s="7"/>
      <c r="L370" s="7"/>
      <c r="M370" s="7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</row>
    <row r="371" spans="1:50" ht="15.75" customHeight="1" x14ac:dyDescent="0.3">
      <c r="A371" s="13"/>
      <c r="B371" s="13"/>
      <c r="C371" s="13"/>
      <c r="D371" s="6"/>
      <c r="E371" s="8"/>
      <c r="F371" s="8"/>
      <c r="G371" s="8"/>
      <c r="H371" s="8"/>
      <c r="I371" s="8"/>
      <c r="J371" s="42"/>
      <c r="K371" s="7"/>
      <c r="L371" s="7"/>
      <c r="M371" s="7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</row>
    <row r="372" spans="1:50" ht="15.75" customHeight="1" x14ac:dyDescent="0.3">
      <c r="A372" s="13"/>
      <c r="B372" s="13"/>
      <c r="C372" s="13"/>
      <c r="D372" s="6"/>
      <c r="E372" s="8"/>
      <c r="F372" s="8"/>
      <c r="G372" s="8"/>
      <c r="H372" s="8"/>
      <c r="I372" s="8"/>
      <c r="J372" s="42"/>
      <c r="K372" s="7"/>
      <c r="L372" s="7"/>
      <c r="M372" s="7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</row>
    <row r="373" spans="1:50" ht="15.75" customHeight="1" x14ac:dyDescent="0.3">
      <c r="A373" s="13"/>
      <c r="B373" s="13"/>
      <c r="C373" s="13"/>
      <c r="D373" s="6"/>
      <c r="E373" s="8"/>
      <c r="F373" s="8"/>
      <c r="G373" s="8"/>
      <c r="H373" s="8"/>
      <c r="I373" s="8"/>
      <c r="J373" s="42"/>
      <c r="K373" s="7"/>
      <c r="L373" s="7"/>
      <c r="M373" s="7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</row>
    <row r="374" spans="1:50" ht="15.75" customHeight="1" x14ac:dyDescent="0.3">
      <c r="A374" s="13"/>
      <c r="B374" s="13"/>
      <c r="C374" s="13"/>
      <c r="D374" s="6"/>
      <c r="E374" s="8"/>
      <c r="F374" s="8"/>
      <c r="G374" s="8"/>
      <c r="H374" s="8"/>
      <c r="I374" s="8"/>
      <c r="J374" s="42"/>
      <c r="K374" s="7"/>
      <c r="L374" s="7"/>
      <c r="M374" s="7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</row>
    <row r="375" spans="1:50" ht="15.75" customHeight="1" x14ac:dyDescent="0.3">
      <c r="A375" s="13"/>
      <c r="B375" s="13"/>
      <c r="C375" s="13"/>
      <c r="D375" s="6"/>
      <c r="E375" s="8"/>
      <c r="F375" s="8"/>
      <c r="G375" s="8"/>
      <c r="H375" s="8"/>
      <c r="I375" s="8"/>
      <c r="J375" s="42"/>
      <c r="K375" s="7"/>
      <c r="L375" s="7"/>
      <c r="M375" s="7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</row>
    <row r="376" spans="1:50" ht="15.75" customHeight="1" x14ac:dyDescent="0.3">
      <c r="A376" s="13"/>
      <c r="B376" s="13"/>
      <c r="C376" s="13"/>
      <c r="D376" s="6"/>
      <c r="E376" s="8"/>
      <c r="F376" s="8"/>
      <c r="G376" s="8"/>
      <c r="H376" s="8"/>
      <c r="I376" s="8"/>
      <c r="J376" s="42"/>
      <c r="K376" s="7"/>
      <c r="L376" s="7"/>
      <c r="M376" s="7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</row>
    <row r="377" spans="1:50" ht="15.75" customHeight="1" x14ac:dyDescent="0.3">
      <c r="A377" s="13"/>
      <c r="B377" s="13"/>
      <c r="C377" s="13"/>
      <c r="D377" s="6"/>
      <c r="E377" s="8"/>
      <c r="F377" s="8"/>
      <c r="G377" s="8"/>
      <c r="H377" s="8"/>
      <c r="I377" s="8"/>
      <c r="J377" s="42"/>
      <c r="K377" s="7"/>
      <c r="L377" s="7"/>
      <c r="M377" s="7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</row>
    <row r="378" spans="1:50" ht="15.75" customHeight="1" x14ac:dyDescent="0.3">
      <c r="A378" s="13"/>
      <c r="B378" s="13"/>
      <c r="C378" s="13"/>
      <c r="D378" s="6"/>
      <c r="E378" s="8"/>
      <c r="F378" s="8"/>
      <c r="G378" s="8"/>
      <c r="H378" s="8"/>
      <c r="I378" s="8"/>
      <c r="J378" s="42"/>
      <c r="K378" s="7"/>
      <c r="L378" s="7"/>
      <c r="M378" s="7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</row>
    <row r="379" spans="1:50" ht="15.75" customHeight="1" x14ac:dyDescent="0.3">
      <c r="A379" s="13"/>
      <c r="B379" s="13"/>
      <c r="C379" s="13"/>
      <c r="D379" s="6"/>
      <c r="E379" s="8"/>
      <c r="F379" s="8"/>
      <c r="G379" s="8"/>
      <c r="H379" s="8"/>
      <c r="I379" s="8"/>
      <c r="J379" s="42"/>
      <c r="K379" s="7"/>
      <c r="L379" s="7"/>
      <c r="M379" s="7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</row>
    <row r="380" spans="1:50" ht="15.75" customHeight="1" x14ac:dyDescent="0.3">
      <c r="A380" s="13"/>
      <c r="B380" s="13"/>
      <c r="C380" s="13"/>
      <c r="D380" s="6"/>
      <c r="E380" s="8"/>
      <c r="F380" s="8"/>
      <c r="G380" s="8"/>
      <c r="H380" s="8"/>
      <c r="I380" s="8"/>
      <c r="J380" s="42"/>
      <c r="K380" s="7"/>
      <c r="L380" s="7"/>
      <c r="M380" s="7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</row>
    <row r="381" spans="1:50" ht="15.75" customHeight="1" x14ac:dyDescent="0.3">
      <c r="A381" s="13"/>
      <c r="B381" s="13"/>
      <c r="C381" s="13"/>
      <c r="D381" s="6"/>
      <c r="E381" s="8"/>
      <c r="F381" s="8"/>
      <c r="G381" s="8"/>
      <c r="H381" s="8"/>
      <c r="I381" s="8"/>
      <c r="J381" s="42"/>
      <c r="K381" s="7"/>
      <c r="L381" s="7"/>
      <c r="M381" s="7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</row>
    <row r="382" spans="1:50" ht="15.75" customHeight="1" x14ac:dyDescent="0.3">
      <c r="A382" s="13"/>
      <c r="B382" s="13"/>
      <c r="C382" s="13"/>
      <c r="D382" s="6"/>
      <c r="E382" s="8"/>
      <c r="F382" s="8"/>
      <c r="G382" s="8"/>
      <c r="H382" s="8"/>
      <c r="I382" s="8"/>
      <c r="J382" s="42"/>
      <c r="K382" s="7"/>
      <c r="L382" s="7"/>
      <c r="M382" s="7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</row>
    <row r="383" spans="1:50" ht="15.75" customHeight="1" x14ac:dyDescent="0.3">
      <c r="A383" s="13"/>
      <c r="B383" s="13"/>
      <c r="C383" s="13"/>
      <c r="D383" s="6"/>
      <c r="E383" s="8"/>
      <c r="F383" s="8"/>
      <c r="G383" s="8"/>
      <c r="H383" s="8"/>
      <c r="I383" s="8"/>
      <c r="J383" s="42"/>
      <c r="K383" s="7"/>
      <c r="L383" s="7"/>
      <c r="M383" s="7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</row>
    <row r="384" spans="1:50" ht="15.75" customHeight="1" x14ac:dyDescent="0.3">
      <c r="A384" s="13"/>
      <c r="B384" s="13"/>
      <c r="C384" s="13"/>
      <c r="D384" s="6"/>
      <c r="E384" s="8"/>
      <c r="F384" s="8"/>
      <c r="G384" s="8"/>
      <c r="H384" s="8"/>
      <c r="I384" s="8"/>
      <c r="J384" s="42"/>
      <c r="K384" s="7"/>
      <c r="L384" s="7"/>
      <c r="M384" s="7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</row>
    <row r="385" spans="1:50" ht="15.75" customHeight="1" x14ac:dyDescent="0.3">
      <c r="A385" s="13"/>
      <c r="B385" s="13"/>
      <c r="C385" s="13"/>
      <c r="D385" s="6"/>
      <c r="E385" s="8"/>
      <c r="F385" s="8"/>
      <c r="G385" s="8"/>
      <c r="H385" s="8"/>
      <c r="I385" s="8"/>
      <c r="J385" s="42"/>
      <c r="K385" s="7"/>
      <c r="L385" s="7"/>
      <c r="M385" s="7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</row>
    <row r="386" spans="1:50" ht="15.75" customHeight="1" x14ac:dyDescent="0.3">
      <c r="A386" s="13"/>
      <c r="B386" s="13"/>
      <c r="C386" s="13"/>
      <c r="D386" s="6"/>
      <c r="E386" s="8"/>
      <c r="F386" s="8"/>
      <c r="G386" s="8"/>
      <c r="H386" s="8"/>
      <c r="I386" s="8"/>
      <c r="J386" s="42"/>
      <c r="K386" s="7"/>
      <c r="L386" s="7"/>
      <c r="M386" s="7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</row>
    <row r="387" spans="1:50" ht="15.75" customHeight="1" x14ac:dyDescent="0.3">
      <c r="A387" s="13"/>
      <c r="B387" s="13"/>
      <c r="C387" s="13"/>
      <c r="E387" s="178"/>
      <c r="H387" s="178"/>
      <c r="J387" s="42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</row>
    <row r="388" spans="1:50" ht="15.75" customHeight="1" x14ac:dyDescent="0.3">
      <c r="A388" s="13"/>
      <c r="B388" s="13"/>
      <c r="C388" s="13"/>
      <c r="E388" s="178"/>
      <c r="H388" s="178"/>
      <c r="J388" s="42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</row>
    <row r="389" spans="1:50" ht="15.75" customHeight="1" x14ac:dyDescent="0.3">
      <c r="A389" s="13"/>
      <c r="B389" s="13"/>
      <c r="C389" s="13"/>
      <c r="E389" s="178"/>
      <c r="H389" s="178"/>
      <c r="J389" s="42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</row>
    <row r="390" spans="1:50" ht="15.75" customHeight="1" x14ac:dyDescent="0.3">
      <c r="A390" s="13"/>
      <c r="B390" s="13"/>
      <c r="C390" s="13"/>
      <c r="E390" s="178"/>
      <c r="H390" s="178"/>
      <c r="J390" s="42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</row>
    <row r="391" spans="1:50" ht="15.75" customHeight="1" x14ac:dyDescent="0.3">
      <c r="A391" s="13"/>
      <c r="B391" s="13"/>
      <c r="C391" s="13"/>
      <c r="E391" s="178"/>
      <c r="H391" s="178"/>
      <c r="J391" s="42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</row>
    <row r="392" spans="1:50" ht="15.75" customHeight="1" x14ac:dyDescent="0.3">
      <c r="A392" s="13"/>
      <c r="B392" s="13"/>
      <c r="C392" s="13"/>
      <c r="E392" s="178"/>
      <c r="H392" s="178"/>
      <c r="J392" s="42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</row>
    <row r="393" spans="1:50" ht="15.75" customHeight="1" x14ac:dyDescent="0.3">
      <c r="A393" s="13"/>
      <c r="B393" s="13"/>
      <c r="C393" s="13"/>
      <c r="E393" s="178"/>
      <c r="H393" s="178"/>
      <c r="J393" s="42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</row>
    <row r="394" spans="1:50" ht="15.75" customHeight="1" x14ac:dyDescent="0.3">
      <c r="A394" s="13"/>
      <c r="B394" s="13"/>
      <c r="C394" s="13"/>
      <c r="E394" s="178"/>
      <c r="H394" s="178"/>
      <c r="J394" s="42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</row>
    <row r="395" spans="1:50" ht="15.75" customHeight="1" x14ac:dyDescent="0.3">
      <c r="A395" s="13"/>
      <c r="B395" s="13"/>
      <c r="C395" s="13"/>
      <c r="E395" s="178"/>
      <c r="H395" s="178"/>
      <c r="J395" s="42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</row>
    <row r="396" spans="1:50" ht="15.75" customHeight="1" x14ac:dyDescent="0.3">
      <c r="A396" s="13"/>
      <c r="B396" s="13"/>
      <c r="C396" s="13"/>
      <c r="E396" s="178"/>
      <c r="H396" s="178"/>
      <c r="J396" s="42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</row>
    <row r="397" spans="1:50" ht="15.75" customHeight="1" x14ac:dyDescent="0.3">
      <c r="A397" s="13"/>
      <c r="B397" s="13"/>
      <c r="C397" s="13"/>
      <c r="E397" s="178"/>
      <c r="H397" s="178"/>
      <c r="J397" s="42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</row>
    <row r="398" spans="1:50" ht="15.75" customHeight="1" x14ac:dyDescent="0.3">
      <c r="A398" s="13"/>
      <c r="B398" s="13"/>
      <c r="C398" s="13"/>
      <c r="E398" s="178"/>
      <c r="H398" s="178"/>
      <c r="J398" s="42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</row>
    <row r="399" spans="1:50" ht="15.75" customHeight="1" x14ac:dyDescent="0.3">
      <c r="A399" s="13"/>
      <c r="B399" s="13"/>
      <c r="C399" s="13"/>
      <c r="E399" s="178"/>
      <c r="H399" s="178"/>
      <c r="J399" s="42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</row>
    <row r="400" spans="1:50" ht="15.75" customHeight="1" x14ac:dyDescent="0.3">
      <c r="A400" s="13"/>
      <c r="B400" s="13"/>
      <c r="C400" s="13"/>
      <c r="E400" s="178"/>
      <c r="H400" s="178"/>
      <c r="J400" s="42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</row>
    <row r="401" spans="1:50" ht="15.75" customHeight="1" x14ac:dyDescent="0.3">
      <c r="A401" s="13"/>
      <c r="B401" s="13"/>
      <c r="C401" s="13"/>
      <c r="E401" s="178"/>
      <c r="H401" s="178"/>
      <c r="J401" s="42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</row>
    <row r="402" spans="1:50" ht="15.75" customHeight="1" x14ac:dyDescent="0.3">
      <c r="A402" s="13"/>
      <c r="B402" s="13"/>
      <c r="C402" s="13"/>
      <c r="E402" s="178"/>
      <c r="H402" s="178"/>
      <c r="J402" s="42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</row>
    <row r="403" spans="1:50" ht="15.75" customHeight="1" x14ac:dyDescent="0.3">
      <c r="A403" s="13"/>
      <c r="B403" s="13"/>
      <c r="C403" s="13"/>
      <c r="E403" s="178"/>
      <c r="H403" s="178"/>
      <c r="J403" s="42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</row>
    <row r="404" spans="1:50" ht="15.75" customHeight="1" x14ac:dyDescent="0.3">
      <c r="A404" s="13"/>
      <c r="B404" s="13"/>
      <c r="C404" s="13"/>
      <c r="E404" s="178"/>
      <c r="H404" s="178"/>
      <c r="J404" s="42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</row>
    <row r="405" spans="1:50" ht="15.75" customHeight="1" x14ac:dyDescent="0.3">
      <c r="A405" s="13"/>
      <c r="B405" s="13"/>
      <c r="C405" s="13"/>
      <c r="E405" s="178"/>
      <c r="H405" s="178"/>
      <c r="J405" s="42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</row>
    <row r="406" spans="1:50" ht="15.75" customHeight="1" x14ac:dyDescent="0.3">
      <c r="A406" s="13"/>
      <c r="B406" s="13"/>
      <c r="C406" s="13"/>
      <c r="E406" s="178"/>
      <c r="H406" s="178"/>
      <c r="J406" s="42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</row>
    <row r="407" spans="1:50" ht="15.75" customHeight="1" x14ac:dyDescent="0.3">
      <c r="A407" s="13"/>
      <c r="B407" s="13"/>
      <c r="C407" s="13"/>
      <c r="E407" s="178"/>
      <c r="H407" s="178"/>
      <c r="J407" s="42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</row>
    <row r="408" spans="1:50" ht="15.75" customHeight="1" x14ac:dyDescent="0.3">
      <c r="A408" s="13"/>
      <c r="B408" s="13"/>
      <c r="C408" s="13"/>
      <c r="E408" s="178"/>
      <c r="H408" s="178"/>
      <c r="J408" s="42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</row>
    <row r="409" spans="1:50" ht="15.75" customHeight="1" x14ac:dyDescent="0.3">
      <c r="A409" s="13"/>
      <c r="B409" s="13"/>
      <c r="C409" s="13"/>
      <c r="E409" s="178"/>
      <c r="H409" s="178"/>
      <c r="J409" s="42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</row>
    <row r="410" spans="1:50" ht="15.75" customHeight="1" x14ac:dyDescent="0.3">
      <c r="A410" s="13"/>
      <c r="B410" s="13"/>
      <c r="C410" s="13"/>
      <c r="E410" s="178"/>
      <c r="H410" s="178"/>
      <c r="J410" s="42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</row>
    <row r="411" spans="1:50" ht="15.75" customHeight="1" x14ac:dyDescent="0.3">
      <c r="A411" s="13"/>
      <c r="B411" s="13"/>
      <c r="C411" s="13"/>
      <c r="E411" s="178"/>
      <c r="H411" s="178"/>
      <c r="J411" s="42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</row>
    <row r="412" spans="1:50" ht="15.75" customHeight="1" x14ac:dyDescent="0.3">
      <c r="A412" s="13"/>
      <c r="B412" s="13"/>
      <c r="C412" s="13"/>
      <c r="E412" s="178"/>
      <c r="H412" s="178"/>
      <c r="J412" s="42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</row>
    <row r="413" spans="1:50" ht="15.75" customHeight="1" x14ac:dyDescent="0.3">
      <c r="A413" s="13"/>
      <c r="B413" s="13"/>
      <c r="C413" s="13"/>
      <c r="E413" s="178"/>
      <c r="H413" s="178"/>
      <c r="J413" s="42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</row>
    <row r="414" spans="1:50" ht="15.75" customHeight="1" x14ac:dyDescent="0.3">
      <c r="A414" s="13"/>
      <c r="B414" s="13"/>
      <c r="C414" s="13"/>
      <c r="E414" s="178"/>
      <c r="H414" s="178"/>
      <c r="J414" s="42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</row>
    <row r="415" spans="1:50" ht="15.75" customHeight="1" x14ac:dyDescent="0.3">
      <c r="A415" s="13"/>
      <c r="B415" s="13"/>
      <c r="C415" s="13"/>
      <c r="E415" s="178"/>
      <c r="H415" s="178"/>
      <c r="J415" s="42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</row>
    <row r="416" spans="1:50" ht="15.75" customHeight="1" x14ac:dyDescent="0.3">
      <c r="A416" s="13"/>
      <c r="B416" s="13"/>
      <c r="C416" s="13"/>
      <c r="E416" s="178"/>
      <c r="H416" s="178"/>
      <c r="J416" s="42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</row>
    <row r="417" spans="1:50" ht="15.75" customHeight="1" x14ac:dyDescent="0.3">
      <c r="A417" s="13"/>
      <c r="B417" s="13"/>
      <c r="C417" s="13"/>
      <c r="E417" s="178"/>
      <c r="H417" s="178"/>
      <c r="J417" s="42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</row>
    <row r="418" spans="1:50" ht="15.75" customHeight="1" x14ac:dyDescent="0.3">
      <c r="A418" s="13"/>
      <c r="B418" s="13"/>
      <c r="C418" s="13"/>
      <c r="E418" s="178"/>
      <c r="H418" s="178"/>
      <c r="J418" s="42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</row>
    <row r="419" spans="1:50" ht="15.75" customHeight="1" x14ac:dyDescent="0.3">
      <c r="A419" s="13"/>
      <c r="B419" s="13"/>
      <c r="C419" s="13"/>
      <c r="E419" s="178"/>
      <c r="H419" s="178"/>
      <c r="J419" s="42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</row>
    <row r="420" spans="1:50" ht="15.75" customHeight="1" x14ac:dyDescent="0.3">
      <c r="A420" s="13"/>
      <c r="B420" s="13"/>
      <c r="C420" s="13"/>
      <c r="E420" s="178"/>
      <c r="H420" s="178"/>
      <c r="J420" s="42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</row>
    <row r="421" spans="1:50" ht="15.75" customHeight="1" x14ac:dyDescent="0.3">
      <c r="A421" s="13"/>
      <c r="B421" s="13"/>
      <c r="C421" s="13"/>
      <c r="E421" s="178"/>
      <c r="H421" s="178"/>
      <c r="J421" s="42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</row>
    <row r="422" spans="1:50" ht="15.75" customHeight="1" x14ac:dyDescent="0.3">
      <c r="A422" s="13"/>
      <c r="B422" s="13"/>
      <c r="C422" s="13"/>
      <c r="E422" s="178"/>
      <c r="H422" s="178"/>
      <c r="J422" s="42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</row>
    <row r="423" spans="1:50" ht="15.75" customHeight="1" x14ac:dyDescent="0.3">
      <c r="A423" s="13"/>
      <c r="B423" s="13"/>
      <c r="C423" s="13"/>
      <c r="E423" s="178"/>
      <c r="H423" s="178"/>
      <c r="J423" s="42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</row>
    <row r="424" spans="1:50" ht="15.75" customHeight="1" x14ac:dyDescent="0.3">
      <c r="A424" s="13"/>
      <c r="B424" s="13"/>
      <c r="C424" s="13"/>
      <c r="E424" s="178"/>
      <c r="H424" s="178"/>
      <c r="J424" s="42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</row>
    <row r="425" spans="1:50" ht="15.75" customHeight="1" x14ac:dyDescent="0.3">
      <c r="A425" s="13"/>
      <c r="B425" s="13"/>
      <c r="C425" s="13"/>
      <c r="E425" s="178"/>
      <c r="H425" s="178"/>
      <c r="J425" s="42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</row>
    <row r="426" spans="1:50" ht="15.75" customHeight="1" x14ac:dyDescent="0.3">
      <c r="A426" s="13"/>
      <c r="B426" s="13"/>
      <c r="C426" s="13"/>
      <c r="E426" s="178"/>
      <c r="H426" s="178"/>
      <c r="J426" s="42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</row>
    <row r="427" spans="1:50" ht="15.75" customHeight="1" x14ac:dyDescent="0.3">
      <c r="A427" s="13"/>
      <c r="B427" s="13"/>
      <c r="C427" s="13"/>
      <c r="E427" s="178"/>
      <c r="H427" s="178"/>
      <c r="J427" s="42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</row>
    <row r="428" spans="1:50" ht="15.75" customHeight="1" x14ac:dyDescent="0.3">
      <c r="A428" s="13"/>
      <c r="B428" s="13"/>
      <c r="C428" s="13"/>
      <c r="E428" s="178"/>
      <c r="H428" s="178"/>
      <c r="J428" s="42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</row>
    <row r="429" spans="1:50" ht="15.75" customHeight="1" x14ac:dyDescent="0.3">
      <c r="A429" s="13"/>
      <c r="B429" s="13"/>
      <c r="C429" s="13"/>
      <c r="E429" s="178"/>
      <c r="H429" s="178"/>
      <c r="J429" s="42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</row>
    <row r="430" spans="1:50" ht="15.75" customHeight="1" x14ac:dyDescent="0.3">
      <c r="A430" s="13"/>
      <c r="B430" s="13"/>
      <c r="C430" s="13"/>
      <c r="E430" s="178"/>
      <c r="H430" s="178"/>
      <c r="J430" s="42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</row>
    <row r="431" spans="1:50" ht="15.75" customHeight="1" x14ac:dyDescent="0.3">
      <c r="A431" s="13"/>
      <c r="B431" s="13"/>
      <c r="C431" s="13"/>
      <c r="E431" s="178"/>
      <c r="H431" s="178"/>
      <c r="J431" s="42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</row>
    <row r="432" spans="1:50" ht="15.75" customHeight="1" x14ac:dyDescent="0.3">
      <c r="A432" s="13"/>
      <c r="B432" s="13"/>
      <c r="C432" s="13"/>
      <c r="E432" s="178"/>
      <c r="H432" s="178"/>
      <c r="J432" s="42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</row>
    <row r="433" spans="1:50" ht="15.75" customHeight="1" x14ac:dyDescent="0.3">
      <c r="A433" s="13"/>
      <c r="B433" s="13"/>
      <c r="C433" s="13"/>
      <c r="E433" s="178"/>
      <c r="H433" s="178"/>
      <c r="J433" s="42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</row>
    <row r="434" spans="1:50" ht="15.75" customHeight="1" x14ac:dyDescent="0.3">
      <c r="A434" s="13"/>
      <c r="B434" s="13"/>
      <c r="C434" s="13"/>
      <c r="E434" s="178"/>
      <c r="H434" s="178"/>
      <c r="J434" s="42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</row>
    <row r="435" spans="1:50" ht="15.75" customHeight="1" x14ac:dyDescent="0.3">
      <c r="A435" s="13"/>
      <c r="B435" s="13"/>
      <c r="C435" s="13"/>
      <c r="E435" s="178"/>
      <c r="H435" s="178"/>
      <c r="J435" s="42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</row>
    <row r="436" spans="1:50" ht="15.75" customHeight="1" x14ac:dyDescent="0.3">
      <c r="A436" s="13"/>
      <c r="B436" s="13"/>
      <c r="C436" s="13"/>
      <c r="E436" s="178"/>
      <c r="H436" s="178"/>
      <c r="J436" s="42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</row>
    <row r="437" spans="1:50" ht="15.75" customHeight="1" x14ac:dyDescent="0.3">
      <c r="A437" s="13"/>
      <c r="B437" s="13"/>
      <c r="C437" s="13"/>
      <c r="E437" s="178"/>
      <c r="H437" s="178"/>
      <c r="J437" s="42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</row>
    <row r="438" spans="1:50" ht="15.75" customHeight="1" x14ac:dyDescent="0.3">
      <c r="A438" s="13"/>
      <c r="B438" s="13"/>
      <c r="C438" s="13"/>
      <c r="E438" s="178"/>
      <c r="H438" s="178"/>
      <c r="J438" s="42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</row>
    <row r="439" spans="1:50" ht="15.75" customHeight="1" x14ac:dyDescent="0.3">
      <c r="A439" s="13"/>
      <c r="B439" s="13"/>
      <c r="C439" s="13"/>
      <c r="E439" s="178"/>
      <c r="H439" s="178"/>
      <c r="J439" s="42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</row>
    <row r="440" spans="1:50" ht="15.75" customHeight="1" x14ac:dyDescent="0.3">
      <c r="A440" s="13"/>
      <c r="B440" s="13"/>
      <c r="C440" s="13"/>
      <c r="E440" s="178"/>
      <c r="H440" s="178"/>
      <c r="J440" s="42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</row>
    <row r="441" spans="1:50" ht="15.75" customHeight="1" x14ac:dyDescent="0.3">
      <c r="A441" s="13"/>
      <c r="B441" s="13"/>
      <c r="C441" s="13"/>
      <c r="E441" s="178"/>
      <c r="H441" s="178"/>
      <c r="J441" s="42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</row>
    <row r="442" spans="1:50" ht="15.75" customHeight="1" x14ac:dyDescent="0.3">
      <c r="A442" s="13"/>
      <c r="B442" s="13"/>
      <c r="C442" s="13"/>
      <c r="E442" s="178"/>
      <c r="H442" s="178"/>
      <c r="J442" s="42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</row>
    <row r="443" spans="1:50" ht="15.75" customHeight="1" x14ac:dyDescent="0.3">
      <c r="A443" s="13"/>
      <c r="B443" s="13"/>
      <c r="C443" s="13"/>
      <c r="E443" s="178"/>
      <c r="H443" s="178"/>
      <c r="J443" s="42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</row>
    <row r="444" spans="1:50" ht="15.75" customHeight="1" x14ac:dyDescent="0.3">
      <c r="A444" s="13"/>
      <c r="B444" s="13"/>
      <c r="C444" s="13"/>
      <c r="E444" s="178"/>
      <c r="H444" s="178"/>
      <c r="J444" s="42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</row>
    <row r="445" spans="1:50" ht="15.75" customHeight="1" x14ac:dyDescent="0.3">
      <c r="A445" s="13"/>
      <c r="B445" s="13"/>
      <c r="C445" s="13"/>
      <c r="E445" s="178"/>
      <c r="H445" s="178"/>
      <c r="J445" s="42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</row>
    <row r="446" spans="1:50" ht="15.75" customHeight="1" x14ac:dyDescent="0.3">
      <c r="A446" s="13"/>
      <c r="B446" s="13"/>
      <c r="C446" s="13"/>
      <c r="E446" s="178"/>
      <c r="H446" s="178"/>
      <c r="J446" s="42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</row>
    <row r="447" spans="1:50" ht="15.75" customHeight="1" x14ac:dyDescent="0.3">
      <c r="A447" s="13"/>
      <c r="B447" s="13"/>
      <c r="C447" s="13"/>
      <c r="E447" s="178"/>
      <c r="H447" s="178"/>
      <c r="J447" s="42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</row>
    <row r="448" spans="1:50" ht="15.75" customHeight="1" x14ac:dyDescent="0.3">
      <c r="A448" s="13"/>
      <c r="B448" s="13"/>
      <c r="C448" s="13"/>
      <c r="E448" s="178"/>
      <c r="H448" s="178"/>
      <c r="J448" s="42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</row>
    <row r="449" spans="1:50" ht="15.75" customHeight="1" x14ac:dyDescent="0.3">
      <c r="A449" s="13"/>
      <c r="B449" s="13"/>
      <c r="C449" s="13"/>
      <c r="E449" s="178"/>
      <c r="H449" s="178"/>
      <c r="J449" s="42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</row>
    <row r="450" spans="1:50" ht="15.75" customHeight="1" x14ac:dyDescent="0.3">
      <c r="A450" s="13"/>
      <c r="B450" s="13"/>
      <c r="C450" s="13"/>
      <c r="E450" s="178"/>
      <c r="H450" s="178"/>
      <c r="J450" s="42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</row>
    <row r="451" spans="1:50" ht="15.75" customHeight="1" x14ac:dyDescent="0.3">
      <c r="A451" s="13"/>
      <c r="B451" s="13"/>
      <c r="C451" s="13"/>
      <c r="E451" s="178"/>
      <c r="H451" s="178"/>
      <c r="J451" s="42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</row>
    <row r="452" spans="1:50" ht="15.75" customHeight="1" x14ac:dyDescent="0.3">
      <c r="A452" s="13"/>
      <c r="B452" s="13"/>
      <c r="C452" s="13"/>
      <c r="E452" s="178"/>
      <c r="H452" s="178"/>
      <c r="J452" s="42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</row>
    <row r="453" spans="1:50" ht="15.75" customHeight="1" x14ac:dyDescent="0.3">
      <c r="A453" s="13"/>
      <c r="B453" s="13"/>
      <c r="C453" s="13"/>
      <c r="E453" s="178"/>
      <c r="H453" s="178"/>
      <c r="J453" s="42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</row>
    <row r="454" spans="1:50" ht="15.75" customHeight="1" x14ac:dyDescent="0.3">
      <c r="A454" s="13"/>
      <c r="B454" s="13"/>
      <c r="C454" s="13"/>
      <c r="E454" s="178"/>
      <c r="H454" s="178"/>
      <c r="J454" s="42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</row>
    <row r="455" spans="1:50" ht="15.75" customHeight="1" x14ac:dyDescent="0.3">
      <c r="A455" s="13"/>
      <c r="B455" s="13"/>
      <c r="C455" s="13"/>
      <c r="E455" s="178"/>
      <c r="H455" s="178"/>
      <c r="J455" s="42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</row>
    <row r="456" spans="1:50" ht="15.75" customHeight="1" x14ac:dyDescent="0.3">
      <c r="A456" s="13"/>
      <c r="B456" s="13"/>
      <c r="C456" s="13"/>
      <c r="E456" s="178"/>
      <c r="H456" s="178"/>
      <c r="J456" s="42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</row>
    <row r="457" spans="1:50" ht="15.75" customHeight="1" x14ac:dyDescent="0.3">
      <c r="A457" s="13"/>
      <c r="B457" s="13"/>
      <c r="C457" s="13"/>
      <c r="E457" s="178"/>
      <c r="H457" s="178"/>
      <c r="J457" s="42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</row>
    <row r="458" spans="1:50" ht="15.75" customHeight="1" x14ac:dyDescent="0.3">
      <c r="A458" s="13"/>
      <c r="B458" s="13"/>
      <c r="C458" s="13"/>
      <c r="E458" s="178"/>
      <c r="H458" s="178"/>
      <c r="J458" s="42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</row>
    <row r="459" spans="1:50" ht="15.75" customHeight="1" x14ac:dyDescent="0.3">
      <c r="A459" s="13"/>
      <c r="B459" s="13"/>
      <c r="C459" s="13"/>
      <c r="E459" s="178"/>
      <c r="H459" s="178"/>
      <c r="J459" s="42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</row>
    <row r="460" spans="1:50" ht="15.75" customHeight="1" x14ac:dyDescent="0.3">
      <c r="A460" s="13"/>
      <c r="B460" s="13"/>
      <c r="C460" s="13"/>
      <c r="E460" s="178"/>
      <c r="H460" s="178"/>
      <c r="J460" s="42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</row>
    <row r="461" spans="1:50" ht="15.75" customHeight="1" x14ac:dyDescent="0.3">
      <c r="A461" s="13"/>
      <c r="B461" s="13"/>
      <c r="C461" s="13"/>
      <c r="E461" s="178"/>
      <c r="H461" s="178"/>
      <c r="J461" s="42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</row>
    <row r="462" spans="1:50" ht="15.75" customHeight="1" x14ac:dyDescent="0.3">
      <c r="A462" s="13"/>
      <c r="B462" s="13"/>
      <c r="C462" s="13"/>
      <c r="E462" s="178"/>
      <c r="H462" s="178"/>
      <c r="J462" s="42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</row>
    <row r="463" spans="1:50" ht="15.75" customHeight="1" x14ac:dyDescent="0.3">
      <c r="A463" s="13"/>
      <c r="B463" s="13"/>
      <c r="C463" s="13"/>
      <c r="E463" s="178"/>
      <c r="H463" s="178"/>
      <c r="J463" s="42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</row>
    <row r="464" spans="1:50" ht="15.75" customHeight="1" x14ac:dyDescent="0.3">
      <c r="A464" s="13"/>
      <c r="B464" s="13"/>
      <c r="C464" s="13"/>
      <c r="E464" s="178"/>
      <c r="H464" s="178"/>
      <c r="J464" s="42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</row>
    <row r="465" spans="1:50" ht="15.75" customHeight="1" x14ac:dyDescent="0.3">
      <c r="A465" s="13"/>
      <c r="B465" s="13"/>
      <c r="C465" s="13"/>
      <c r="E465" s="178"/>
      <c r="H465" s="178"/>
      <c r="J465" s="42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</row>
    <row r="466" spans="1:50" ht="15.75" customHeight="1" x14ac:dyDescent="0.3">
      <c r="A466" s="13"/>
      <c r="B466" s="13"/>
      <c r="C466" s="13"/>
      <c r="E466" s="178"/>
      <c r="H466" s="178"/>
      <c r="J466" s="42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</row>
    <row r="467" spans="1:50" ht="15.75" customHeight="1" x14ac:dyDescent="0.3">
      <c r="A467" s="13"/>
      <c r="B467" s="13"/>
      <c r="C467" s="13"/>
      <c r="E467" s="178"/>
      <c r="H467" s="178"/>
      <c r="J467" s="42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</row>
    <row r="468" spans="1:50" ht="15.75" customHeight="1" x14ac:dyDescent="0.3">
      <c r="A468" s="13"/>
      <c r="B468" s="13"/>
      <c r="C468" s="13"/>
      <c r="E468" s="178"/>
      <c r="H468" s="178"/>
      <c r="J468" s="42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</row>
    <row r="469" spans="1:50" ht="15.75" customHeight="1" x14ac:dyDescent="0.3">
      <c r="A469" s="13"/>
      <c r="B469" s="13"/>
      <c r="C469" s="13"/>
      <c r="E469" s="178"/>
      <c r="H469" s="178"/>
      <c r="J469" s="42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</row>
    <row r="470" spans="1:50" ht="15.75" customHeight="1" x14ac:dyDescent="0.3">
      <c r="A470" s="13"/>
      <c r="B470" s="13"/>
      <c r="C470" s="13"/>
      <c r="E470" s="178"/>
      <c r="H470" s="178"/>
      <c r="J470" s="42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</row>
    <row r="471" spans="1:50" ht="15.75" customHeight="1" x14ac:dyDescent="0.3">
      <c r="A471" s="13"/>
      <c r="B471" s="13"/>
      <c r="C471" s="13"/>
      <c r="E471" s="178"/>
      <c r="H471" s="178"/>
      <c r="J471" s="42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</row>
    <row r="472" spans="1:50" ht="15.75" customHeight="1" x14ac:dyDescent="0.3">
      <c r="A472" s="13"/>
      <c r="B472" s="13"/>
      <c r="C472" s="13"/>
      <c r="E472" s="178"/>
      <c r="H472" s="178"/>
      <c r="J472" s="42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</row>
    <row r="473" spans="1:50" ht="15.75" customHeight="1" x14ac:dyDescent="0.3">
      <c r="A473" s="13"/>
      <c r="B473" s="13"/>
      <c r="C473" s="13"/>
      <c r="E473" s="178"/>
      <c r="H473" s="178"/>
      <c r="J473" s="42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</row>
    <row r="474" spans="1:50" ht="15.75" customHeight="1" x14ac:dyDescent="0.3">
      <c r="A474" s="13"/>
      <c r="B474" s="13"/>
      <c r="C474" s="13"/>
      <c r="E474" s="178"/>
      <c r="H474" s="178"/>
      <c r="J474" s="42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</row>
    <row r="475" spans="1:50" ht="15.75" customHeight="1" x14ac:dyDescent="0.3">
      <c r="A475" s="13"/>
      <c r="B475" s="13"/>
      <c r="C475" s="13"/>
      <c r="E475" s="178"/>
      <c r="H475" s="178"/>
      <c r="J475" s="42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</row>
    <row r="476" spans="1:50" ht="15.75" customHeight="1" x14ac:dyDescent="0.3">
      <c r="A476" s="13"/>
      <c r="B476" s="13"/>
      <c r="C476" s="13"/>
      <c r="E476" s="178"/>
      <c r="H476" s="178"/>
      <c r="J476" s="42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</row>
    <row r="477" spans="1:50" ht="15.75" customHeight="1" x14ac:dyDescent="0.3">
      <c r="A477" s="13"/>
      <c r="B477" s="13"/>
      <c r="C477" s="13"/>
      <c r="E477" s="178"/>
      <c r="H477" s="178"/>
      <c r="J477" s="42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</row>
    <row r="478" spans="1:50" ht="15.75" customHeight="1" x14ac:dyDescent="0.3">
      <c r="A478" s="13"/>
      <c r="B478" s="13"/>
      <c r="C478" s="13"/>
      <c r="E478" s="178"/>
      <c r="H478" s="178"/>
      <c r="J478" s="42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</row>
    <row r="479" spans="1:50" ht="15.75" customHeight="1" x14ac:dyDescent="0.3">
      <c r="A479" s="13"/>
      <c r="B479" s="13"/>
      <c r="C479" s="13"/>
      <c r="E479" s="178"/>
      <c r="H479" s="178"/>
      <c r="J479" s="42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</row>
    <row r="480" spans="1:50" ht="15.75" customHeight="1" x14ac:dyDescent="0.3">
      <c r="A480" s="13"/>
      <c r="B480" s="13"/>
      <c r="C480" s="13"/>
      <c r="E480" s="178"/>
      <c r="H480" s="178"/>
      <c r="J480" s="42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</row>
    <row r="481" spans="1:50" ht="15.75" customHeight="1" x14ac:dyDescent="0.3">
      <c r="A481" s="13"/>
      <c r="B481" s="13"/>
      <c r="C481" s="13"/>
      <c r="E481" s="178"/>
      <c r="H481" s="178"/>
      <c r="J481" s="42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</row>
    <row r="482" spans="1:50" ht="15.75" customHeight="1" x14ac:dyDescent="0.3">
      <c r="A482" s="13"/>
      <c r="B482" s="13"/>
      <c r="C482" s="13"/>
      <c r="E482" s="178"/>
      <c r="H482" s="178"/>
      <c r="J482" s="42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</row>
    <row r="483" spans="1:50" ht="15.75" customHeight="1" x14ac:dyDescent="0.3">
      <c r="A483" s="13"/>
      <c r="B483" s="13"/>
      <c r="C483" s="13"/>
      <c r="E483" s="178"/>
      <c r="H483" s="178"/>
      <c r="J483" s="42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</row>
    <row r="484" spans="1:50" ht="15.75" customHeight="1" x14ac:dyDescent="0.3">
      <c r="A484" s="13"/>
      <c r="B484" s="13"/>
      <c r="C484" s="13"/>
      <c r="E484" s="178"/>
      <c r="H484" s="178"/>
      <c r="J484" s="42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</row>
    <row r="485" spans="1:50" ht="15.75" customHeight="1" x14ac:dyDescent="0.3">
      <c r="A485" s="13"/>
      <c r="B485" s="13"/>
      <c r="C485" s="13"/>
      <c r="E485" s="178"/>
      <c r="H485" s="178"/>
      <c r="J485" s="42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</row>
    <row r="486" spans="1:50" ht="15.75" customHeight="1" x14ac:dyDescent="0.3">
      <c r="A486" s="13"/>
      <c r="B486" s="13"/>
      <c r="C486" s="13"/>
      <c r="E486" s="178"/>
      <c r="H486" s="178"/>
      <c r="J486" s="42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</row>
    <row r="487" spans="1:50" ht="15.75" customHeight="1" x14ac:dyDescent="0.3">
      <c r="A487" s="13"/>
      <c r="B487" s="13"/>
      <c r="C487" s="13"/>
      <c r="E487" s="178"/>
      <c r="H487" s="178"/>
      <c r="J487" s="42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</row>
    <row r="488" spans="1:50" ht="15.75" customHeight="1" x14ac:dyDescent="0.3">
      <c r="A488" s="13"/>
      <c r="B488" s="13"/>
      <c r="C488" s="13"/>
      <c r="E488" s="178"/>
      <c r="H488" s="178"/>
      <c r="J488" s="42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</row>
    <row r="489" spans="1:50" ht="15.75" customHeight="1" x14ac:dyDescent="0.3">
      <c r="A489" s="13"/>
      <c r="B489" s="13"/>
      <c r="C489" s="13"/>
      <c r="E489" s="178"/>
      <c r="H489" s="178"/>
      <c r="J489" s="42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</row>
    <row r="490" spans="1:50" ht="15.75" customHeight="1" x14ac:dyDescent="0.3">
      <c r="A490" s="13"/>
      <c r="B490" s="13"/>
      <c r="C490" s="13"/>
      <c r="E490" s="178"/>
      <c r="H490" s="178"/>
      <c r="J490" s="42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</row>
    <row r="491" spans="1:50" ht="15.75" customHeight="1" x14ac:dyDescent="0.3">
      <c r="A491" s="13"/>
      <c r="B491" s="13"/>
      <c r="C491" s="13"/>
      <c r="E491" s="178"/>
      <c r="H491" s="178"/>
      <c r="J491" s="42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</row>
    <row r="492" spans="1:50" ht="15.75" customHeight="1" x14ac:dyDescent="0.3">
      <c r="A492" s="13"/>
      <c r="B492" s="13"/>
      <c r="C492" s="13"/>
      <c r="E492" s="178"/>
      <c r="H492" s="178"/>
      <c r="J492" s="42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</row>
    <row r="493" spans="1:50" ht="15.75" customHeight="1" x14ac:dyDescent="0.3">
      <c r="A493" s="13"/>
      <c r="B493" s="13"/>
      <c r="C493" s="13"/>
      <c r="E493" s="178"/>
      <c r="H493" s="178"/>
      <c r="J493" s="42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</row>
    <row r="494" spans="1:50" ht="15.75" customHeight="1" x14ac:dyDescent="0.3">
      <c r="A494" s="13"/>
      <c r="B494" s="13"/>
      <c r="C494" s="13"/>
      <c r="E494" s="178"/>
      <c r="H494" s="178"/>
      <c r="J494" s="42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</row>
    <row r="495" spans="1:50" ht="15.75" customHeight="1" x14ac:dyDescent="0.3">
      <c r="A495" s="13"/>
      <c r="B495" s="13"/>
      <c r="C495" s="13"/>
      <c r="E495" s="178"/>
      <c r="H495" s="178"/>
      <c r="J495" s="42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</row>
    <row r="496" spans="1:50" ht="15.75" customHeight="1" x14ac:dyDescent="0.3">
      <c r="A496" s="13"/>
      <c r="B496" s="13"/>
      <c r="C496" s="13"/>
      <c r="E496" s="178"/>
      <c r="H496" s="178"/>
      <c r="J496" s="42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</row>
    <row r="497" spans="1:50" ht="15.75" customHeight="1" x14ac:dyDescent="0.3">
      <c r="A497" s="13"/>
      <c r="B497" s="13"/>
      <c r="C497" s="13"/>
      <c r="E497" s="178"/>
      <c r="H497" s="178"/>
      <c r="J497" s="42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</row>
    <row r="498" spans="1:50" ht="15.75" customHeight="1" x14ac:dyDescent="0.3">
      <c r="A498" s="13"/>
      <c r="B498" s="13"/>
      <c r="C498" s="13"/>
      <c r="E498" s="178"/>
      <c r="H498" s="178"/>
      <c r="J498" s="42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</row>
    <row r="499" spans="1:50" ht="15.75" customHeight="1" x14ac:dyDescent="0.3">
      <c r="A499" s="13"/>
      <c r="B499" s="13"/>
      <c r="C499" s="13"/>
      <c r="E499" s="178"/>
      <c r="H499" s="178"/>
      <c r="J499" s="42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</row>
    <row r="500" spans="1:50" ht="15.75" customHeight="1" x14ac:dyDescent="0.3">
      <c r="A500" s="13"/>
      <c r="B500" s="13"/>
      <c r="C500" s="13"/>
      <c r="E500" s="178"/>
      <c r="H500" s="178"/>
      <c r="J500" s="42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</row>
    <row r="501" spans="1:50" ht="15.75" customHeight="1" x14ac:dyDescent="0.3">
      <c r="A501" s="13"/>
      <c r="B501" s="13"/>
      <c r="C501" s="13"/>
      <c r="E501" s="178"/>
      <c r="H501" s="178"/>
      <c r="J501" s="42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</row>
    <row r="502" spans="1:50" ht="15.75" customHeight="1" x14ac:dyDescent="0.3">
      <c r="A502" s="13"/>
      <c r="B502" s="13"/>
      <c r="C502" s="13"/>
      <c r="E502" s="178"/>
      <c r="H502" s="178"/>
      <c r="J502" s="42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</row>
    <row r="503" spans="1:50" ht="15.75" customHeight="1" x14ac:dyDescent="0.3">
      <c r="A503" s="13"/>
      <c r="B503" s="13"/>
      <c r="C503" s="13"/>
      <c r="E503" s="178"/>
      <c r="H503" s="178"/>
      <c r="J503" s="42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</row>
    <row r="504" spans="1:50" ht="15.75" customHeight="1" x14ac:dyDescent="0.3">
      <c r="A504" s="13"/>
      <c r="B504" s="13"/>
      <c r="C504" s="13"/>
      <c r="E504" s="178"/>
      <c r="H504" s="178"/>
      <c r="J504" s="42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</row>
    <row r="505" spans="1:50" ht="15.75" customHeight="1" x14ac:dyDescent="0.3">
      <c r="A505" s="13"/>
      <c r="B505" s="13"/>
      <c r="C505" s="13"/>
      <c r="E505" s="178"/>
      <c r="H505" s="178"/>
      <c r="J505" s="42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</row>
    <row r="506" spans="1:50" ht="15.75" customHeight="1" x14ac:dyDescent="0.3">
      <c r="A506" s="13"/>
      <c r="B506" s="13"/>
      <c r="C506" s="13"/>
      <c r="E506" s="178"/>
      <c r="H506" s="178"/>
      <c r="J506" s="42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</row>
    <row r="507" spans="1:50" ht="15.75" customHeight="1" x14ac:dyDescent="0.3">
      <c r="A507" s="13"/>
      <c r="B507" s="13"/>
      <c r="C507" s="13"/>
      <c r="E507" s="178"/>
      <c r="H507" s="178"/>
      <c r="J507" s="42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</row>
    <row r="508" spans="1:50" ht="15.75" customHeight="1" x14ac:dyDescent="0.3">
      <c r="A508" s="13"/>
      <c r="B508" s="13"/>
      <c r="C508" s="13"/>
      <c r="E508" s="178"/>
      <c r="H508" s="178"/>
      <c r="J508" s="42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  <c r="AI508" s="178"/>
      <c r="AJ508" s="178"/>
      <c r="AK508" s="178"/>
      <c r="AL508" s="178"/>
      <c r="AM508" s="178"/>
      <c r="AN508" s="178"/>
      <c r="AO508" s="178"/>
      <c r="AP508" s="178"/>
      <c r="AQ508" s="178"/>
      <c r="AR508" s="178"/>
      <c r="AS508" s="178"/>
      <c r="AT508" s="178"/>
      <c r="AU508" s="178"/>
      <c r="AV508" s="178"/>
      <c r="AW508" s="178"/>
      <c r="AX508" s="178"/>
    </row>
    <row r="509" spans="1:50" ht="15.75" customHeight="1" x14ac:dyDescent="0.3">
      <c r="A509" s="13"/>
      <c r="B509" s="13"/>
      <c r="C509" s="13"/>
      <c r="E509" s="178"/>
      <c r="H509" s="178"/>
      <c r="J509" s="42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</row>
    <row r="510" spans="1:50" ht="15.75" customHeight="1" x14ac:dyDescent="0.3">
      <c r="A510" s="13"/>
      <c r="B510" s="13"/>
      <c r="C510" s="13"/>
      <c r="E510" s="178"/>
      <c r="H510" s="178"/>
      <c r="J510" s="42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</row>
    <row r="511" spans="1:50" ht="15.75" customHeight="1" x14ac:dyDescent="0.3">
      <c r="A511" s="13"/>
      <c r="B511" s="13"/>
      <c r="C511" s="13"/>
      <c r="E511" s="178"/>
      <c r="H511" s="178"/>
      <c r="J511" s="42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</row>
    <row r="512" spans="1:50" ht="15.75" customHeight="1" x14ac:dyDescent="0.3">
      <c r="A512" s="13"/>
      <c r="B512" s="13"/>
      <c r="C512" s="13"/>
      <c r="E512" s="178"/>
      <c r="H512" s="178"/>
      <c r="J512" s="42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</row>
    <row r="513" spans="1:50" ht="15.75" customHeight="1" x14ac:dyDescent="0.3">
      <c r="A513" s="13"/>
      <c r="B513" s="13"/>
      <c r="C513" s="13"/>
      <c r="E513" s="178"/>
      <c r="H513" s="178"/>
      <c r="J513" s="42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</row>
    <row r="514" spans="1:50" ht="15.75" customHeight="1" x14ac:dyDescent="0.3">
      <c r="A514" s="13"/>
      <c r="B514" s="13"/>
      <c r="C514" s="13"/>
      <c r="E514" s="178"/>
      <c r="H514" s="178"/>
      <c r="J514" s="42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</row>
    <row r="515" spans="1:50" ht="15.75" customHeight="1" x14ac:dyDescent="0.3">
      <c r="A515" s="13"/>
      <c r="B515" s="13"/>
      <c r="C515" s="13"/>
      <c r="E515" s="178"/>
      <c r="H515" s="178"/>
      <c r="J515" s="42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</row>
    <row r="516" spans="1:50" ht="15.75" customHeight="1" x14ac:dyDescent="0.3">
      <c r="A516" s="13"/>
      <c r="B516" s="13"/>
      <c r="C516" s="13"/>
      <c r="E516" s="178"/>
      <c r="H516" s="178"/>
      <c r="J516" s="42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</row>
    <row r="517" spans="1:50" ht="15.75" customHeight="1" x14ac:dyDescent="0.3">
      <c r="A517" s="13"/>
      <c r="B517" s="13"/>
      <c r="C517" s="13"/>
      <c r="E517" s="178"/>
      <c r="H517" s="178"/>
      <c r="J517" s="42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</row>
    <row r="518" spans="1:50" ht="15.75" customHeight="1" x14ac:dyDescent="0.3">
      <c r="A518" s="13"/>
      <c r="B518" s="13"/>
      <c r="C518" s="13"/>
      <c r="E518" s="178"/>
      <c r="H518" s="178"/>
      <c r="J518" s="42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</row>
    <row r="519" spans="1:50" ht="15.75" customHeight="1" x14ac:dyDescent="0.3">
      <c r="A519" s="13"/>
      <c r="B519" s="13"/>
      <c r="C519" s="13"/>
      <c r="E519" s="178"/>
      <c r="H519" s="178"/>
      <c r="J519" s="42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</row>
    <row r="520" spans="1:50" ht="15.75" customHeight="1" x14ac:dyDescent="0.3">
      <c r="A520" s="13"/>
      <c r="B520" s="13"/>
      <c r="C520" s="13"/>
      <c r="E520" s="178"/>
      <c r="H520" s="178"/>
      <c r="J520" s="42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</row>
    <row r="521" spans="1:50" ht="15.75" customHeight="1" x14ac:dyDescent="0.3">
      <c r="A521" s="13"/>
      <c r="B521" s="13"/>
      <c r="C521" s="13"/>
      <c r="E521" s="178"/>
      <c r="H521" s="178"/>
      <c r="J521" s="42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</row>
    <row r="522" spans="1:50" ht="15.75" customHeight="1" x14ac:dyDescent="0.3">
      <c r="A522" s="13"/>
      <c r="B522" s="13"/>
      <c r="C522" s="13"/>
      <c r="E522" s="178"/>
      <c r="H522" s="178"/>
      <c r="J522" s="42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</row>
    <row r="523" spans="1:50" ht="15.75" customHeight="1" x14ac:dyDescent="0.3">
      <c r="A523" s="13"/>
      <c r="B523" s="13"/>
      <c r="C523" s="13"/>
      <c r="E523" s="178"/>
      <c r="H523" s="178"/>
      <c r="J523" s="42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</row>
    <row r="524" spans="1:50" ht="15.75" customHeight="1" x14ac:dyDescent="0.3">
      <c r="A524" s="13"/>
      <c r="B524" s="13"/>
      <c r="C524" s="13"/>
      <c r="E524" s="178"/>
      <c r="H524" s="178"/>
      <c r="J524" s="42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</row>
    <row r="525" spans="1:50" ht="15.75" customHeight="1" x14ac:dyDescent="0.3">
      <c r="A525" s="13"/>
      <c r="B525" s="13"/>
      <c r="C525" s="13"/>
      <c r="E525" s="178"/>
      <c r="H525" s="178"/>
      <c r="J525" s="42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</row>
    <row r="526" spans="1:50" ht="15.75" customHeight="1" x14ac:dyDescent="0.3">
      <c r="A526" s="13"/>
      <c r="B526" s="13"/>
      <c r="C526" s="13"/>
      <c r="E526" s="178"/>
      <c r="H526" s="178"/>
      <c r="J526" s="42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</row>
    <row r="527" spans="1:50" ht="15.75" customHeight="1" x14ac:dyDescent="0.3">
      <c r="A527" s="13"/>
      <c r="B527" s="13"/>
      <c r="C527" s="13"/>
      <c r="E527" s="178"/>
      <c r="H527" s="178"/>
      <c r="J527" s="42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</row>
    <row r="528" spans="1:50" ht="15.75" customHeight="1" x14ac:dyDescent="0.3">
      <c r="A528" s="13"/>
      <c r="B528" s="13"/>
      <c r="C528" s="13"/>
      <c r="E528" s="178"/>
      <c r="H528" s="178"/>
      <c r="J528" s="42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</row>
    <row r="529" spans="1:50" ht="15.75" customHeight="1" x14ac:dyDescent="0.3">
      <c r="A529" s="13"/>
      <c r="B529" s="13"/>
      <c r="C529" s="13"/>
      <c r="E529" s="178"/>
      <c r="H529" s="178"/>
      <c r="J529" s="42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</row>
    <row r="530" spans="1:50" ht="15.75" customHeight="1" x14ac:dyDescent="0.3">
      <c r="A530" s="13"/>
      <c r="B530" s="13"/>
      <c r="C530" s="13"/>
      <c r="E530" s="178"/>
      <c r="H530" s="178"/>
      <c r="J530" s="42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</row>
    <row r="531" spans="1:50" ht="15.75" customHeight="1" x14ac:dyDescent="0.3">
      <c r="A531" s="13"/>
      <c r="B531" s="13"/>
      <c r="C531" s="13"/>
      <c r="E531" s="178"/>
      <c r="H531" s="178"/>
      <c r="J531" s="42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</row>
    <row r="532" spans="1:50" ht="15.75" customHeight="1" x14ac:dyDescent="0.3">
      <c r="A532" s="13"/>
      <c r="B532" s="13"/>
      <c r="C532" s="13"/>
      <c r="E532" s="178"/>
      <c r="H532" s="178"/>
      <c r="J532" s="42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</row>
    <row r="533" spans="1:50" ht="15.75" customHeight="1" x14ac:dyDescent="0.3">
      <c r="A533" s="13"/>
      <c r="B533" s="13"/>
      <c r="C533" s="13"/>
      <c r="E533" s="178"/>
      <c r="H533" s="178"/>
      <c r="J533" s="42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</row>
    <row r="534" spans="1:50" ht="15.75" customHeight="1" x14ac:dyDescent="0.3">
      <c r="A534" s="13"/>
      <c r="B534" s="13"/>
      <c r="C534" s="13"/>
      <c r="E534" s="178"/>
      <c r="H534" s="178"/>
      <c r="J534" s="42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</row>
    <row r="535" spans="1:50" ht="15.75" customHeight="1" x14ac:dyDescent="0.3">
      <c r="A535" s="13"/>
      <c r="B535" s="13"/>
      <c r="C535" s="13"/>
      <c r="E535" s="178"/>
      <c r="H535" s="178"/>
      <c r="J535" s="42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</row>
    <row r="536" spans="1:50" ht="15.75" customHeight="1" x14ac:dyDescent="0.3">
      <c r="A536" s="13"/>
      <c r="B536" s="13"/>
      <c r="C536" s="13"/>
      <c r="E536" s="178"/>
      <c r="H536" s="178"/>
      <c r="J536" s="42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</row>
    <row r="537" spans="1:50" ht="15.75" customHeight="1" x14ac:dyDescent="0.3">
      <c r="A537" s="13"/>
      <c r="B537" s="13"/>
      <c r="C537" s="13"/>
      <c r="E537" s="178"/>
      <c r="H537" s="178"/>
      <c r="J537" s="42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</row>
    <row r="538" spans="1:50" ht="15.75" customHeight="1" x14ac:dyDescent="0.3">
      <c r="A538" s="13"/>
      <c r="B538" s="13"/>
      <c r="C538" s="13"/>
      <c r="E538" s="178"/>
      <c r="H538" s="178"/>
      <c r="J538" s="42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  <c r="AI538" s="178"/>
      <c r="AJ538" s="178"/>
      <c r="AK538" s="178"/>
      <c r="AL538" s="178"/>
      <c r="AM538" s="178"/>
      <c r="AN538" s="178"/>
      <c r="AO538" s="178"/>
      <c r="AP538" s="178"/>
      <c r="AQ538" s="178"/>
      <c r="AR538" s="178"/>
      <c r="AS538" s="178"/>
      <c r="AT538" s="178"/>
      <c r="AU538" s="178"/>
      <c r="AV538" s="178"/>
      <c r="AW538" s="178"/>
      <c r="AX538" s="178"/>
    </row>
    <row r="539" spans="1:50" ht="15.75" customHeight="1" x14ac:dyDescent="0.3">
      <c r="A539" s="13"/>
      <c r="B539" s="13"/>
      <c r="C539" s="13"/>
      <c r="E539" s="178"/>
      <c r="H539" s="178"/>
      <c r="J539" s="42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  <c r="AI539" s="178"/>
      <c r="AJ539" s="178"/>
      <c r="AK539" s="178"/>
      <c r="AL539" s="178"/>
      <c r="AM539" s="178"/>
      <c r="AN539" s="178"/>
      <c r="AO539" s="178"/>
      <c r="AP539" s="178"/>
      <c r="AQ539" s="178"/>
      <c r="AR539" s="178"/>
      <c r="AS539" s="178"/>
      <c r="AT539" s="178"/>
      <c r="AU539" s="178"/>
      <c r="AV539" s="178"/>
      <c r="AW539" s="178"/>
      <c r="AX539" s="178"/>
    </row>
    <row r="540" spans="1:50" ht="15.75" customHeight="1" x14ac:dyDescent="0.3">
      <c r="A540" s="13"/>
      <c r="B540" s="13"/>
      <c r="C540" s="13"/>
      <c r="E540" s="178"/>
      <c r="H540" s="178"/>
      <c r="J540" s="42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  <c r="AI540" s="178"/>
      <c r="AJ540" s="178"/>
      <c r="AK540" s="178"/>
      <c r="AL540" s="178"/>
      <c r="AM540" s="178"/>
      <c r="AN540" s="178"/>
      <c r="AO540" s="178"/>
      <c r="AP540" s="178"/>
      <c r="AQ540" s="178"/>
      <c r="AR540" s="178"/>
      <c r="AS540" s="178"/>
      <c r="AT540" s="178"/>
      <c r="AU540" s="178"/>
      <c r="AV540" s="178"/>
      <c r="AW540" s="178"/>
      <c r="AX540" s="178"/>
    </row>
    <row r="541" spans="1:50" ht="15.75" customHeight="1" x14ac:dyDescent="0.3">
      <c r="A541" s="13"/>
      <c r="B541" s="13"/>
      <c r="C541" s="13"/>
      <c r="E541" s="178"/>
      <c r="H541" s="178"/>
      <c r="J541" s="42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  <c r="AR541" s="178"/>
      <c r="AS541" s="178"/>
      <c r="AT541" s="178"/>
      <c r="AU541" s="178"/>
      <c r="AV541" s="178"/>
      <c r="AW541" s="178"/>
      <c r="AX541" s="178"/>
    </row>
    <row r="542" spans="1:50" ht="15.75" customHeight="1" x14ac:dyDescent="0.3">
      <c r="A542" s="13"/>
      <c r="B542" s="13"/>
      <c r="C542" s="13"/>
      <c r="E542" s="178"/>
      <c r="H542" s="178"/>
      <c r="J542" s="42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  <c r="AI542" s="178"/>
      <c r="AJ542" s="178"/>
      <c r="AK542" s="178"/>
      <c r="AL542" s="178"/>
      <c r="AM542" s="178"/>
      <c r="AN542" s="178"/>
      <c r="AO542" s="178"/>
      <c r="AP542" s="178"/>
      <c r="AQ542" s="178"/>
      <c r="AR542" s="178"/>
      <c r="AS542" s="178"/>
      <c r="AT542" s="178"/>
      <c r="AU542" s="178"/>
      <c r="AV542" s="178"/>
      <c r="AW542" s="178"/>
      <c r="AX542" s="178"/>
    </row>
    <row r="543" spans="1:50" ht="15.75" customHeight="1" x14ac:dyDescent="0.3">
      <c r="A543" s="13"/>
      <c r="B543" s="13"/>
      <c r="C543" s="13"/>
      <c r="E543" s="178"/>
      <c r="H543" s="178"/>
      <c r="J543" s="42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  <c r="AI543" s="178"/>
      <c r="AJ543" s="178"/>
      <c r="AK543" s="178"/>
      <c r="AL543" s="178"/>
      <c r="AM543" s="178"/>
      <c r="AN543" s="178"/>
      <c r="AO543" s="178"/>
      <c r="AP543" s="178"/>
      <c r="AQ543" s="178"/>
      <c r="AR543" s="178"/>
      <c r="AS543" s="178"/>
      <c r="AT543" s="178"/>
      <c r="AU543" s="178"/>
      <c r="AV543" s="178"/>
      <c r="AW543" s="178"/>
      <c r="AX543" s="178"/>
    </row>
    <row r="544" spans="1:50" ht="15.75" customHeight="1" x14ac:dyDescent="0.3">
      <c r="A544" s="13"/>
      <c r="B544" s="13"/>
      <c r="C544" s="13"/>
      <c r="E544" s="178"/>
      <c r="H544" s="178"/>
      <c r="J544" s="42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  <c r="AI544" s="178"/>
      <c r="AJ544" s="178"/>
      <c r="AK544" s="178"/>
      <c r="AL544" s="178"/>
      <c r="AM544" s="178"/>
      <c r="AN544" s="178"/>
      <c r="AO544" s="178"/>
      <c r="AP544" s="178"/>
      <c r="AQ544" s="178"/>
      <c r="AR544" s="178"/>
      <c r="AS544" s="178"/>
      <c r="AT544" s="178"/>
      <c r="AU544" s="178"/>
      <c r="AV544" s="178"/>
      <c r="AW544" s="178"/>
      <c r="AX544" s="178"/>
    </row>
    <row r="545" spans="1:50" ht="15.75" customHeight="1" x14ac:dyDescent="0.3">
      <c r="A545" s="13"/>
      <c r="B545" s="13"/>
      <c r="C545" s="13"/>
      <c r="E545" s="178"/>
      <c r="H545" s="178"/>
      <c r="J545" s="42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  <c r="AI545" s="178"/>
      <c r="AJ545" s="178"/>
      <c r="AK545" s="178"/>
      <c r="AL545" s="178"/>
      <c r="AM545" s="178"/>
      <c r="AN545" s="178"/>
      <c r="AO545" s="178"/>
      <c r="AP545" s="178"/>
      <c r="AQ545" s="178"/>
      <c r="AR545" s="178"/>
      <c r="AS545" s="178"/>
      <c r="AT545" s="178"/>
      <c r="AU545" s="178"/>
      <c r="AV545" s="178"/>
      <c r="AW545" s="178"/>
      <c r="AX545" s="178"/>
    </row>
    <row r="546" spans="1:50" ht="15.75" customHeight="1" x14ac:dyDescent="0.3">
      <c r="A546" s="13"/>
      <c r="B546" s="13"/>
      <c r="C546" s="13"/>
      <c r="E546" s="178"/>
      <c r="H546" s="178"/>
      <c r="J546" s="42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  <c r="AR546" s="178"/>
      <c r="AS546" s="178"/>
      <c r="AT546" s="178"/>
      <c r="AU546" s="178"/>
      <c r="AV546" s="178"/>
      <c r="AW546" s="178"/>
      <c r="AX546" s="178"/>
    </row>
    <row r="547" spans="1:50" ht="15.75" customHeight="1" x14ac:dyDescent="0.3">
      <c r="A547" s="13"/>
      <c r="B547" s="13"/>
      <c r="C547" s="13"/>
      <c r="E547" s="178"/>
      <c r="H547" s="178"/>
      <c r="J547" s="42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  <c r="AR547" s="178"/>
      <c r="AS547" s="178"/>
      <c r="AT547" s="178"/>
      <c r="AU547" s="178"/>
      <c r="AV547" s="178"/>
      <c r="AW547" s="178"/>
      <c r="AX547" s="178"/>
    </row>
    <row r="548" spans="1:50" ht="15.75" customHeight="1" x14ac:dyDescent="0.3">
      <c r="A548" s="13"/>
      <c r="B548" s="13"/>
      <c r="C548" s="13"/>
      <c r="E548" s="178"/>
      <c r="H548" s="178"/>
      <c r="J548" s="42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  <c r="AI548" s="178"/>
      <c r="AJ548" s="178"/>
      <c r="AK548" s="178"/>
      <c r="AL548" s="178"/>
      <c r="AM548" s="178"/>
      <c r="AN548" s="178"/>
      <c r="AO548" s="178"/>
      <c r="AP548" s="178"/>
      <c r="AQ548" s="178"/>
      <c r="AR548" s="178"/>
      <c r="AS548" s="178"/>
      <c r="AT548" s="178"/>
      <c r="AU548" s="178"/>
      <c r="AV548" s="178"/>
      <c r="AW548" s="178"/>
      <c r="AX548" s="178"/>
    </row>
    <row r="549" spans="1:50" ht="15.75" customHeight="1" x14ac:dyDescent="0.3">
      <c r="A549" s="13"/>
      <c r="B549" s="13"/>
      <c r="C549" s="13"/>
      <c r="E549" s="178"/>
      <c r="H549" s="178"/>
      <c r="J549" s="42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</row>
    <row r="550" spans="1:50" ht="15.75" customHeight="1" x14ac:dyDescent="0.3">
      <c r="A550" s="13"/>
      <c r="B550" s="13"/>
      <c r="C550" s="13"/>
      <c r="E550" s="178"/>
      <c r="H550" s="178"/>
      <c r="J550" s="42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  <c r="AR550" s="178"/>
      <c r="AS550" s="178"/>
      <c r="AT550" s="178"/>
      <c r="AU550" s="178"/>
      <c r="AV550" s="178"/>
      <c r="AW550" s="178"/>
      <c r="AX550" s="178"/>
    </row>
    <row r="551" spans="1:50" ht="15.75" customHeight="1" x14ac:dyDescent="0.3">
      <c r="A551" s="13"/>
      <c r="B551" s="13"/>
      <c r="C551" s="13"/>
      <c r="E551" s="178"/>
      <c r="H551" s="178"/>
      <c r="J551" s="42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  <c r="AI551" s="178"/>
      <c r="AJ551" s="178"/>
      <c r="AK551" s="178"/>
      <c r="AL551" s="178"/>
      <c r="AM551" s="178"/>
      <c r="AN551" s="178"/>
      <c r="AO551" s="178"/>
      <c r="AP551" s="178"/>
      <c r="AQ551" s="178"/>
      <c r="AR551" s="178"/>
      <c r="AS551" s="178"/>
      <c r="AT551" s="178"/>
      <c r="AU551" s="178"/>
      <c r="AV551" s="178"/>
      <c r="AW551" s="178"/>
      <c r="AX551" s="178"/>
    </row>
    <row r="552" spans="1:50" ht="15.75" customHeight="1" x14ac:dyDescent="0.3">
      <c r="A552" s="13"/>
      <c r="B552" s="13"/>
      <c r="C552" s="13"/>
      <c r="E552" s="178"/>
      <c r="H552" s="178"/>
      <c r="J552" s="42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  <c r="AI552" s="178"/>
      <c r="AJ552" s="178"/>
      <c r="AK552" s="178"/>
      <c r="AL552" s="178"/>
      <c r="AM552" s="178"/>
      <c r="AN552" s="178"/>
      <c r="AO552" s="178"/>
      <c r="AP552" s="178"/>
      <c r="AQ552" s="178"/>
      <c r="AR552" s="178"/>
      <c r="AS552" s="178"/>
      <c r="AT552" s="178"/>
      <c r="AU552" s="178"/>
      <c r="AV552" s="178"/>
      <c r="AW552" s="178"/>
      <c r="AX552" s="178"/>
    </row>
    <row r="553" spans="1:50" ht="15.75" customHeight="1" x14ac:dyDescent="0.3">
      <c r="A553" s="13"/>
      <c r="B553" s="13"/>
      <c r="C553" s="13"/>
      <c r="E553" s="178"/>
      <c r="H553" s="178"/>
      <c r="J553" s="42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  <c r="AR553" s="178"/>
      <c r="AS553" s="178"/>
      <c r="AT553" s="178"/>
      <c r="AU553" s="178"/>
      <c r="AV553" s="178"/>
      <c r="AW553" s="178"/>
      <c r="AX553" s="178"/>
    </row>
    <row r="554" spans="1:50" ht="15.75" customHeight="1" x14ac:dyDescent="0.3">
      <c r="A554" s="13"/>
      <c r="B554" s="13"/>
      <c r="C554" s="13"/>
      <c r="E554" s="178"/>
      <c r="H554" s="178"/>
      <c r="J554" s="42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  <c r="AI554" s="178"/>
      <c r="AJ554" s="178"/>
      <c r="AK554" s="178"/>
      <c r="AL554" s="178"/>
      <c r="AM554" s="178"/>
      <c r="AN554" s="178"/>
      <c r="AO554" s="178"/>
      <c r="AP554" s="178"/>
      <c r="AQ554" s="178"/>
      <c r="AR554" s="178"/>
      <c r="AS554" s="178"/>
      <c r="AT554" s="178"/>
      <c r="AU554" s="178"/>
      <c r="AV554" s="178"/>
      <c r="AW554" s="178"/>
      <c r="AX554" s="178"/>
    </row>
    <row r="555" spans="1:50" ht="15.75" customHeight="1" x14ac:dyDescent="0.3">
      <c r="A555" s="13"/>
      <c r="B555" s="13"/>
      <c r="C555" s="13"/>
      <c r="E555" s="178"/>
      <c r="H555" s="178"/>
      <c r="J555" s="42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8"/>
      <c r="AQ555" s="178"/>
      <c r="AR555" s="178"/>
      <c r="AS555" s="178"/>
      <c r="AT555" s="178"/>
      <c r="AU555" s="178"/>
      <c r="AV555" s="178"/>
      <c r="AW555" s="178"/>
      <c r="AX555" s="178"/>
    </row>
    <row r="556" spans="1:50" ht="15.75" customHeight="1" x14ac:dyDescent="0.3">
      <c r="A556" s="13"/>
      <c r="B556" s="13"/>
      <c r="C556" s="13"/>
      <c r="E556" s="178"/>
      <c r="H556" s="178"/>
      <c r="J556" s="42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  <c r="AR556" s="178"/>
      <c r="AS556" s="178"/>
      <c r="AT556" s="178"/>
      <c r="AU556" s="178"/>
      <c r="AV556" s="178"/>
      <c r="AW556" s="178"/>
      <c r="AX556" s="178"/>
    </row>
    <row r="557" spans="1:50" ht="15.75" customHeight="1" x14ac:dyDescent="0.3">
      <c r="A557" s="13"/>
      <c r="B557" s="13"/>
      <c r="C557" s="13"/>
      <c r="E557" s="178"/>
      <c r="H557" s="178"/>
      <c r="J557" s="42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  <c r="AI557" s="178"/>
      <c r="AJ557" s="178"/>
      <c r="AK557" s="178"/>
      <c r="AL557" s="178"/>
      <c r="AM557" s="178"/>
      <c r="AN557" s="178"/>
      <c r="AO557" s="178"/>
      <c r="AP557" s="178"/>
      <c r="AQ557" s="178"/>
      <c r="AR557" s="178"/>
      <c r="AS557" s="178"/>
      <c r="AT557" s="178"/>
      <c r="AU557" s="178"/>
      <c r="AV557" s="178"/>
      <c r="AW557" s="178"/>
      <c r="AX557" s="178"/>
    </row>
    <row r="558" spans="1:50" ht="15.75" customHeight="1" x14ac:dyDescent="0.3">
      <c r="A558" s="13"/>
      <c r="B558" s="13"/>
      <c r="C558" s="13"/>
      <c r="E558" s="178"/>
      <c r="H558" s="178"/>
      <c r="J558" s="42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  <c r="AI558" s="178"/>
      <c r="AJ558" s="178"/>
      <c r="AK558" s="178"/>
      <c r="AL558" s="178"/>
      <c r="AM558" s="178"/>
      <c r="AN558" s="178"/>
      <c r="AO558" s="178"/>
      <c r="AP558" s="178"/>
      <c r="AQ558" s="178"/>
      <c r="AR558" s="178"/>
      <c r="AS558" s="178"/>
      <c r="AT558" s="178"/>
      <c r="AU558" s="178"/>
      <c r="AV558" s="178"/>
      <c r="AW558" s="178"/>
      <c r="AX558" s="178"/>
    </row>
    <row r="559" spans="1:50" ht="15.75" customHeight="1" x14ac:dyDescent="0.3">
      <c r="A559" s="13"/>
      <c r="B559" s="13"/>
      <c r="C559" s="13"/>
      <c r="E559" s="178"/>
      <c r="H559" s="178"/>
      <c r="J559" s="42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</row>
    <row r="560" spans="1:50" ht="15.75" customHeight="1" x14ac:dyDescent="0.3">
      <c r="A560" s="13"/>
      <c r="B560" s="13"/>
      <c r="C560" s="13"/>
      <c r="E560" s="178"/>
      <c r="H560" s="178"/>
      <c r="J560" s="42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</row>
    <row r="561" spans="1:50" ht="15.75" customHeight="1" x14ac:dyDescent="0.3">
      <c r="A561" s="13"/>
      <c r="B561" s="13"/>
      <c r="C561" s="13"/>
      <c r="E561" s="178"/>
      <c r="H561" s="178"/>
      <c r="J561" s="42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</row>
    <row r="562" spans="1:50" ht="15.75" customHeight="1" x14ac:dyDescent="0.3">
      <c r="A562" s="13"/>
      <c r="B562" s="13"/>
      <c r="C562" s="13"/>
      <c r="E562" s="178"/>
      <c r="H562" s="178"/>
      <c r="J562" s="42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</row>
    <row r="563" spans="1:50" ht="15.75" customHeight="1" x14ac:dyDescent="0.3">
      <c r="A563" s="13"/>
      <c r="B563" s="13"/>
      <c r="C563" s="13"/>
      <c r="E563" s="178"/>
      <c r="H563" s="178"/>
      <c r="J563" s="42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</row>
    <row r="564" spans="1:50" ht="15.75" customHeight="1" x14ac:dyDescent="0.3">
      <c r="A564" s="13"/>
      <c r="B564" s="13"/>
      <c r="C564" s="13"/>
      <c r="E564" s="178"/>
      <c r="H564" s="178"/>
      <c r="J564" s="42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</row>
    <row r="565" spans="1:50" ht="15.75" customHeight="1" x14ac:dyDescent="0.3">
      <c r="A565" s="13"/>
      <c r="B565" s="13"/>
      <c r="C565" s="13"/>
      <c r="E565" s="178"/>
      <c r="H565" s="178"/>
      <c r="J565" s="42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</row>
    <row r="566" spans="1:50" ht="15.75" customHeight="1" x14ac:dyDescent="0.3">
      <c r="A566" s="13"/>
      <c r="B566" s="13"/>
      <c r="C566" s="13"/>
      <c r="E566" s="178"/>
      <c r="H566" s="178"/>
      <c r="J566" s="42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</row>
    <row r="567" spans="1:50" ht="15.75" customHeight="1" x14ac:dyDescent="0.3">
      <c r="A567" s="13"/>
      <c r="B567" s="13"/>
      <c r="C567" s="13"/>
      <c r="E567" s="178"/>
      <c r="H567" s="178"/>
      <c r="J567" s="42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</row>
    <row r="568" spans="1:50" ht="15.75" customHeight="1" x14ac:dyDescent="0.3">
      <c r="A568" s="13"/>
      <c r="B568" s="13"/>
      <c r="C568" s="13"/>
      <c r="E568" s="178"/>
      <c r="H568" s="178"/>
      <c r="J568" s="42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</row>
    <row r="569" spans="1:50" ht="15.75" customHeight="1" x14ac:dyDescent="0.3">
      <c r="A569" s="13"/>
      <c r="B569" s="13"/>
      <c r="C569" s="13"/>
      <c r="E569" s="178"/>
      <c r="H569" s="178"/>
      <c r="J569" s="42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</row>
    <row r="570" spans="1:50" ht="15.75" customHeight="1" x14ac:dyDescent="0.3">
      <c r="A570" s="13"/>
      <c r="B570" s="13"/>
      <c r="C570" s="13"/>
      <c r="E570" s="178"/>
      <c r="H570" s="178"/>
      <c r="J570" s="42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</row>
    <row r="571" spans="1:50" ht="15.75" customHeight="1" x14ac:dyDescent="0.3">
      <c r="A571" s="13"/>
      <c r="B571" s="13"/>
      <c r="C571" s="13"/>
      <c r="E571" s="178"/>
      <c r="H571" s="178"/>
      <c r="J571" s="42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</row>
    <row r="572" spans="1:50" ht="15.75" customHeight="1" x14ac:dyDescent="0.3">
      <c r="A572" s="13"/>
      <c r="B572" s="13"/>
      <c r="C572" s="13"/>
      <c r="E572" s="178"/>
      <c r="H572" s="178"/>
      <c r="J572" s="42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</row>
    <row r="573" spans="1:50" ht="15.75" customHeight="1" x14ac:dyDescent="0.3">
      <c r="A573" s="13"/>
      <c r="B573" s="13"/>
      <c r="C573" s="13"/>
      <c r="E573" s="178"/>
      <c r="H573" s="178"/>
      <c r="J573" s="42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</row>
    <row r="574" spans="1:50" ht="15.75" customHeight="1" x14ac:dyDescent="0.3">
      <c r="A574" s="13"/>
      <c r="B574" s="13"/>
      <c r="C574" s="13"/>
      <c r="E574" s="178"/>
      <c r="H574" s="178"/>
      <c r="J574" s="42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</row>
    <row r="575" spans="1:50" ht="15.75" customHeight="1" x14ac:dyDescent="0.3">
      <c r="A575" s="13"/>
      <c r="B575" s="13"/>
      <c r="C575" s="13"/>
      <c r="E575" s="178"/>
      <c r="H575" s="178"/>
      <c r="J575" s="42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</row>
    <row r="576" spans="1:50" ht="15.75" customHeight="1" x14ac:dyDescent="0.3">
      <c r="A576" s="13"/>
      <c r="B576" s="13"/>
      <c r="C576" s="13"/>
      <c r="E576" s="178"/>
      <c r="H576" s="178"/>
      <c r="J576" s="42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  <c r="AI576" s="178"/>
      <c r="AJ576" s="178"/>
      <c r="AK576" s="178"/>
      <c r="AL576" s="178"/>
      <c r="AM576" s="178"/>
      <c r="AN576" s="178"/>
      <c r="AO576" s="178"/>
      <c r="AP576" s="178"/>
      <c r="AQ576" s="178"/>
      <c r="AR576" s="178"/>
      <c r="AS576" s="178"/>
      <c r="AT576" s="178"/>
      <c r="AU576" s="178"/>
      <c r="AV576" s="178"/>
      <c r="AW576" s="178"/>
      <c r="AX576" s="178"/>
    </row>
    <row r="577" spans="1:50" ht="15.75" customHeight="1" x14ac:dyDescent="0.3">
      <c r="A577" s="13"/>
      <c r="B577" s="13"/>
      <c r="C577" s="13"/>
      <c r="E577" s="178"/>
      <c r="H577" s="178"/>
      <c r="J577" s="42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  <c r="AI577" s="178"/>
      <c r="AJ577" s="178"/>
      <c r="AK577" s="178"/>
      <c r="AL577" s="178"/>
      <c r="AM577" s="178"/>
      <c r="AN577" s="178"/>
      <c r="AO577" s="178"/>
      <c r="AP577" s="178"/>
      <c r="AQ577" s="178"/>
      <c r="AR577" s="178"/>
      <c r="AS577" s="178"/>
      <c r="AT577" s="178"/>
      <c r="AU577" s="178"/>
      <c r="AV577" s="178"/>
      <c r="AW577" s="178"/>
      <c r="AX577" s="178"/>
    </row>
    <row r="578" spans="1:50" ht="15.75" customHeight="1" x14ac:dyDescent="0.3">
      <c r="A578" s="13"/>
      <c r="B578" s="13"/>
      <c r="C578" s="13"/>
      <c r="E578" s="178"/>
      <c r="H578" s="178"/>
      <c r="J578" s="42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  <c r="AI578" s="178"/>
      <c r="AJ578" s="178"/>
      <c r="AK578" s="178"/>
      <c r="AL578" s="178"/>
      <c r="AM578" s="178"/>
      <c r="AN578" s="178"/>
      <c r="AO578" s="178"/>
      <c r="AP578" s="178"/>
      <c r="AQ578" s="178"/>
      <c r="AR578" s="178"/>
      <c r="AS578" s="178"/>
      <c r="AT578" s="178"/>
      <c r="AU578" s="178"/>
      <c r="AV578" s="178"/>
      <c r="AW578" s="178"/>
      <c r="AX578" s="178"/>
    </row>
    <row r="579" spans="1:50" ht="15.75" customHeight="1" x14ac:dyDescent="0.3">
      <c r="A579" s="13"/>
      <c r="B579" s="13"/>
      <c r="C579" s="13"/>
      <c r="E579" s="178"/>
      <c r="H579" s="178"/>
      <c r="J579" s="42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</row>
    <row r="580" spans="1:50" ht="15.75" customHeight="1" x14ac:dyDescent="0.3">
      <c r="A580" s="13"/>
      <c r="B580" s="13"/>
      <c r="C580" s="13"/>
      <c r="E580" s="178"/>
      <c r="H580" s="178"/>
      <c r="J580" s="42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</row>
    <row r="581" spans="1:50" ht="15.75" customHeight="1" x14ac:dyDescent="0.3">
      <c r="A581" s="13"/>
      <c r="B581" s="13"/>
      <c r="C581" s="13"/>
      <c r="E581" s="178"/>
      <c r="H581" s="178"/>
      <c r="J581" s="42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</row>
    <row r="582" spans="1:50" ht="15.75" customHeight="1" x14ac:dyDescent="0.3">
      <c r="A582" s="13"/>
      <c r="B582" s="13"/>
      <c r="C582" s="13"/>
      <c r="E582" s="178"/>
      <c r="H582" s="178"/>
      <c r="J582" s="42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</row>
    <row r="583" spans="1:50" ht="15.75" customHeight="1" x14ac:dyDescent="0.3">
      <c r="A583" s="13"/>
      <c r="B583" s="13"/>
      <c r="C583" s="13"/>
      <c r="E583" s="178"/>
      <c r="H583" s="178"/>
      <c r="J583" s="42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</row>
    <row r="584" spans="1:50" ht="15.75" customHeight="1" x14ac:dyDescent="0.3">
      <c r="A584" s="13"/>
      <c r="B584" s="13"/>
      <c r="C584" s="13"/>
      <c r="E584" s="178"/>
      <c r="H584" s="178"/>
      <c r="J584" s="42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</row>
    <row r="585" spans="1:50" ht="15.75" customHeight="1" x14ac:dyDescent="0.3">
      <c r="A585" s="13"/>
      <c r="B585" s="13"/>
      <c r="C585" s="13"/>
      <c r="E585" s="178"/>
      <c r="H585" s="178"/>
      <c r="J585" s="42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</row>
    <row r="586" spans="1:50" ht="15.75" customHeight="1" x14ac:dyDescent="0.3">
      <c r="A586" s="13"/>
      <c r="B586" s="13"/>
      <c r="C586" s="13"/>
      <c r="E586" s="178"/>
      <c r="H586" s="178"/>
      <c r="J586" s="42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</row>
    <row r="587" spans="1:50" ht="15.75" customHeight="1" x14ac:dyDescent="0.3">
      <c r="A587" s="13"/>
      <c r="B587" s="13"/>
      <c r="C587" s="13"/>
      <c r="E587" s="178"/>
      <c r="H587" s="178"/>
      <c r="J587" s="42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</row>
    <row r="588" spans="1:50" ht="15.75" customHeight="1" x14ac:dyDescent="0.3">
      <c r="A588" s="13"/>
      <c r="B588" s="13"/>
      <c r="C588" s="13"/>
      <c r="E588" s="178"/>
      <c r="H588" s="178"/>
      <c r="J588" s="42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</row>
    <row r="589" spans="1:50" ht="15.75" customHeight="1" x14ac:dyDescent="0.3">
      <c r="A589" s="13"/>
      <c r="B589" s="13"/>
      <c r="C589" s="13"/>
      <c r="E589" s="178"/>
      <c r="H589" s="178"/>
      <c r="J589" s="42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  <c r="AR589" s="178"/>
      <c r="AS589" s="178"/>
      <c r="AT589" s="178"/>
      <c r="AU589" s="178"/>
      <c r="AV589" s="178"/>
      <c r="AW589" s="178"/>
      <c r="AX589" s="178"/>
    </row>
    <row r="590" spans="1:50" ht="15.75" customHeight="1" x14ac:dyDescent="0.3">
      <c r="A590" s="13"/>
      <c r="B590" s="13"/>
      <c r="C590" s="13"/>
      <c r="E590" s="178"/>
      <c r="H590" s="178"/>
      <c r="J590" s="42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  <c r="AI590" s="178"/>
      <c r="AJ590" s="178"/>
      <c r="AK590" s="178"/>
      <c r="AL590" s="178"/>
      <c r="AM590" s="178"/>
      <c r="AN590" s="178"/>
      <c r="AO590" s="178"/>
      <c r="AP590" s="178"/>
      <c r="AQ590" s="178"/>
      <c r="AR590" s="178"/>
      <c r="AS590" s="178"/>
      <c r="AT590" s="178"/>
      <c r="AU590" s="178"/>
      <c r="AV590" s="178"/>
      <c r="AW590" s="178"/>
      <c r="AX590" s="178"/>
    </row>
    <row r="591" spans="1:50" ht="15.75" customHeight="1" x14ac:dyDescent="0.3">
      <c r="A591" s="13"/>
      <c r="B591" s="13"/>
      <c r="C591" s="13"/>
      <c r="E591" s="178"/>
      <c r="H591" s="178"/>
      <c r="J591" s="42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  <c r="AI591" s="178"/>
      <c r="AJ591" s="178"/>
      <c r="AK591" s="178"/>
      <c r="AL591" s="178"/>
      <c r="AM591" s="178"/>
      <c r="AN591" s="178"/>
      <c r="AO591" s="178"/>
      <c r="AP591" s="178"/>
      <c r="AQ591" s="178"/>
      <c r="AR591" s="178"/>
      <c r="AS591" s="178"/>
      <c r="AT591" s="178"/>
      <c r="AU591" s="178"/>
      <c r="AV591" s="178"/>
      <c r="AW591" s="178"/>
      <c r="AX591" s="178"/>
    </row>
    <row r="592" spans="1:50" ht="15.75" customHeight="1" x14ac:dyDescent="0.3">
      <c r="A592" s="13"/>
      <c r="B592" s="13"/>
      <c r="C592" s="13"/>
      <c r="E592" s="178"/>
      <c r="H592" s="178"/>
      <c r="J592" s="42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</row>
    <row r="593" spans="1:50" ht="15.75" customHeight="1" x14ac:dyDescent="0.3">
      <c r="A593" s="13"/>
      <c r="B593" s="13"/>
      <c r="C593" s="13"/>
      <c r="E593" s="178"/>
      <c r="H593" s="178"/>
      <c r="J593" s="42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</row>
    <row r="594" spans="1:50" ht="15.75" customHeight="1" x14ac:dyDescent="0.3">
      <c r="A594" s="13"/>
      <c r="B594" s="13"/>
      <c r="C594" s="13"/>
      <c r="E594" s="178"/>
      <c r="H594" s="178"/>
      <c r="J594" s="42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</row>
    <row r="595" spans="1:50" ht="15.75" customHeight="1" x14ac:dyDescent="0.3">
      <c r="A595" s="13"/>
      <c r="B595" s="13"/>
      <c r="C595" s="13"/>
      <c r="E595" s="178"/>
      <c r="H595" s="178"/>
      <c r="J595" s="42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</row>
    <row r="596" spans="1:50" ht="15.75" customHeight="1" x14ac:dyDescent="0.3">
      <c r="A596" s="13"/>
      <c r="B596" s="13"/>
      <c r="C596" s="13"/>
      <c r="E596" s="178"/>
      <c r="H596" s="178"/>
      <c r="J596" s="42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</row>
    <row r="597" spans="1:50" ht="15.75" customHeight="1" x14ac:dyDescent="0.3">
      <c r="A597" s="13"/>
      <c r="B597" s="13"/>
      <c r="C597" s="13"/>
      <c r="E597" s="178"/>
      <c r="H597" s="178"/>
      <c r="J597" s="42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  <c r="AI597" s="178"/>
      <c r="AJ597" s="178"/>
      <c r="AK597" s="178"/>
      <c r="AL597" s="178"/>
      <c r="AM597" s="178"/>
      <c r="AN597" s="178"/>
      <c r="AO597" s="178"/>
      <c r="AP597" s="178"/>
      <c r="AQ597" s="178"/>
      <c r="AR597" s="178"/>
      <c r="AS597" s="178"/>
      <c r="AT597" s="178"/>
      <c r="AU597" s="178"/>
      <c r="AV597" s="178"/>
      <c r="AW597" s="178"/>
      <c r="AX597" s="178"/>
    </row>
    <row r="598" spans="1:50" ht="15.75" customHeight="1" x14ac:dyDescent="0.3">
      <c r="A598" s="13"/>
      <c r="B598" s="13"/>
      <c r="C598" s="13"/>
      <c r="E598" s="178"/>
      <c r="H598" s="178"/>
      <c r="J598" s="42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  <c r="AI598" s="178"/>
      <c r="AJ598" s="178"/>
      <c r="AK598" s="178"/>
      <c r="AL598" s="178"/>
      <c r="AM598" s="178"/>
      <c r="AN598" s="178"/>
      <c r="AO598" s="178"/>
      <c r="AP598" s="178"/>
      <c r="AQ598" s="178"/>
      <c r="AR598" s="178"/>
      <c r="AS598" s="178"/>
      <c r="AT598" s="178"/>
      <c r="AU598" s="178"/>
      <c r="AV598" s="178"/>
      <c r="AW598" s="178"/>
      <c r="AX598" s="178"/>
    </row>
    <row r="599" spans="1:50" ht="15.75" customHeight="1" x14ac:dyDescent="0.3">
      <c r="A599" s="13"/>
      <c r="B599" s="13"/>
      <c r="C599" s="13"/>
      <c r="E599" s="178"/>
      <c r="H599" s="178"/>
      <c r="J599" s="42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</row>
    <row r="600" spans="1:50" ht="15.75" customHeight="1" x14ac:dyDescent="0.3">
      <c r="A600" s="13"/>
      <c r="B600" s="13"/>
      <c r="C600" s="13"/>
      <c r="E600" s="178"/>
      <c r="H600" s="178"/>
      <c r="J600" s="42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  <c r="AI600" s="178"/>
      <c r="AJ600" s="178"/>
      <c r="AK600" s="178"/>
      <c r="AL600" s="178"/>
      <c r="AM600" s="178"/>
      <c r="AN600" s="178"/>
      <c r="AO600" s="178"/>
      <c r="AP600" s="178"/>
      <c r="AQ600" s="178"/>
      <c r="AR600" s="178"/>
      <c r="AS600" s="178"/>
      <c r="AT600" s="178"/>
      <c r="AU600" s="178"/>
      <c r="AV600" s="178"/>
      <c r="AW600" s="178"/>
      <c r="AX600" s="178"/>
    </row>
    <row r="601" spans="1:50" ht="15.75" customHeight="1" x14ac:dyDescent="0.3">
      <c r="A601" s="13"/>
      <c r="B601" s="13"/>
      <c r="C601" s="13"/>
      <c r="E601" s="178"/>
      <c r="H601" s="178"/>
      <c r="J601" s="42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  <c r="AI601" s="178"/>
      <c r="AJ601" s="178"/>
      <c r="AK601" s="178"/>
      <c r="AL601" s="178"/>
      <c r="AM601" s="178"/>
      <c r="AN601" s="178"/>
      <c r="AO601" s="178"/>
      <c r="AP601" s="178"/>
      <c r="AQ601" s="178"/>
      <c r="AR601" s="178"/>
      <c r="AS601" s="178"/>
      <c r="AT601" s="178"/>
      <c r="AU601" s="178"/>
      <c r="AV601" s="178"/>
      <c r="AW601" s="178"/>
      <c r="AX601" s="178"/>
    </row>
    <row r="602" spans="1:50" ht="15.75" customHeight="1" x14ac:dyDescent="0.3">
      <c r="A602" s="13"/>
      <c r="B602" s="13"/>
      <c r="C602" s="13"/>
      <c r="E602" s="178"/>
      <c r="H602" s="178"/>
      <c r="J602" s="42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  <c r="AI602" s="178"/>
      <c r="AJ602" s="178"/>
      <c r="AK602" s="178"/>
      <c r="AL602" s="178"/>
      <c r="AM602" s="178"/>
      <c r="AN602" s="178"/>
      <c r="AO602" s="178"/>
      <c r="AP602" s="178"/>
      <c r="AQ602" s="178"/>
      <c r="AR602" s="178"/>
      <c r="AS602" s="178"/>
      <c r="AT602" s="178"/>
      <c r="AU602" s="178"/>
      <c r="AV602" s="178"/>
      <c r="AW602" s="178"/>
      <c r="AX602" s="178"/>
    </row>
    <row r="603" spans="1:50" ht="15.75" customHeight="1" x14ac:dyDescent="0.3">
      <c r="A603" s="13"/>
      <c r="B603" s="13"/>
      <c r="C603" s="13"/>
      <c r="E603" s="178"/>
      <c r="H603" s="178"/>
      <c r="J603" s="42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  <c r="AI603" s="178"/>
      <c r="AJ603" s="178"/>
      <c r="AK603" s="178"/>
      <c r="AL603" s="178"/>
      <c r="AM603" s="178"/>
      <c r="AN603" s="178"/>
      <c r="AO603" s="178"/>
      <c r="AP603" s="178"/>
      <c r="AQ603" s="178"/>
      <c r="AR603" s="178"/>
      <c r="AS603" s="178"/>
      <c r="AT603" s="178"/>
      <c r="AU603" s="178"/>
      <c r="AV603" s="178"/>
      <c r="AW603" s="178"/>
      <c r="AX603" s="178"/>
    </row>
    <row r="604" spans="1:50" ht="15.75" customHeight="1" x14ac:dyDescent="0.3">
      <c r="A604" s="13"/>
      <c r="B604" s="13"/>
      <c r="C604" s="13"/>
      <c r="E604" s="178"/>
      <c r="H604" s="178"/>
      <c r="J604" s="42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  <c r="AI604" s="178"/>
      <c r="AJ604" s="178"/>
      <c r="AK604" s="178"/>
      <c r="AL604" s="178"/>
      <c r="AM604" s="178"/>
      <c r="AN604" s="178"/>
      <c r="AO604" s="178"/>
      <c r="AP604" s="178"/>
      <c r="AQ604" s="178"/>
      <c r="AR604" s="178"/>
      <c r="AS604" s="178"/>
      <c r="AT604" s="178"/>
      <c r="AU604" s="178"/>
      <c r="AV604" s="178"/>
      <c r="AW604" s="178"/>
      <c r="AX604" s="178"/>
    </row>
    <row r="605" spans="1:50" ht="15.75" customHeight="1" x14ac:dyDescent="0.3">
      <c r="A605" s="13"/>
      <c r="B605" s="13"/>
      <c r="C605" s="13"/>
      <c r="E605" s="178"/>
      <c r="H605" s="178"/>
      <c r="J605" s="42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  <c r="AI605" s="178"/>
      <c r="AJ605" s="178"/>
      <c r="AK605" s="178"/>
      <c r="AL605" s="178"/>
      <c r="AM605" s="178"/>
      <c r="AN605" s="178"/>
      <c r="AO605" s="178"/>
      <c r="AP605" s="178"/>
      <c r="AQ605" s="178"/>
      <c r="AR605" s="178"/>
      <c r="AS605" s="178"/>
      <c r="AT605" s="178"/>
      <c r="AU605" s="178"/>
      <c r="AV605" s="178"/>
      <c r="AW605" s="178"/>
      <c r="AX605" s="178"/>
    </row>
    <row r="606" spans="1:50" ht="15.75" customHeight="1" x14ac:dyDescent="0.3">
      <c r="A606" s="13"/>
      <c r="B606" s="13"/>
      <c r="C606" s="13"/>
      <c r="E606" s="178"/>
      <c r="H606" s="178"/>
      <c r="J606" s="42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  <c r="AR606" s="178"/>
      <c r="AS606" s="178"/>
      <c r="AT606" s="178"/>
      <c r="AU606" s="178"/>
      <c r="AV606" s="178"/>
      <c r="AW606" s="178"/>
      <c r="AX606" s="178"/>
    </row>
    <row r="607" spans="1:50" ht="15.75" customHeight="1" x14ac:dyDescent="0.3">
      <c r="A607" s="13"/>
      <c r="B607" s="13"/>
      <c r="C607" s="13"/>
      <c r="E607" s="178"/>
      <c r="H607" s="178"/>
      <c r="J607" s="42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  <c r="AI607" s="178"/>
      <c r="AJ607" s="178"/>
      <c r="AK607" s="178"/>
      <c r="AL607" s="178"/>
      <c r="AM607" s="178"/>
      <c r="AN607" s="178"/>
      <c r="AO607" s="178"/>
      <c r="AP607" s="178"/>
      <c r="AQ607" s="178"/>
      <c r="AR607" s="178"/>
      <c r="AS607" s="178"/>
      <c r="AT607" s="178"/>
      <c r="AU607" s="178"/>
      <c r="AV607" s="178"/>
      <c r="AW607" s="178"/>
      <c r="AX607" s="178"/>
    </row>
    <row r="608" spans="1:50" ht="15.75" customHeight="1" x14ac:dyDescent="0.3">
      <c r="A608" s="13"/>
      <c r="B608" s="13"/>
      <c r="C608" s="13"/>
      <c r="E608" s="178"/>
      <c r="H608" s="178"/>
      <c r="J608" s="42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  <c r="AI608" s="178"/>
      <c r="AJ608" s="178"/>
      <c r="AK608" s="178"/>
      <c r="AL608" s="178"/>
      <c r="AM608" s="178"/>
      <c r="AN608" s="178"/>
      <c r="AO608" s="178"/>
      <c r="AP608" s="178"/>
      <c r="AQ608" s="178"/>
      <c r="AR608" s="178"/>
      <c r="AS608" s="178"/>
      <c r="AT608" s="178"/>
      <c r="AU608" s="178"/>
      <c r="AV608" s="178"/>
      <c r="AW608" s="178"/>
      <c r="AX608" s="178"/>
    </row>
    <row r="609" spans="1:50" ht="15.75" customHeight="1" x14ac:dyDescent="0.3">
      <c r="A609" s="13"/>
      <c r="B609" s="13"/>
      <c r="C609" s="13"/>
      <c r="E609" s="178"/>
      <c r="H609" s="178"/>
      <c r="J609" s="42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</row>
    <row r="610" spans="1:50" ht="15.75" customHeight="1" x14ac:dyDescent="0.3">
      <c r="A610" s="13"/>
      <c r="B610" s="13"/>
      <c r="C610" s="13"/>
      <c r="E610" s="178"/>
      <c r="H610" s="178"/>
      <c r="J610" s="42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</row>
    <row r="611" spans="1:50" ht="15.75" customHeight="1" x14ac:dyDescent="0.3">
      <c r="A611" s="13"/>
      <c r="B611" s="13"/>
      <c r="C611" s="13"/>
      <c r="E611" s="178"/>
      <c r="H611" s="178"/>
      <c r="J611" s="42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</row>
    <row r="612" spans="1:50" ht="15.75" customHeight="1" x14ac:dyDescent="0.3">
      <c r="A612" s="13"/>
      <c r="B612" s="13"/>
      <c r="C612" s="13"/>
      <c r="E612" s="178"/>
      <c r="H612" s="178"/>
      <c r="J612" s="42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</row>
    <row r="613" spans="1:50" ht="15.75" customHeight="1" x14ac:dyDescent="0.3">
      <c r="A613" s="13"/>
      <c r="B613" s="13"/>
      <c r="C613" s="13"/>
      <c r="E613" s="178"/>
      <c r="H613" s="178"/>
      <c r="J613" s="42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</row>
    <row r="614" spans="1:50" ht="15.75" customHeight="1" x14ac:dyDescent="0.3">
      <c r="A614" s="13"/>
      <c r="B614" s="13"/>
      <c r="C614" s="13"/>
      <c r="E614" s="178"/>
      <c r="H614" s="178"/>
      <c r="J614" s="42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</row>
    <row r="615" spans="1:50" ht="15.75" customHeight="1" x14ac:dyDescent="0.3">
      <c r="A615" s="13"/>
      <c r="B615" s="13"/>
      <c r="C615" s="13"/>
      <c r="E615" s="178"/>
      <c r="H615" s="178"/>
      <c r="J615" s="42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</row>
    <row r="616" spans="1:50" ht="15.75" customHeight="1" x14ac:dyDescent="0.3">
      <c r="A616" s="13"/>
      <c r="B616" s="13"/>
      <c r="C616" s="13"/>
      <c r="E616" s="178"/>
      <c r="H616" s="178"/>
      <c r="J616" s="42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</row>
    <row r="617" spans="1:50" ht="15.75" customHeight="1" x14ac:dyDescent="0.3">
      <c r="A617" s="13"/>
      <c r="B617" s="13"/>
      <c r="C617" s="13"/>
      <c r="E617" s="178"/>
      <c r="H617" s="178"/>
      <c r="J617" s="42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</row>
    <row r="618" spans="1:50" ht="15.75" customHeight="1" x14ac:dyDescent="0.3">
      <c r="A618" s="13"/>
      <c r="B618" s="13"/>
      <c r="C618" s="13"/>
      <c r="E618" s="178"/>
      <c r="H618" s="178"/>
      <c r="J618" s="42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</row>
    <row r="619" spans="1:50" ht="15.75" customHeight="1" x14ac:dyDescent="0.3">
      <c r="A619" s="13"/>
      <c r="B619" s="13"/>
      <c r="C619" s="13"/>
      <c r="E619" s="178"/>
      <c r="H619" s="178"/>
      <c r="J619" s="42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</row>
    <row r="620" spans="1:50" ht="15.75" customHeight="1" x14ac:dyDescent="0.3">
      <c r="A620" s="13"/>
      <c r="B620" s="13"/>
      <c r="C620" s="13"/>
      <c r="E620" s="178"/>
      <c r="H620" s="178"/>
      <c r="J620" s="42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</row>
    <row r="621" spans="1:50" ht="15.75" customHeight="1" x14ac:dyDescent="0.3">
      <c r="A621" s="13"/>
      <c r="B621" s="13"/>
      <c r="C621" s="13"/>
      <c r="E621" s="178"/>
      <c r="H621" s="178"/>
      <c r="J621" s="42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</row>
    <row r="622" spans="1:50" ht="15.75" customHeight="1" x14ac:dyDescent="0.3">
      <c r="A622" s="13"/>
      <c r="B622" s="13"/>
      <c r="C622" s="13"/>
      <c r="E622" s="178"/>
      <c r="H622" s="178"/>
      <c r="J622" s="42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</row>
    <row r="623" spans="1:50" ht="15.75" customHeight="1" x14ac:dyDescent="0.3">
      <c r="A623" s="13"/>
      <c r="B623" s="13"/>
      <c r="C623" s="13"/>
      <c r="E623" s="178"/>
      <c r="H623" s="178"/>
      <c r="J623" s="42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</row>
    <row r="624" spans="1:50" ht="15.75" customHeight="1" x14ac:dyDescent="0.3">
      <c r="A624" s="13"/>
      <c r="B624" s="13"/>
      <c r="C624" s="13"/>
      <c r="E624" s="178"/>
      <c r="H624" s="178"/>
      <c r="J624" s="42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</row>
    <row r="625" spans="1:50" ht="15.75" customHeight="1" x14ac:dyDescent="0.3">
      <c r="A625" s="13"/>
      <c r="B625" s="13"/>
      <c r="C625" s="13"/>
      <c r="E625" s="178"/>
      <c r="H625" s="178"/>
      <c r="J625" s="42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</row>
    <row r="626" spans="1:50" ht="15.75" customHeight="1" x14ac:dyDescent="0.3">
      <c r="A626" s="13"/>
      <c r="B626" s="13"/>
      <c r="C626" s="13"/>
      <c r="E626" s="178"/>
      <c r="H626" s="178"/>
      <c r="J626" s="42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</row>
    <row r="627" spans="1:50" ht="15.75" customHeight="1" x14ac:dyDescent="0.3">
      <c r="A627" s="13"/>
      <c r="B627" s="13"/>
      <c r="C627" s="13"/>
      <c r="E627" s="178"/>
      <c r="H627" s="178"/>
      <c r="J627" s="42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</row>
    <row r="628" spans="1:50" ht="15.75" customHeight="1" x14ac:dyDescent="0.3">
      <c r="A628" s="13"/>
      <c r="B628" s="13"/>
      <c r="C628" s="13"/>
      <c r="E628" s="178"/>
      <c r="H628" s="178"/>
      <c r="J628" s="42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</row>
    <row r="629" spans="1:50" ht="15.75" customHeight="1" x14ac:dyDescent="0.3">
      <c r="A629" s="13"/>
      <c r="B629" s="13"/>
      <c r="C629" s="13"/>
      <c r="E629" s="178"/>
      <c r="H629" s="178"/>
      <c r="J629" s="42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</row>
    <row r="630" spans="1:50" ht="15.75" customHeight="1" x14ac:dyDescent="0.3">
      <c r="A630" s="13"/>
      <c r="B630" s="13"/>
      <c r="C630" s="13"/>
      <c r="E630" s="178"/>
      <c r="H630" s="178"/>
      <c r="J630" s="42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  <c r="AI630" s="178"/>
      <c r="AJ630" s="178"/>
      <c r="AK630" s="178"/>
      <c r="AL630" s="178"/>
      <c r="AM630" s="178"/>
      <c r="AN630" s="178"/>
      <c r="AO630" s="178"/>
      <c r="AP630" s="178"/>
      <c r="AQ630" s="178"/>
      <c r="AR630" s="178"/>
      <c r="AS630" s="178"/>
      <c r="AT630" s="178"/>
      <c r="AU630" s="178"/>
      <c r="AV630" s="178"/>
      <c r="AW630" s="178"/>
      <c r="AX630" s="178"/>
    </row>
    <row r="631" spans="1:50" ht="15.75" customHeight="1" x14ac:dyDescent="0.3">
      <c r="A631" s="13"/>
      <c r="B631" s="13"/>
      <c r="C631" s="13"/>
      <c r="E631" s="178"/>
      <c r="H631" s="178"/>
      <c r="J631" s="42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  <c r="AI631" s="178"/>
      <c r="AJ631" s="178"/>
      <c r="AK631" s="178"/>
      <c r="AL631" s="178"/>
      <c r="AM631" s="178"/>
      <c r="AN631" s="178"/>
      <c r="AO631" s="178"/>
      <c r="AP631" s="178"/>
      <c r="AQ631" s="178"/>
      <c r="AR631" s="178"/>
      <c r="AS631" s="178"/>
      <c r="AT631" s="178"/>
      <c r="AU631" s="178"/>
      <c r="AV631" s="178"/>
      <c r="AW631" s="178"/>
      <c r="AX631" s="178"/>
    </row>
    <row r="632" spans="1:50" ht="15.75" customHeight="1" x14ac:dyDescent="0.3">
      <c r="A632" s="13"/>
      <c r="B632" s="13"/>
      <c r="C632" s="13"/>
      <c r="E632" s="178"/>
      <c r="H632" s="178"/>
      <c r="J632" s="42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  <c r="AR632" s="178"/>
      <c r="AS632" s="178"/>
      <c r="AT632" s="178"/>
      <c r="AU632" s="178"/>
      <c r="AV632" s="178"/>
      <c r="AW632" s="178"/>
      <c r="AX632" s="178"/>
    </row>
    <row r="633" spans="1:50" ht="15.75" customHeight="1" x14ac:dyDescent="0.3">
      <c r="A633" s="13"/>
      <c r="B633" s="13"/>
      <c r="C633" s="13"/>
      <c r="E633" s="178"/>
      <c r="H633" s="178"/>
      <c r="J633" s="42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</row>
    <row r="634" spans="1:50" ht="15.75" customHeight="1" x14ac:dyDescent="0.3">
      <c r="A634" s="13"/>
      <c r="B634" s="13"/>
      <c r="C634" s="13"/>
      <c r="E634" s="178"/>
      <c r="H634" s="178"/>
      <c r="J634" s="42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</row>
    <row r="635" spans="1:50" ht="15.75" customHeight="1" x14ac:dyDescent="0.3">
      <c r="A635" s="13"/>
      <c r="B635" s="13"/>
      <c r="C635" s="13"/>
      <c r="E635" s="178"/>
      <c r="H635" s="178"/>
      <c r="J635" s="42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</row>
    <row r="636" spans="1:50" ht="15.75" customHeight="1" x14ac:dyDescent="0.3">
      <c r="A636" s="13"/>
      <c r="B636" s="13"/>
      <c r="C636" s="13"/>
      <c r="E636" s="178"/>
      <c r="H636" s="178"/>
      <c r="J636" s="42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  <c r="AI636" s="178"/>
      <c r="AJ636" s="178"/>
      <c r="AK636" s="178"/>
      <c r="AL636" s="178"/>
      <c r="AM636" s="178"/>
      <c r="AN636" s="178"/>
      <c r="AO636" s="178"/>
      <c r="AP636" s="178"/>
      <c r="AQ636" s="178"/>
      <c r="AR636" s="178"/>
      <c r="AS636" s="178"/>
      <c r="AT636" s="178"/>
      <c r="AU636" s="178"/>
      <c r="AV636" s="178"/>
      <c r="AW636" s="178"/>
      <c r="AX636" s="178"/>
    </row>
    <row r="637" spans="1:50" ht="15.75" customHeight="1" x14ac:dyDescent="0.3">
      <c r="A637" s="13"/>
      <c r="B637" s="13"/>
      <c r="C637" s="13"/>
      <c r="E637" s="178"/>
      <c r="H637" s="178"/>
      <c r="J637" s="42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  <c r="AI637" s="178"/>
      <c r="AJ637" s="178"/>
      <c r="AK637" s="178"/>
      <c r="AL637" s="178"/>
      <c r="AM637" s="178"/>
      <c r="AN637" s="178"/>
      <c r="AO637" s="178"/>
      <c r="AP637" s="178"/>
      <c r="AQ637" s="178"/>
      <c r="AR637" s="178"/>
      <c r="AS637" s="178"/>
      <c r="AT637" s="178"/>
      <c r="AU637" s="178"/>
      <c r="AV637" s="178"/>
      <c r="AW637" s="178"/>
      <c r="AX637" s="178"/>
    </row>
    <row r="638" spans="1:50" ht="15.75" customHeight="1" x14ac:dyDescent="0.3">
      <c r="A638" s="13"/>
      <c r="B638" s="13"/>
      <c r="C638" s="13"/>
      <c r="E638" s="178"/>
      <c r="H638" s="178"/>
      <c r="J638" s="42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  <c r="AR638" s="178"/>
      <c r="AS638" s="178"/>
      <c r="AT638" s="178"/>
      <c r="AU638" s="178"/>
      <c r="AV638" s="178"/>
      <c r="AW638" s="178"/>
      <c r="AX638" s="178"/>
    </row>
    <row r="639" spans="1:50" ht="15.75" customHeight="1" x14ac:dyDescent="0.3">
      <c r="A639" s="13"/>
      <c r="B639" s="13"/>
      <c r="C639" s="13"/>
      <c r="E639" s="178"/>
      <c r="H639" s="178"/>
      <c r="J639" s="42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</row>
    <row r="640" spans="1:50" ht="15.75" customHeight="1" x14ac:dyDescent="0.3">
      <c r="A640" s="13"/>
      <c r="B640" s="13"/>
      <c r="C640" s="13"/>
      <c r="E640" s="178"/>
      <c r="H640" s="178"/>
      <c r="J640" s="42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</row>
    <row r="641" spans="1:50" ht="15.75" customHeight="1" x14ac:dyDescent="0.3">
      <c r="A641" s="13"/>
      <c r="B641" s="13"/>
      <c r="C641" s="13"/>
      <c r="E641" s="178"/>
      <c r="H641" s="178"/>
      <c r="J641" s="42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</row>
    <row r="642" spans="1:50" ht="15.75" customHeight="1" x14ac:dyDescent="0.3">
      <c r="A642" s="13"/>
      <c r="B642" s="13"/>
      <c r="C642" s="13"/>
      <c r="E642" s="178"/>
      <c r="H642" s="178"/>
      <c r="J642" s="42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</row>
    <row r="643" spans="1:50" ht="15.75" customHeight="1" x14ac:dyDescent="0.3">
      <c r="A643" s="13"/>
      <c r="B643" s="13"/>
      <c r="C643" s="13"/>
      <c r="E643" s="178"/>
      <c r="H643" s="178"/>
      <c r="J643" s="42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</row>
    <row r="644" spans="1:50" ht="15.75" customHeight="1" x14ac:dyDescent="0.3">
      <c r="A644" s="13"/>
      <c r="B644" s="13"/>
      <c r="C644" s="13"/>
      <c r="E644" s="178"/>
      <c r="H644" s="178"/>
      <c r="J644" s="42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</row>
    <row r="645" spans="1:50" ht="15.75" customHeight="1" x14ac:dyDescent="0.3">
      <c r="A645" s="13"/>
      <c r="B645" s="13"/>
      <c r="C645" s="13"/>
      <c r="E645" s="178"/>
      <c r="H645" s="178"/>
      <c r="J645" s="42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  <c r="AI645" s="178"/>
      <c r="AJ645" s="178"/>
      <c r="AK645" s="178"/>
      <c r="AL645" s="178"/>
      <c r="AM645" s="178"/>
      <c r="AN645" s="178"/>
      <c r="AO645" s="178"/>
      <c r="AP645" s="178"/>
      <c r="AQ645" s="178"/>
      <c r="AR645" s="178"/>
      <c r="AS645" s="178"/>
      <c r="AT645" s="178"/>
      <c r="AU645" s="178"/>
      <c r="AV645" s="178"/>
      <c r="AW645" s="178"/>
      <c r="AX645" s="178"/>
    </row>
    <row r="646" spans="1:50" ht="15.75" customHeight="1" x14ac:dyDescent="0.3">
      <c r="A646" s="13"/>
      <c r="B646" s="13"/>
      <c r="C646" s="13"/>
      <c r="E646" s="178"/>
      <c r="H646" s="178"/>
      <c r="J646" s="42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  <c r="AI646" s="178"/>
      <c r="AJ646" s="178"/>
      <c r="AK646" s="178"/>
      <c r="AL646" s="178"/>
      <c r="AM646" s="178"/>
      <c r="AN646" s="178"/>
      <c r="AO646" s="178"/>
      <c r="AP646" s="178"/>
      <c r="AQ646" s="178"/>
      <c r="AR646" s="178"/>
      <c r="AS646" s="178"/>
      <c r="AT646" s="178"/>
      <c r="AU646" s="178"/>
      <c r="AV646" s="178"/>
      <c r="AW646" s="178"/>
      <c r="AX646" s="178"/>
    </row>
    <row r="647" spans="1:50" ht="15.75" customHeight="1" x14ac:dyDescent="0.3">
      <c r="A647" s="13"/>
      <c r="B647" s="13"/>
      <c r="C647" s="13"/>
      <c r="E647" s="178"/>
      <c r="H647" s="178"/>
      <c r="J647" s="42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  <c r="AR647" s="178"/>
      <c r="AS647" s="178"/>
      <c r="AT647" s="178"/>
      <c r="AU647" s="178"/>
      <c r="AV647" s="178"/>
      <c r="AW647" s="178"/>
      <c r="AX647" s="178"/>
    </row>
    <row r="648" spans="1:50" ht="15.75" customHeight="1" x14ac:dyDescent="0.3">
      <c r="A648" s="13"/>
      <c r="B648" s="13"/>
      <c r="C648" s="13"/>
      <c r="E648" s="178"/>
      <c r="H648" s="178"/>
      <c r="J648" s="42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  <c r="AR648" s="178"/>
      <c r="AS648" s="178"/>
      <c r="AT648" s="178"/>
      <c r="AU648" s="178"/>
      <c r="AV648" s="178"/>
      <c r="AW648" s="178"/>
      <c r="AX648" s="178"/>
    </row>
    <row r="649" spans="1:50" ht="15.75" customHeight="1" x14ac:dyDescent="0.3">
      <c r="A649" s="13"/>
      <c r="B649" s="13"/>
      <c r="C649" s="13"/>
      <c r="E649" s="178"/>
      <c r="H649" s="178"/>
      <c r="J649" s="42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  <c r="AI649" s="178"/>
      <c r="AJ649" s="178"/>
      <c r="AK649" s="178"/>
      <c r="AL649" s="178"/>
      <c r="AM649" s="178"/>
      <c r="AN649" s="178"/>
      <c r="AO649" s="178"/>
      <c r="AP649" s="178"/>
      <c r="AQ649" s="178"/>
      <c r="AR649" s="178"/>
      <c r="AS649" s="178"/>
      <c r="AT649" s="178"/>
      <c r="AU649" s="178"/>
      <c r="AV649" s="178"/>
      <c r="AW649" s="178"/>
      <c r="AX649" s="178"/>
    </row>
    <row r="650" spans="1:50" ht="15.75" customHeight="1" x14ac:dyDescent="0.3">
      <c r="A650" s="13"/>
      <c r="B650" s="13"/>
      <c r="C650" s="13"/>
      <c r="E650" s="178"/>
      <c r="H650" s="178"/>
      <c r="J650" s="42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</row>
    <row r="651" spans="1:50" ht="15.75" customHeight="1" x14ac:dyDescent="0.3">
      <c r="A651" s="13"/>
      <c r="B651" s="13"/>
      <c r="C651" s="13"/>
      <c r="E651" s="178"/>
      <c r="H651" s="178"/>
      <c r="J651" s="42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  <c r="AR651" s="178"/>
      <c r="AS651" s="178"/>
      <c r="AT651" s="178"/>
      <c r="AU651" s="178"/>
      <c r="AV651" s="178"/>
      <c r="AW651" s="178"/>
      <c r="AX651" s="178"/>
    </row>
    <row r="652" spans="1:50" ht="15.75" customHeight="1" x14ac:dyDescent="0.3">
      <c r="A652" s="13"/>
      <c r="B652" s="13"/>
      <c r="C652" s="13"/>
      <c r="E652" s="178"/>
      <c r="H652" s="178"/>
      <c r="J652" s="42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  <c r="AI652" s="178"/>
      <c r="AJ652" s="178"/>
      <c r="AK652" s="178"/>
      <c r="AL652" s="178"/>
      <c r="AM652" s="178"/>
      <c r="AN652" s="178"/>
      <c r="AO652" s="178"/>
      <c r="AP652" s="178"/>
      <c r="AQ652" s="178"/>
      <c r="AR652" s="178"/>
      <c r="AS652" s="178"/>
      <c r="AT652" s="178"/>
      <c r="AU652" s="178"/>
      <c r="AV652" s="178"/>
      <c r="AW652" s="178"/>
      <c r="AX652" s="178"/>
    </row>
    <row r="653" spans="1:50" ht="15.75" customHeight="1" x14ac:dyDescent="0.3">
      <c r="A653" s="13"/>
      <c r="B653" s="13"/>
      <c r="C653" s="13"/>
      <c r="E653" s="178"/>
      <c r="H653" s="178"/>
      <c r="J653" s="42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  <c r="AI653" s="178"/>
      <c r="AJ653" s="178"/>
      <c r="AK653" s="178"/>
      <c r="AL653" s="178"/>
      <c r="AM653" s="178"/>
      <c r="AN653" s="178"/>
      <c r="AO653" s="178"/>
      <c r="AP653" s="178"/>
      <c r="AQ653" s="178"/>
      <c r="AR653" s="178"/>
      <c r="AS653" s="178"/>
      <c r="AT653" s="178"/>
      <c r="AU653" s="178"/>
      <c r="AV653" s="178"/>
      <c r="AW653" s="178"/>
      <c r="AX653" s="178"/>
    </row>
    <row r="654" spans="1:50" ht="15.75" customHeight="1" x14ac:dyDescent="0.3">
      <c r="A654" s="13"/>
      <c r="B654" s="13"/>
      <c r="C654" s="13"/>
      <c r="E654" s="178"/>
      <c r="H654" s="178"/>
      <c r="J654" s="42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  <c r="AI654" s="178"/>
      <c r="AJ654" s="178"/>
      <c r="AK654" s="178"/>
      <c r="AL654" s="178"/>
      <c r="AM654" s="178"/>
      <c r="AN654" s="178"/>
      <c r="AO654" s="178"/>
      <c r="AP654" s="178"/>
      <c r="AQ654" s="178"/>
      <c r="AR654" s="178"/>
      <c r="AS654" s="178"/>
      <c r="AT654" s="178"/>
      <c r="AU654" s="178"/>
      <c r="AV654" s="178"/>
      <c r="AW654" s="178"/>
      <c r="AX654" s="178"/>
    </row>
    <row r="655" spans="1:50" ht="15.75" customHeight="1" x14ac:dyDescent="0.3">
      <c r="A655" s="13"/>
      <c r="B655" s="13"/>
      <c r="C655" s="13"/>
      <c r="E655" s="178"/>
      <c r="H655" s="178"/>
      <c r="J655" s="42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  <c r="AI655" s="178"/>
      <c r="AJ655" s="178"/>
      <c r="AK655" s="178"/>
      <c r="AL655" s="178"/>
      <c r="AM655" s="178"/>
      <c r="AN655" s="178"/>
      <c r="AO655" s="178"/>
      <c r="AP655" s="178"/>
      <c r="AQ655" s="178"/>
      <c r="AR655" s="178"/>
      <c r="AS655" s="178"/>
      <c r="AT655" s="178"/>
      <c r="AU655" s="178"/>
      <c r="AV655" s="178"/>
      <c r="AW655" s="178"/>
      <c r="AX655" s="178"/>
    </row>
    <row r="656" spans="1:50" ht="15.75" customHeight="1" x14ac:dyDescent="0.3">
      <c r="A656" s="13"/>
      <c r="B656" s="13"/>
      <c r="C656" s="13"/>
      <c r="E656" s="178"/>
      <c r="H656" s="178"/>
      <c r="J656" s="42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  <c r="AI656" s="178"/>
      <c r="AJ656" s="178"/>
      <c r="AK656" s="178"/>
      <c r="AL656" s="178"/>
      <c r="AM656" s="178"/>
      <c r="AN656" s="178"/>
      <c r="AO656" s="178"/>
      <c r="AP656" s="178"/>
      <c r="AQ656" s="178"/>
      <c r="AR656" s="178"/>
      <c r="AS656" s="178"/>
      <c r="AT656" s="178"/>
      <c r="AU656" s="178"/>
      <c r="AV656" s="178"/>
      <c r="AW656" s="178"/>
      <c r="AX656" s="178"/>
    </row>
    <row r="657" spans="1:50" ht="15.75" customHeight="1" x14ac:dyDescent="0.3">
      <c r="A657" s="13"/>
      <c r="B657" s="13"/>
      <c r="C657" s="13"/>
      <c r="E657" s="178"/>
      <c r="H657" s="178"/>
      <c r="J657" s="42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  <c r="AI657" s="178"/>
      <c r="AJ657" s="178"/>
      <c r="AK657" s="178"/>
      <c r="AL657" s="178"/>
      <c r="AM657" s="178"/>
      <c r="AN657" s="178"/>
      <c r="AO657" s="178"/>
      <c r="AP657" s="178"/>
      <c r="AQ657" s="178"/>
      <c r="AR657" s="178"/>
      <c r="AS657" s="178"/>
      <c r="AT657" s="178"/>
      <c r="AU657" s="178"/>
      <c r="AV657" s="178"/>
      <c r="AW657" s="178"/>
      <c r="AX657" s="178"/>
    </row>
    <row r="658" spans="1:50" ht="15.75" customHeight="1" x14ac:dyDescent="0.3">
      <c r="A658" s="13"/>
      <c r="B658" s="13"/>
      <c r="C658" s="13"/>
      <c r="E658" s="178"/>
      <c r="H658" s="178"/>
      <c r="J658" s="42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  <c r="AI658" s="178"/>
      <c r="AJ658" s="178"/>
      <c r="AK658" s="178"/>
      <c r="AL658" s="178"/>
      <c r="AM658" s="178"/>
      <c r="AN658" s="178"/>
      <c r="AO658" s="178"/>
      <c r="AP658" s="178"/>
      <c r="AQ658" s="178"/>
      <c r="AR658" s="178"/>
      <c r="AS658" s="178"/>
      <c r="AT658" s="178"/>
      <c r="AU658" s="178"/>
      <c r="AV658" s="178"/>
      <c r="AW658" s="178"/>
      <c r="AX658" s="178"/>
    </row>
    <row r="659" spans="1:50" ht="15.75" customHeight="1" x14ac:dyDescent="0.3">
      <c r="A659" s="13"/>
      <c r="B659" s="13"/>
      <c r="C659" s="13"/>
      <c r="E659" s="178"/>
      <c r="H659" s="178"/>
      <c r="J659" s="42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  <c r="AR659" s="178"/>
      <c r="AS659" s="178"/>
      <c r="AT659" s="178"/>
      <c r="AU659" s="178"/>
      <c r="AV659" s="178"/>
      <c r="AW659" s="178"/>
      <c r="AX659" s="178"/>
    </row>
    <row r="660" spans="1:50" ht="15.75" customHeight="1" x14ac:dyDescent="0.3">
      <c r="A660" s="13"/>
      <c r="B660" s="13"/>
      <c r="C660" s="13"/>
      <c r="E660" s="178"/>
      <c r="H660" s="178"/>
      <c r="J660" s="42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</row>
    <row r="661" spans="1:50" ht="15.75" customHeight="1" x14ac:dyDescent="0.3">
      <c r="A661" s="13"/>
      <c r="B661" s="13"/>
      <c r="C661" s="13"/>
      <c r="E661" s="178"/>
      <c r="H661" s="178"/>
      <c r="J661" s="42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</row>
    <row r="662" spans="1:50" ht="15.75" customHeight="1" x14ac:dyDescent="0.3">
      <c r="A662" s="13"/>
      <c r="B662" s="13"/>
      <c r="C662" s="13"/>
      <c r="E662" s="178"/>
      <c r="H662" s="178"/>
      <c r="J662" s="42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</row>
    <row r="663" spans="1:50" ht="15.75" customHeight="1" x14ac:dyDescent="0.3">
      <c r="A663" s="13"/>
      <c r="B663" s="13"/>
      <c r="C663" s="13"/>
      <c r="E663" s="178"/>
      <c r="H663" s="178"/>
      <c r="J663" s="42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</row>
    <row r="664" spans="1:50" ht="15.75" customHeight="1" x14ac:dyDescent="0.3">
      <c r="A664" s="13"/>
      <c r="B664" s="13"/>
      <c r="C664" s="13"/>
      <c r="E664" s="178"/>
      <c r="H664" s="178"/>
      <c r="J664" s="42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</row>
    <row r="665" spans="1:50" ht="15.75" customHeight="1" x14ac:dyDescent="0.3">
      <c r="A665" s="13"/>
      <c r="B665" s="13"/>
      <c r="C665" s="13"/>
      <c r="E665" s="178"/>
      <c r="H665" s="178"/>
      <c r="J665" s="42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</row>
    <row r="666" spans="1:50" ht="15.75" customHeight="1" x14ac:dyDescent="0.3">
      <c r="A666" s="13"/>
      <c r="B666" s="13"/>
      <c r="C666" s="13"/>
      <c r="E666" s="178"/>
      <c r="H666" s="178"/>
      <c r="J666" s="42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</row>
    <row r="667" spans="1:50" ht="15.75" customHeight="1" x14ac:dyDescent="0.3">
      <c r="A667" s="13"/>
      <c r="B667" s="13"/>
      <c r="C667" s="13"/>
      <c r="E667" s="178"/>
      <c r="H667" s="178"/>
      <c r="J667" s="42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</row>
    <row r="668" spans="1:50" ht="15.75" customHeight="1" x14ac:dyDescent="0.3">
      <c r="A668" s="13"/>
      <c r="B668" s="13"/>
      <c r="C668" s="13"/>
      <c r="E668" s="178"/>
      <c r="H668" s="178"/>
      <c r="J668" s="42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  <c r="AI668" s="178"/>
      <c r="AJ668" s="178"/>
      <c r="AK668" s="178"/>
      <c r="AL668" s="178"/>
      <c r="AM668" s="178"/>
      <c r="AN668" s="178"/>
      <c r="AO668" s="178"/>
      <c r="AP668" s="178"/>
      <c r="AQ668" s="178"/>
      <c r="AR668" s="178"/>
      <c r="AS668" s="178"/>
      <c r="AT668" s="178"/>
      <c r="AU668" s="178"/>
      <c r="AV668" s="178"/>
      <c r="AW668" s="178"/>
      <c r="AX668" s="178"/>
    </row>
    <row r="669" spans="1:50" ht="15.75" customHeight="1" x14ac:dyDescent="0.3">
      <c r="A669" s="13"/>
      <c r="B669" s="13"/>
      <c r="C669" s="13"/>
      <c r="E669" s="178"/>
      <c r="H669" s="178"/>
      <c r="J669" s="42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  <c r="AI669" s="178"/>
      <c r="AJ669" s="178"/>
      <c r="AK669" s="178"/>
      <c r="AL669" s="178"/>
      <c r="AM669" s="178"/>
      <c r="AN669" s="178"/>
      <c r="AO669" s="178"/>
      <c r="AP669" s="178"/>
      <c r="AQ669" s="178"/>
      <c r="AR669" s="178"/>
      <c r="AS669" s="178"/>
      <c r="AT669" s="178"/>
      <c r="AU669" s="178"/>
      <c r="AV669" s="178"/>
      <c r="AW669" s="178"/>
      <c r="AX669" s="178"/>
    </row>
    <row r="670" spans="1:50" ht="15.75" customHeight="1" x14ac:dyDescent="0.3">
      <c r="A670" s="13"/>
      <c r="B670" s="13"/>
      <c r="C670" s="13"/>
      <c r="E670" s="178"/>
      <c r="H670" s="178"/>
      <c r="J670" s="42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8"/>
      <c r="AQ670" s="178"/>
      <c r="AR670" s="178"/>
      <c r="AS670" s="178"/>
      <c r="AT670" s="178"/>
      <c r="AU670" s="178"/>
      <c r="AV670" s="178"/>
      <c r="AW670" s="178"/>
      <c r="AX670" s="178"/>
    </row>
    <row r="671" spans="1:50" ht="15.75" customHeight="1" x14ac:dyDescent="0.3">
      <c r="A671" s="13"/>
      <c r="B671" s="13"/>
      <c r="C671" s="13"/>
      <c r="E671" s="178"/>
      <c r="H671" s="178"/>
      <c r="J671" s="42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  <c r="AR671" s="178"/>
      <c r="AS671" s="178"/>
      <c r="AT671" s="178"/>
      <c r="AU671" s="178"/>
      <c r="AV671" s="178"/>
      <c r="AW671" s="178"/>
      <c r="AX671" s="178"/>
    </row>
    <row r="672" spans="1:50" ht="15.75" customHeight="1" x14ac:dyDescent="0.3">
      <c r="A672" s="13"/>
      <c r="B672" s="13"/>
      <c r="C672" s="13"/>
      <c r="E672" s="178"/>
      <c r="H672" s="178"/>
      <c r="J672" s="42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  <c r="AI672" s="178"/>
      <c r="AJ672" s="178"/>
      <c r="AK672" s="178"/>
      <c r="AL672" s="178"/>
      <c r="AM672" s="178"/>
      <c r="AN672" s="178"/>
      <c r="AO672" s="178"/>
      <c r="AP672" s="178"/>
      <c r="AQ672" s="178"/>
      <c r="AR672" s="178"/>
      <c r="AS672" s="178"/>
      <c r="AT672" s="178"/>
      <c r="AU672" s="178"/>
      <c r="AV672" s="178"/>
      <c r="AW672" s="178"/>
      <c r="AX672" s="178"/>
    </row>
    <row r="673" spans="1:50" ht="15.75" customHeight="1" x14ac:dyDescent="0.3">
      <c r="A673" s="13"/>
      <c r="B673" s="13"/>
      <c r="C673" s="13"/>
      <c r="E673" s="178"/>
      <c r="H673" s="178"/>
      <c r="J673" s="42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  <c r="AR673" s="178"/>
      <c r="AS673" s="178"/>
      <c r="AT673" s="178"/>
      <c r="AU673" s="178"/>
      <c r="AV673" s="178"/>
      <c r="AW673" s="178"/>
      <c r="AX673" s="178"/>
    </row>
    <row r="674" spans="1:50" ht="15.75" customHeight="1" x14ac:dyDescent="0.3">
      <c r="A674" s="13"/>
      <c r="B674" s="13"/>
      <c r="C674" s="13"/>
      <c r="E674" s="178"/>
      <c r="H674" s="178"/>
      <c r="J674" s="42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  <c r="AR674" s="178"/>
      <c r="AS674" s="178"/>
      <c r="AT674" s="178"/>
      <c r="AU674" s="178"/>
      <c r="AV674" s="178"/>
      <c r="AW674" s="178"/>
      <c r="AX674" s="178"/>
    </row>
    <row r="675" spans="1:50" ht="15.75" customHeight="1" x14ac:dyDescent="0.3">
      <c r="A675" s="13"/>
      <c r="B675" s="13"/>
      <c r="C675" s="13"/>
      <c r="E675" s="178"/>
      <c r="H675" s="178"/>
      <c r="J675" s="42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  <c r="AR675" s="178"/>
      <c r="AS675" s="178"/>
      <c r="AT675" s="178"/>
      <c r="AU675" s="178"/>
      <c r="AV675" s="178"/>
      <c r="AW675" s="178"/>
      <c r="AX675" s="178"/>
    </row>
    <row r="676" spans="1:50" ht="15.75" customHeight="1" x14ac:dyDescent="0.3">
      <c r="A676" s="13"/>
      <c r="B676" s="13"/>
      <c r="C676" s="13"/>
      <c r="E676" s="178"/>
      <c r="H676" s="178"/>
      <c r="J676" s="42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  <c r="AR676" s="178"/>
      <c r="AS676" s="178"/>
      <c r="AT676" s="178"/>
      <c r="AU676" s="178"/>
      <c r="AV676" s="178"/>
      <c r="AW676" s="178"/>
      <c r="AX676" s="178"/>
    </row>
    <row r="677" spans="1:50" ht="15.75" customHeight="1" x14ac:dyDescent="0.3">
      <c r="A677" s="13"/>
      <c r="B677" s="13"/>
      <c r="C677" s="13"/>
      <c r="E677" s="178"/>
      <c r="H677" s="178"/>
      <c r="J677" s="42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  <c r="AI677" s="178"/>
      <c r="AJ677" s="178"/>
      <c r="AK677" s="178"/>
      <c r="AL677" s="178"/>
      <c r="AM677" s="178"/>
      <c r="AN677" s="178"/>
      <c r="AO677" s="178"/>
      <c r="AP677" s="178"/>
      <c r="AQ677" s="178"/>
      <c r="AR677" s="178"/>
      <c r="AS677" s="178"/>
      <c r="AT677" s="178"/>
      <c r="AU677" s="178"/>
      <c r="AV677" s="178"/>
      <c r="AW677" s="178"/>
      <c r="AX677" s="178"/>
    </row>
    <row r="678" spans="1:50" ht="15.75" customHeight="1" x14ac:dyDescent="0.3">
      <c r="A678" s="13"/>
      <c r="B678" s="13"/>
      <c r="C678" s="13"/>
      <c r="E678" s="178"/>
      <c r="H678" s="178"/>
      <c r="J678" s="42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  <c r="AI678" s="178"/>
      <c r="AJ678" s="178"/>
      <c r="AK678" s="178"/>
      <c r="AL678" s="178"/>
      <c r="AM678" s="178"/>
      <c r="AN678" s="178"/>
      <c r="AO678" s="178"/>
      <c r="AP678" s="178"/>
      <c r="AQ678" s="178"/>
      <c r="AR678" s="178"/>
      <c r="AS678" s="178"/>
      <c r="AT678" s="178"/>
      <c r="AU678" s="178"/>
      <c r="AV678" s="178"/>
      <c r="AW678" s="178"/>
      <c r="AX678" s="178"/>
    </row>
    <row r="679" spans="1:50" ht="15.75" customHeight="1" x14ac:dyDescent="0.3">
      <c r="A679" s="13"/>
      <c r="B679" s="13"/>
      <c r="C679" s="13"/>
      <c r="E679" s="178"/>
      <c r="H679" s="178"/>
      <c r="J679" s="42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  <c r="AR679" s="178"/>
      <c r="AS679" s="178"/>
      <c r="AT679" s="178"/>
      <c r="AU679" s="178"/>
      <c r="AV679" s="178"/>
      <c r="AW679" s="178"/>
      <c r="AX679" s="178"/>
    </row>
    <row r="680" spans="1:50" ht="15.75" customHeight="1" x14ac:dyDescent="0.3">
      <c r="A680" s="13"/>
      <c r="B680" s="13"/>
      <c r="C680" s="13"/>
      <c r="E680" s="178"/>
      <c r="H680" s="178"/>
      <c r="J680" s="42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  <c r="AI680" s="178"/>
      <c r="AJ680" s="178"/>
      <c r="AK680" s="178"/>
      <c r="AL680" s="178"/>
      <c r="AM680" s="178"/>
      <c r="AN680" s="178"/>
      <c r="AO680" s="178"/>
      <c r="AP680" s="178"/>
      <c r="AQ680" s="178"/>
      <c r="AR680" s="178"/>
      <c r="AS680" s="178"/>
      <c r="AT680" s="178"/>
      <c r="AU680" s="178"/>
      <c r="AV680" s="178"/>
      <c r="AW680" s="178"/>
      <c r="AX680" s="178"/>
    </row>
    <row r="681" spans="1:50" ht="15.75" customHeight="1" x14ac:dyDescent="0.3">
      <c r="A681" s="13"/>
      <c r="B681" s="13"/>
      <c r="C681" s="13"/>
      <c r="E681" s="178"/>
      <c r="H681" s="178"/>
      <c r="J681" s="42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  <c r="AI681" s="178"/>
      <c r="AJ681" s="178"/>
      <c r="AK681" s="178"/>
      <c r="AL681" s="178"/>
      <c r="AM681" s="178"/>
      <c r="AN681" s="178"/>
      <c r="AO681" s="178"/>
      <c r="AP681" s="178"/>
      <c r="AQ681" s="178"/>
      <c r="AR681" s="178"/>
      <c r="AS681" s="178"/>
      <c r="AT681" s="178"/>
      <c r="AU681" s="178"/>
      <c r="AV681" s="178"/>
      <c r="AW681" s="178"/>
      <c r="AX681" s="178"/>
    </row>
    <row r="682" spans="1:50" ht="15.75" customHeight="1" x14ac:dyDescent="0.3">
      <c r="A682" s="13"/>
      <c r="B682" s="13"/>
      <c r="C682" s="13"/>
      <c r="E682" s="178"/>
      <c r="H682" s="178"/>
      <c r="J682" s="42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  <c r="AI682" s="178"/>
      <c r="AJ682" s="178"/>
      <c r="AK682" s="178"/>
      <c r="AL682" s="178"/>
      <c r="AM682" s="178"/>
      <c r="AN682" s="178"/>
      <c r="AO682" s="178"/>
      <c r="AP682" s="178"/>
      <c r="AQ682" s="178"/>
      <c r="AR682" s="178"/>
      <c r="AS682" s="178"/>
      <c r="AT682" s="178"/>
      <c r="AU682" s="178"/>
      <c r="AV682" s="178"/>
      <c r="AW682" s="178"/>
      <c r="AX682" s="178"/>
    </row>
    <row r="683" spans="1:50" ht="15.75" customHeight="1" x14ac:dyDescent="0.3">
      <c r="A683" s="13"/>
      <c r="B683" s="13"/>
      <c r="C683" s="13"/>
      <c r="E683" s="178"/>
      <c r="H683" s="178"/>
      <c r="J683" s="42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  <c r="AI683" s="178"/>
      <c r="AJ683" s="178"/>
      <c r="AK683" s="178"/>
      <c r="AL683" s="178"/>
      <c r="AM683" s="178"/>
      <c r="AN683" s="178"/>
      <c r="AO683" s="178"/>
      <c r="AP683" s="178"/>
      <c r="AQ683" s="178"/>
      <c r="AR683" s="178"/>
      <c r="AS683" s="178"/>
      <c r="AT683" s="178"/>
      <c r="AU683" s="178"/>
      <c r="AV683" s="178"/>
      <c r="AW683" s="178"/>
      <c r="AX683" s="178"/>
    </row>
    <row r="684" spans="1:50" ht="15.75" customHeight="1" x14ac:dyDescent="0.3">
      <c r="A684" s="13"/>
      <c r="B684" s="13"/>
      <c r="C684" s="13"/>
      <c r="E684" s="178"/>
      <c r="H684" s="178"/>
      <c r="J684" s="42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  <c r="AI684" s="178"/>
      <c r="AJ684" s="178"/>
      <c r="AK684" s="178"/>
      <c r="AL684" s="178"/>
      <c r="AM684" s="178"/>
      <c r="AN684" s="178"/>
      <c r="AO684" s="178"/>
      <c r="AP684" s="178"/>
      <c r="AQ684" s="178"/>
      <c r="AR684" s="178"/>
      <c r="AS684" s="178"/>
      <c r="AT684" s="178"/>
      <c r="AU684" s="178"/>
      <c r="AV684" s="178"/>
      <c r="AW684" s="178"/>
      <c r="AX684" s="178"/>
    </row>
    <row r="685" spans="1:50" ht="15.75" customHeight="1" x14ac:dyDescent="0.3">
      <c r="A685" s="13"/>
      <c r="B685" s="13"/>
      <c r="C685" s="13"/>
      <c r="E685" s="178"/>
      <c r="H685" s="178"/>
      <c r="J685" s="42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  <c r="AI685" s="178"/>
      <c r="AJ685" s="178"/>
      <c r="AK685" s="178"/>
      <c r="AL685" s="178"/>
      <c r="AM685" s="178"/>
      <c r="AN685" s="178"/>
      <c r="AO685" s="178"/>
      <c r="AP685" s="178"/>
      <c r="AQ685" s="178"/>
      <c r="AR685" s="178"/>
      <c r="AS685" s="178"/>
      <c r="AT685" s="178"/>
      <c r="AU685" s="178"/>
      <c r="AV685" s="178"/>
      <c r="AW685" s="178"/>
      <c r="AX685" s="178"/>
    </row>
    <row r="686" spans="1:50" ht="15.75" customHeight="1" x14ac:dyDescent="0.3">
      <c r="A686" s="13"/>
      <c r="B686" s="13"/>
      <c r="C686" s="13"/>
      <c r="E686" s="178"/>
      <c r="H686" s="178"/>
      <c r="J686" s="42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  <c r="AR686" s="178"/>
      <c r="AS686" s="178"/>
      <c r="AT686" s="178"/>
      <c r="AU686" s="178"/>
      <c r="AV686" s="178"/>
      <c r="AW686" s="178"/>
      <c r="AX686" s="178"/>
    </row>
    <row r="687" spans="1:50" ht="15.75" customHeight="1" x14ac:dyDescent="0.3">
      <c r="A687" s="13"/>
      <c r="B687" s="13"/>
      <c r="C687" s="13"/>
      <c r="E687" s="178"/>
      <c r="H687" s="178"/>
      <c r="J687" s="42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  <c r="AI687" s="178"/>
      <c r="AJ687" s="178"/>
      <c r="AK687" s="178"/>
      <c r="AL687" s="178"/>
      <c r="AM687" s="178"/>
      <c r="AN687" s="178"/>
      <c r="AO687" s="178"/>
      <c r="AP687" s="178"/>
      <c r="AQ687" s="178"/>
      <c r="AR687" s="178"/>
      <c r="AS687" s="178"/>
      <c r="AT687" s="178"/>
      <c r="AU687" s="178"/>
      <c r="AV687" s="178"/>
      <c r="AW687" s="178"/>
      <c r="AX687" s="178"/>
    </row>
    <row r="688" spans="1:50" ht="15.75" customHeight="1" x14ac:dyDescent="0.3">
      <c r="A688" s="13"/>
      <c r="B688" s="13"/>
      <c r="C688" s="13"/>
      <c r="E688" s="178"/>
      <c r="H688" s="178"/>
      <c r="J688" s="42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  <c r="AI688" s="178"/>
      <c r="AJ688" s="178"/>
      <c r="AK688" s="178"/>
      <c r="AL688" s="178"/>
      <c r="AM688" s="178"/>
      <c r="AN688" s="178"/>
      <c r="AO688" s="178"/>
      <c r="AP688" s="178"/>
      <c r="AQ688" s="178"/>
      <c r="AR688" s="178"/>
      <c r="AS688" s="178"/>
      <c r="AT688" s="178"/>
      <c r="AU688" s="178"/>
      <c r="AV688" s="178"/>
      <c r="AW688" s="178"/>
      <c r="AX688" s="178"/>
    </row>
    <row r="689" spans="1:50" ht="15.75" customHeight="1" x14ac:dyDescent="0.3">
      <c r="A689" s="13"/>
      <c r="B689" s="13"/>
      <c r="C689" s="13"/>
      <c r="E689" s="178"/>
      <c r="H689" s="178"/>
      <c r="J689" s="42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  <c r="AR689" s="178"/>
      <c r="AS689" s="178"/>
      <c r="AT689" s="178"/>
      <c r="AU689" s="178"/>
      <c r="AV689" s="178"/>
      <c r="AW689" s="178"/>
      <c r="AX689" s="178"/>
    </row>
    <row r="690" spans="1:50" ht="15.75" customHeight="1" x14ac:dyDescent="0.3">
      <c r="A690" s="13"/>
      <c r="B690" s="13"/>
      <c r="C690" s="13"/>
      <c r="E690" s="178"/>
      <c r="H690" s="178"/>
      <c r="J690" s="42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  <c r="AI690" s="178"/>
      <c r="AJ690" s="178"/>
      <c r="AK690" s="178"/>
      <c r="AL690" s="178"/>
      <c r="AM690" s="178"/>
      <c r="AN690" s="178"/>
      <c r="AO690" s="178"/>
      <c r="AP690" s="178"/>
      <c r="AQ690" s="178"/>
      <c r="AR690" s="178"/>
      <c r="AS690" s="178"/>
      <c r="AT690" s="178"/>
      <c r="AU690" s="178"/>
      <c r="AV690" s="178"/>
      <c r="AW690" s="178"/>
      <c r="AX690" s="178"/>
    </row>
    <row r="691" spans="1:50" ht="15.75" customHeight="1" x14ac:dyDescent="0.3">
      <c r="A691" s="13"/>
      <c r="B691" s="13"/>
      <c r="C691" s="13"/>
      <c r="E691" s="178"/>
      <c r="H691" s="178"/>
      <c r="J691" s="42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  <c r="AI691" s="178"/>
      <c r="AJ691" s="178"/>
      <c r="AK691" s="178"/>
      <c r="AL691" s="178"/>
      <c r="AM691" s="178"/>
      <c r="AN691" s="178"/>
      <c r="AO691" s="178"/>
      <c r="AP691" s="178"/>
      <c r="AQ691" s="178"/>
      <c r="AR691" s="178"/>
      <c r="AS691" s="178"/>
      <c r="AT691" s="178"/>
      <c r="AU691" s="178"/>
      <c r="AV691" s="178"/>
      <c r="AW691" s="178"/>
      <c r="AX691" s="178"/>
    </row>
    <row r="692" spans="1:50" ht="15.75" customHeight="1" x14ac:dyDescent="0.3">
      <c r="A692" s="13"/>
      <c r="B692" s="13"/>
      <c r="C692" s="13"/>
      <c r="E692" s="178"/>
      <c r="H692" s="178"/>
      <c r="J692" s="42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  <c r="AI692" s="178"/>
      <c r="AJ692" s="178"/>
      <c r="AK692" s="178"/>
      <c r="AL692" s="178"/>
      <c r="AM692" s="178"/>
      <c r="AN692" s="178"/>
      <c r="AO692" s="178"/>
      <c r="AP692" s="178"/>
      <c r="AQ692" s="178"/>
      <c r="AR692" s="178"/>
      <c r="AS692" s="178"/>
      <c r="AT692" s="178"/>
      <c r="AU692" s="178"/>
      <c r="AV692" s="178"/>
      <c r="AW692" s="178"/>
      <c r="AX692" s="178"/>
    </row>
    <row r="693" spans="1:50" ht="15.75" customHeight="1" x14ac:dyDescent="0.3">
      <c r="A693" s="13"/>
      <c r="B693" s="13"/>
      <c r="C693" s="13"/>
      <c r="E693" s="178"/>
      <c r="H693" s="178"/>
      <c r="J693" s="42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  <c r="AR693" s="178"/>
      <c r="AS693" s="178"/>
      <c r="AT693" s="178"/>
      <c r="AU693" s="178"/>
      <c r="AV693" s="178"/>
      <c r="AW693" s="178"/>
      <c r="AX693" s="178"/>
    </row>
    <row r="694" spans="1:50" ht="15.75" customHeight="1" x14ac:dyDescent="0.3">
      <c r="A694" s="13"/>
      <c r="B694" s="13"/>
      <c r="C694" s="13"/>
      <c r="E694" s="178"/>
      <c r="H694" s="178"/>
      <c r="J694" s="42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  <c r="AI694" s="178"/>
      <c r="AJ694" s="178"/>
      <c r="AK694" s="178"/>
      <c r="AL694" s="178"/>
      <c r="AM694" s="178"/>
      <c r="AN694" s="178"/>
      <c r="AO694" s="178"/>
      <c r="AP694" s="178"/>
      <c r="AQ694" s="178"/>
      <c r="AR694" s="178"/>
      <c r="AS694" s="178"/>
      <c r="AT694" s="178"/>
      <c r="AU694" s="178"/>
      <c r="AV694" s="178"/>
      <c r="AW694" s="178"/>
      <c r="AX694" s="178"/>
    </row>
    <row r="695" spans="1:50" ht="15.75" customHeight="1" x14ac:dyDescent="0.3">
      <c r="A695" s="13"/>
      <c r="B695" s="13"/>
      <c r="C695" s="13"/>
      <c r="E695" s="178"/>
      <c r="H695" s="178"/>
      <c r="J695" s="42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8"/>
      <c r="AQ695" s="178"/>
      <c r="AR695" s="178"/>
      <c r="AS695" s="178"/>
      <c r="AT695" s="178"/>
      <c r="AU695" s="178"/>
      <c r="AV695" s="178"/>
      <c r="AW695" s="178"/>
      <c r="AX695" s="178"/>
    </row>
    <row r="696" spans="1:50" ht="15.75" customHeight="1" x14ac:dyDescent="0.3">
      <c r="A696" s="13"/>
      <c r="B696" s="13"/>
      <c r="C696" s="13"/>
      <c r="E696" s="178"/>
      <c r="H696" s="178"/>
      <c r="J696" s="42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  <c r="AR696" s="178"/>
      <c r="AS696" s="178"/>
      <c r="AT696" s="178"/>
      <c r="AU696" s="178"/>
      <c r="AV696" s="178"/>
      <c r="AW696" s="178"/>
      <c r="AX696" s="178"/>
    </row>
    <row r="697" spans="1:50" ht="15.75" customHeight="1" x14ac:dyDescent="0.3">
      <c r="A697" s="13"/>
      <c r="B697" s="13"/>
      <c r="C697" s="13"/>
      <c r="E697" s="178"/>
      <c r="H697" s="178"/>
      <c r="J697" s="42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  <c r="AR697" s="178"/>
      <c r="AS697" s="178"/>
      <c r="AT697" s="178"/>
      <c r="AU697" s="178"/>
      <c r="AV697" s="178"/>
      <c r="AW697" s="178"/>
      <c r="AX697" s="178"/>
    </row>
    <row r="698" spans="1:50" ht="15.75" customHeight="1" x14ac:dyDescent="0.3">
      <c r="A698" s="13"/>
      <c r="B698" s="13"/>
      <c r="C698" s="13"/>
      <c r="E698" s="178"/>
      <c r="H698" s="178"/>
      <c r="J698" s="42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  <c r="AI698" s="178"/>
      <c r="AJ698" s="178"/>
      <c r="AK698" s="178"/>
      <c r="AL698" s="178"/>
      <c r="AM698" s="178"/>
      <c r="AN698" s="178"/>
      <c r="AO698" s="178"/>
      <c r="AP698" s="178"/>
      <c r="AQ698" s="178"/>
      <c r="AR698" s="178"/>
      <c r="AS698" s="178"/>
      <c r="AT698" s="178"/>
      <c r="AU698" s="178"/>
      <c r="AV698" s="178"/>
      <c r="AW698" s="178"/>
      <c r="AX698" s="178"/>
    </row>
    <row r="699" spans="1:50" ht="15.75" customHeight="1" x14ac:dyDescent="0.3">
      <c r="A699" s="13"/>
      <c r="B699" s="13"/>
      <c r="C699" s="13"/>
      <c r="E699" s="178"/>
      <c r="H699" s="178"/>
      <c r="J699" s="42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  <c r="AI699" s="178"/>
      <c r="AJ699" s="178"/>
      <c r="AK699" s="178"/>
      <c r="AL699" s="178"/>
      <c r="AM699" s="178"/>
      <c r="AN699" s="178"/>
      <c r="AO699" s="178"/>
      <c r="AP699" s="178"/>
      <c r="AQ699" s="178"/>
      <c r="AR699" s="178"/>
      <c r="AS699" s="178"/>
      <c r="AT699" s="178"/>
      <c r="AU699" s="178"/>
      <c r="AV699" s="178"/>
      <c r="AW699" s="178"/>
      <c r="AX699" s="178"/>
    </row>
    <row r="700" spans="1:50" ht="15.75" customHeight="1" x14ac:dyDescent="0.3">
      <c r="A700" s="13"/>
      <c r="B700" s="13"/>
      <c r="C700" s="13"/>
      <c r="E700" s="178"/>
      <c r="H700" s="178"/>
      <c r="J700" s="42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  <c r="AR700" s="178"/>
      <c r="AS700" s="178"/>
      <c r="AT700" s="178"/>
      <c r="AU700" s="178"/>
      <c r="AV700" s="178"/>
      <c r="AW700" s="178"/>
      <c r="AX700" s="178"/>
    </row>
    <row r="701" spans="1:50" ht="15.75" customHeight="1" x14ac:dyDescent="0.3">
      <c r="A701" s="13"/>
      <c r="B701" s="13"/>
      <c r="C701" s="13"/>
      <c r="E701" s="178"/>
      <c r="H701" s="178"/>
      <c r="J701" s="42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</row>
    <row r="702" spans="1:50" ht="15.75" customHeight="1" x14ac:dyDescent="0.3">
      <c r="A702" s="13"/>
      <c r="B702" s="13"/>
      <c r="C702" s="13"/>
      <c r="E702" s="178"/>
      <c r="H702" s="178"/>
      <c r="J702" s="42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  <c r="AI702" s="178"/>
      <c r="AJ702" s="178"/>
      <c r="AK702" s="178"/>
      <c r="AL702" s="178"/>
      <c r="AM702" s="178"/>
      <c r="AN702" s="178"/>
      <c r="AO702" s="178"/>
      <c r="AP702" s="178"/>
      <c r="AQ702" s="178"/>
      <c r="AR702" s="178"/>
      <c r="AS702" s="178"/>
      <c r="AT702" s="178"/>
      <c r="AU702" s="178"/>
      <c r="AV702" s="178"/>
      <c r="AW702" s="178"/>
      <c r="AX702" s="178"/>
    </row>
    <row r="703" spans="1:50" ht="15.75" customHeight="1" x14ac:dyDescent="0.3">
      <c r="A703" s="13"/>
      <c r="B703" s="13"/>
      <c r="C703" s="13"/>
      <c r="E703" s="178"/>
      <c r="H703" s="178"/>
      <c r="J703" s="42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  <c r="AI703" s="178"/>
      <c r="AJ703" s="178"/>
      <c r="AK703" s="178"/>
      <c r="AL703" s="178"/>
      <c r="AM703" s="178"/>
      <c r="AN703" s="178"/>
      <c r="AO703" s="178"/>
      <c r="AP703" s="178"/>
      <c r="AQ703" s="178"/>
      <c r="AR703" s="178"/>
      <c r="AS703" s="178"/>
      <c r="AT703" s="178"/>
      <c r="AU703" s="178"/>
      <c r="AV703" s="178"/>
      <c r="AW703" s="178"/>
      <c r="AX703" s="178"/>
    </row>
    <row r="704" spans="1:50" ht="15.75" customHeight="1" x14ac:dyDescent="0.3">
      <c r="A704" s="13"/>
      <c r="B704" s="13"/>
      <c r="C704" s="13"/>
      <c r="E704" s="178"/>
      <c r="H704" s="178"/>
      <c r="J704" s="42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  <c r="AI704" s="178"/>
      <c r="AJ704" s="178"/>
      <c r="AK704" s="178"/>
      <c r="AL704" s="178"/>
      <c r="AM704" s="178"/>
      <c r="AN704" s="178"/>
      <c r="AO704" s="178"/>
      <c r="AP704" s="178"/>
      <c r="AQ704" s="178"/>
      <c r="AR704" s="178"/>
      <c r="AS704" s="178"/>
      <c r="AT704" s="178"/>
      <c r="AU704" s="178"/>
      <c r="AV704" s="178"/>
      <c r="AW704" s="178"/>
      <c r="AX704" s="178"/>
    </row>
    <row r="705" spans="1:50" ht="15.75" customHeight="1" x14ac:dyDescent="0.3">
      <c r="A705" s="13"/>
      <c r="B705" s="13"/>
      <c r="C705" s="13"/>
      <c r="E705" s="178"/>
      <c r="H705" s="178"/>
      <c r="J705" s="42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  <c r="AI705" s="178"/>
      <c r="AJ705" s="178"/>
      <c r="AK705" s="178"/>
      <c r="AL705" s="178"/>
      <c r="AM705" s="178"/>
      <c r="AN705" s="178"/>
      <c r="AO705" s="178"/>
      <c r="AP705" s="178"/>
      <c r="AQ705" s="178"/>
      <c r="AR705" s="178"/>
      <c r="AS705" s="178"/>
      <c r="AT705" s="178"/>
      <c r="AU705" s="178"/>
      <c r="AV705" s="178"/>
      <c r="AW705" s="178"/>
      <c r="AX705" s="178"/>
    </row>
    <row r="706" spans="1:50" ht="15.75" customHeight="1" x14ac:dyDescent="0.3">
      <c r="A706" s="13"/>
      <c r="B706" s="13"/>
      <c r="C706" s="13"/>
      <c r="E706" s="178"/>
      <c r="H706" s="178"/>
      <c r="J706" s="42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  <c r="AI706" s="178"/>
      <c r="AJ706" s="178"/>
      <c r="AK706" s="178"/>
      <c r="AL706" s="178"/>
      <c r="AM706" s="178"/>
      <c r="AN706" s="178"/>
      <c r="AO706" s="178"/>
      <c r="AP706" s="178"/>
      <c r="AQ706" s="178"/>
      <c r="AR706" s="178"/>
      <c r="AS706" s="178"/>
      <c r="AT706" s="178"/>
      <c r="AU706" s="178"/>
      <c r="AV706" s="178"/>
      <c r="AW706" s="178"/>
      <c r="AX706" s="178"/>
    </row>
    <row r="707" spans="1:50" ht="15.75" customHeight="1" x14ac:dyDescent="0.3">
      <c r="A707" s="13"/>
      <c r="B707" s="13"/>
      <c r="C707" s="13"/>
      <c r="E707" s="178"/>
      <c r="H707" s="178"/>
      <c r="J707" s="42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  <c r="AI707" s="178"/>
      <c r="AJ707" s="178"/>
      <c r="AK707" s="178"/>
      <c r="AL707" s="178"/>
      <c r="AM707" s="178"/>
      <c r="AN707" s="178"/>
      <c r="AO707" s="178"/>
      <c r="AP707" s="178"/>
      <c r="AQ707" s="178"/>
      <c r="AR707" s="178"/>
      <c r="AS707" s="178"/>
      <c r="AT707" s="178"/>
      <c r="AU707" s="178"/>
      <c r="AV707" s="178"/>
      <c r="AW707" s="178"/>
      <c r="AX707" s="178"/>
    </row>
    <row r="708" spans="1:50" ht="15.75" customHeight="1" x14ac:dyDescent="0.3">
      <c r="A708" s="13"/>
      <c r="B708" s="13"/>
      <c r="C708" s="13"/>
      <c r="E708" s="178"/>
      <c r="H708" s="178"/>
      <c r="J708" s="42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  <c r="AI708" s="178"/>
      <c r="AJ708" s="178"/>
      <c r="AK708" s="178"/>
      <c r="AL708" s="178"/>
      <c r="AM708" s="178"/>
      <c r="AN708" s="178"/>
      <c r="AO708" s="178"/>
      <c r="AP708" s="178"/>
      <c r="AQ708" s="178"/>
      <c r="AR708" s="178"/>
      <c r="AS708" s="178"/>
      <c r="AT708" s="178"/>
      <c r="AU708" s="178"/>
      <c r="AV708" s="178"/>
      <c r="AW708" s="178"/>
      <c r="AX708" s="178"/>
    </row>
    <row r="709" spans="1:50" ht="15.75" customHeight="1" x14ac:dyDescent="0.3">
      <c r="A709" s="13"/>
      <c r="B709" s="13"/>
      <c r="C709" s="13"/>
      <c r="E709" s="178"/>
      <c r="H709" s="178"/>
      <c r="J709" s="42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  <c r="AR709" s="178"/>
      <c r="AS709" s="178"/>
      <c r="AT709" s="178"/>
      <c r="AU709" s="178"/>
      <c r="AV709" s="178"/>
      <c r="AW709" s="178"/>
      <c r="AX709" s="178"/>
    </row>
    <row r="710" spans="1:50" ht="15.75" customHeight="1" x14ac:dyDescent="0.3">
      <c r="A710" s="13"/>
      <c r="B710" s="13"/>
      <c r="C710" s="13"/>
      <c r="E710" s="178"/>
      <c r="H710" s="178"/>
      <c r="J710" s="42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  <c r="AI710" s="178"/>
      <c r="AJ710" s="178"/>
      <c r="AK710" s="178"/>
      <c r="AL710" s="178"/>
      <c r="AM710" s="178"/>
      <c r="AN710" s="178"/>
      <c r="AO710" s="178"/>
      <c r="AP710" s="178"/>
      <c r="AQ710" s="178"/>
      <c r="AR710" s="178"/>
      <c r="AS710" s="178"/>
      <c r="AT710" s="178"/>
      <c r="AU710" s="178"/>
      <c r="AV710" s="178"/>
      <c r="AW710" s="178"/>
      <c r="AX710" s="178"/>
    </row>
    <row r="711" spans="1:50" ht="15.75" customHeight="1" x14ac:dyDescent="0.3">
      <c r="A711" s="13"/>
      <c r="B711" s="13"/>
      <c r="C711" s="13"/>
      <c r="E711" s="178"/>
      <c r="H711" s="178"/>
      <c r="J711" s="42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  <c r="AI711" s="178"/>
      <c r="AJ711" s="178"/>
      <c r="AK711" s="178"/>
      <c r="AL711" s="178"/>
      <c r="AM711" s="178"/>
      <c r="AN711" s="178"/>
      <c r="AO711" s="178"/>
      <c r="AP711" s="178"/>
      <c r="AQ711" s="178"/>
      <c r="AR711" s="178"/>
      <c r="AS711" s="178"/>
      <c r="AT711" s="178"/>
      <c r="AU711" s="178"/>
      <c r="AV711" s="178"/>
      <c r="AW711" s="178"/>
      <c r="AX711" s="178"/>
    </row>
    <row r="712" spans="1:50" ht="15.75" customHeight="1" x14ac:dyDescent="0.3">
      <c r="A712" s="13"/>
      <c r="B712" s="13"/>
      <c r="C712" s="13"/>
      <c r="E712" s="178"/>
      <c r="H712" s="178"/>
      <c r="J712" s="42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  <c r="AR712" s="178"/>
      <c r="AS712" s="178"/>
      <c r="AT712" s="178"/>
      <c r="AU712" s="178"/>
      <c r="AV712" s="178"/>
      <c r="AW712" s="178"/>
      <c r="AX712" s="178"/>
    </row>
    <row r="713" spans="1:50" ht="15.75" customHeight="1" x14ac:dyDescent="0.3">
      <c r="A713" s="13"/>
      <c r="B713" s="13"/>
      <c r="C713" s="13"/>
      <c r="E713" s="178"/>
      <c r="H713" s="178"/>
      <c r="J713" s="42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  <c r="AI713" s="178"/>
      <c r="AJ713" s="178"/>
      <c r="AK713" s="178"/>
      <c r="AL713" s="178"/>
      <c r="AM713" s="178"/>
      <c r="AN713" s="178"/>
      <c r="AO713" s="178"/>
      <c r="AP713" s="178"/>
      <c r="AQ713" s="178"/>
      <c r="AR713" s="178"/>
      <c r="AS713" s="178"/>
      <c r="AT713" s="178"/>
      <c r="AU713" s="178"/>
      <c r="AV713" s="178"/>
      <c r="AW713" s="178"/>
      <c r="AX713" s="178"/>
    </row>
    <row r="714" spans="1:50" ht="15.75" customHeight="1" x14ac:dyDescent="0.3">
      <c r="A714" s="13"/>
      <c r="B714" s="13"/>
      <c r="C714" s="13"/>
      <c r="E714" s="178"/>
      <c r="H714" s="178"/>
      <c r="J714" s="42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  <c r="AR714" s="178"/>
      <c r="AS714" s="178"/>
      <c r="AT714" s="178"/>
      <c r="AU714" s="178"/>
      <c r="AV714" s="178"/>
      <c r="AW714" s="178"/>
      <c r="AX714" s="178"/>
    </row>
    <row r="715" spans="1:50" ht="15.75" customHeight="1" x14ac:dyDescent="0.3">
      <c r="A715" s="13"/>
      <c r="B715" s="13"/>
      <c r="C715" s="13"/>
      <c r="E715" s="178"/>
      <c r="H715" s="178"/>
      <c r="J715" s="42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  <c r="AR715" s="178"/>
      <c r="AS715" s="178"/>
      <c r="AT715" s="178"/>
      <c r="AU715" s="178"/>
      <c r="AV715" s="178"/>
      <c r="AW715" s="178"/>
      <c r="AX715" s="178"/>
    </row>
    <row r="716" spans="1:50" ht="15.75" customHeight="1" x14ac:dyDescent="0.3">
      <c r="A716" s="13"/>
      <c r="B716" s="13"/>
      <c r="C716" s="13"/>
      <c r="E716" s="178"/>
      <c r="H716" s="178"/>
      <c r="J716" s="42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  <c r="AR716" s="178"/>
      <c r="AS716" s="178"/>
      <c r="AT716" s="178"/>
      <c r="AU716" s="178"/>
      <c r="AV716" s="178"/>
      <c r="AW716" s="178"/>
      <c r="AX716" s="178"/>
    </row>
    <row r="717" spans="1:50" ht="15.75" customHeight="1" x14ac:dyDescent="0.3">
      <c r="A717" s="13"/>
      <c r="B717" s="13"/>
      <c r="C717" s="13"/>
      <c r="E717" s="178"/>
      <c r="H717" s="178"/>
      <c r="J717" s="42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  <c r="AI717" s="178"/>
      <c r="AJ717" s="178"/>
      <c r="AK717" s="178"/>
      <c r="AL717" s="178"/>
      <c r="AM717" s="178"/>
      <c r="AN717" s="178"/>
      <c r="AO717" s="178"/>
      <c r="AP717" s="178"/>
      <c r="AQ717" s="178"/>
      <c r="AR717" s="178"/>
      <c r="AS717" s="178"/>
      <c r="AT717" s="178"/>
      <c r="AU717" s="178"/>
      <c r="AV717" s="178"/>
      <c r="AW717" s="178"/>
      <c r="AX717" s="178"/>
    </row>
    <row r="718" spans="1:50" ht="15.75" customHeight="1" x14ac:dyDescent="0.3">
      <c r="A718" s="13"/>
      <c r="B718" s="13"/>
      <c r="C718" s="13"/>
      <c r="E718" s="178"/>
      <c r="H718" s="178"/>
      <c r="J718" s="42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  <c r="AI718" s="178"/>
      <c r="AJ718" s="178"/>
      <c r="AK718" s="178"/>
      <c r="AL718" s="178"/>
      <c r="AM718" s="178"/>
      <c r="AN718" s="178"/>
      <c r="AO718" s="178"/>
      <c r="AP718" s="178"/>
      <c r="AQ718" s="178"/>
      <c r="AR718" s="178"/>
      <c r="AS718" s="178"/>
      <c r="AT718" s="178"/>
      <c r="AU718" s="178"/>
      <c r="AV718" s="178"/>
      <c r="AW718" s="178"/>
      <c r="AX718" s="178"/>
    </row>
    <row r="719" spans="1:50" ht="15.75" customHeight="1" x14ac:dyDescent="0.3">
      <c r="A719" s="13"/>
      <c r="B719" s="13"/>
      <c r="C719" s="13"/>
      <c r="E719" s="178"/>
      <c r="H719" s="178"/>
      <c r="J719" s="42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  <c r="AI719" s="178"/>
      <c r="AJ719" s="178"/>
      <c r="AK719" s="178"/>
      <c r="AL719" s="178"/>
      <c r="AM719" s="178"/>
      <c r="AN719" s="178"/>
      <c r="AO719" s="178"/>
      <c r="AP719" s="178"/>
      <c r="AQ719" s="178"/>
      <c r="AR719" s="178"/>
      <c r="AS719" s="178"/>
      <c r="AT719" s="178"/>
      <c r="AU719" s="178"/>
      <c r="AV719" s="178"/>
      <c r="AW719" s="178"/>
      <c r="AX719" s="178"/>
    </row>
    <row r="720" spans="1:50" ht="15.75" customHeight="1" x14ac:dyDescent="0.3">
      <c r="A720" s="13"/>
      <c r="B720" s="13"/>
      <c r="C720" s="13"/>
      <c r="E720" s="178"/>
      <c r="H720" s="178"/>
      <c r="J720" s="42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  <c r="AR720" s="178"/>
      <c r="AS720" s="178"/>
      <c r="AT720" s="178"/>
      <c r="AU720" s="178"/>
      <c r="AV720" s="178"/>
      <c r="AW720" s="178"/>
      <c r="AX720" s="178"/>
    </row>
    <row r="721" spans="1:50" ht="15.75" customHeight="1" x14ac:dyDescent="0.3">
      <c r="A721" s="13"/>
      <c r="B721" s="13"/>
      <c r="C721" s="13"/>
      <c r="E721" s="178"/>
      <c r="H721" s="178"/>
      <c r="J721" s="42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  <c r="AI721" s="178"/>
      <c r="AJ721" s="178"/>
      <c r="AK721" s="178"/>
      <c r="AL721" s="178"/>
      <c r="AM721" s="178"/>
      <c r="AN721" s="178"/>
      <c r="AO721" s="178"/>
      <c r="AP721" s="178"/>
      <c r="AQ721" s="178"/>
      <c r="AR721" s="178"/>
      <c r="AS721" s="178"/>
      <c r="AT721" s="178"/>
      <c r="AU721" s="178"/>
      <c r="AV721" s="178"/>
      <c r="AW721" s="178"/>
      <c r="AX721" s="178"/>
    </row>
    <row r="722" spans="1:50" ht="15.75" customHeight="1" x14ac:dyDescent="0.3">
      <c r="A722" s="13"/>
      <c r="B722" s="13"/>
      <c r="C722" s="13"/>
      <c r="E722" s="178"/>
      <c r="H722" s="178"/>
      <c r="J722" s="42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8"/>
      <c r="AQ722" s="178"/>
      <c r="AR722" s="178"/>
      <c r="AS722" s="178"/>
      <c r="AT722" s="178"/>
      <c r="AU722" s="178"/>
      <c r="AV722" s="178"/>
      <c r="AW722" s="178"/>
      <c r="AX722" s="178"/>
    </row>
    <row r="723" spans="1:50" ht="15.75" customHeight="1" x14ac:dyDescent="0.3">
      <c r="A723" s="13"/>
      <c r="B723" s="13"/>
      <c r="C723" s="13"/>
      <c r="E723" s="178"/>
      <c r="H723" s="178"/>
      <c r="J723" s="42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  <c r="AR723" s="178"/>
      <c r="AS723" s="178"/>
      <c r="AT723" s="178"/>
      <c r="AU723" s="178"/>
      <c r="AV723" s="178"/>
      <c r="AW723" s="178"/>
      <c r="AX723" s="178"/>
    </row>
    <row r="724" spans="1:50" ht="15.75" customHeight="1" x14ac:dyDescent="0.3">
      <c r="A724" s="13"/>
      <c r="B724" s="13"/>
      <c r="C724" s="13"/>
      <c r="E724" s="178"/>
      <c r="H724" s="178"/>
      <c r="J724" s="42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  <c r="AI724" s="178"/>
      <c r="AJ724" s="178"/>
      <c r="AK724" s="178"/>
      <c r="AL724" s="178"/>
      <c r="AM724" s="178"/>
      <c r="AN724" s="178"/>
      <c r="AO724" s="178"/>
      <c r="AP724" s="178"/>
      <c r="AQ724" s="178"/>
      <c r="AR724" s="178"/>
      <c r="AS724" s="178"/>
      <c r="AT724" s="178"/>
      <c r="AU724" s="178"/>
      <c r="AV724" s="178"/>
      <c r="AW724" s="178"/>
      <c r="AX724" s="178"/>
    </row>
    <row r="725" spans="1:50" ht="15.75" customHeight="1" x14ac:dyDescent="0.3">
      <c r="A725" s="13"/>
      <c r="B725" s="13"/>
      <c r="C725" s="13"/>
      <c r="E725" s="178"/>
      <c r="H725" s="178"/>
      <c r="J725" s="42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  <c r="AI725" s="178"/>
      <c r="AJ725" s="178"/>
      <c r="AK725" s="178"/>
      <c r="AL725" s="178"/>
      <c r="AM725" s="178"/>
      <c r="AN725" s="178"/>
      <c r="AO725" s="178"/>
      <c r="AP725" s="178"/>
      <c r="AQ725" s="178"/>
      <c r="AR725" s="178"/>
      <c r="AS725" s="178"/>
      <c r="AT725" s="178"/>
      <c r="AU725" s="178"/>
      <c r="AV725" s="178"/>
      <c r="AW725" s="178"/>
      <c r="AX725" s="178"/>
    </row>
    <row r="726" spans="1:50" ht="15.75" customHeight="1" x14ac:dyDescent="0.3">
      <c r="A726" s="13"/>
      <c r="B726" s="13"/>
      <c r="C726" s="13"/>
      <c r="E726" s="178"/>
      <c r="H726" s="178"/>
      <c r="J726" s="42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  <c r="AI726" s="178"/>
      <c r="AJ726" s="178"/>
      <c r="AK726" s="178"/>
      <c r="AL726" s="178"/>
      <c r="AM726" s="178"/>
      <c r="AN726" s="178"/>
      <c r="AO726" s="178"/>
      <c r="AP726" s="178"/>
      <c r="AQ726" s="178"/>
      <c r="AR726" s="178"/>
      <c r="AS726" s="178"/>
      <c r="AT726" s="178"/>
      <c r="AU726" s="178"/>
      <c r="AV726" s="178"/>
      <c r="AW726" s="178"/>
      <c r="AX726" s="178"/>
    </row>
    <row r="727" spans="1:50" ht="15.75" customHeight="1" x14ac:dyDescent="0.3">
      <c r="A727" s="13"/>
      <c r="B727" s="13"/>
      <c r="C727" s="13"/>
      <c r="E727" s="178"/>
      <c r="H727" s="178"/>
      <c r="J727" s="42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  <c r="AI727" s="178"/>
      <c r="AJ727" s="178"/>
      <c r="AK727" s="178"/>
      <c r="AL727" s="178"/>
      <c r="AM727" s="178"/>
      <c r="AN727" s="178"/>
      <c r="AO727" s="178"/>
      <c r="AP727" s="178"/>
      <c r="AQ727" s="178"/>
      <c r="AR727" s="178"/>
      <c r="AS727" s="178"/>
      <c r="AT727" s="178"/>
      <c r="AU727" s="178"/>
      <c r="AV727" s="178"/>
      <c r="AW727" s="178"/>
      <c r="AX727" s="178"/>
    </row>
    <row r="728" spans="1:50" ht="15.75" customHeight="1" x14ac:dyDescent="0.3">
      <c r="A728" s="13"/>
      <c r="B728" s="13"/>
      <c r="C728" s="13"/>
      <c r="E728" s="178"/>
      <c r="H728" s="178"/>
      <c r="J728" s="42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  <c r="AR728" s="178"/>
      <c r="AS728" s="178"/>
      <c r="AT728" s="178"/>
      <c r="AU728" s="178"/>
      <c r="AV728" s="178"/>
      <c r="AW728" s="178"/>
      <c r="AX728" s="178"/>
    </row>
    <row r="729" spans="1:50" ht="15.75" customHeight="1" x14ac:dyDescent="0.3">
      <c r="A729" s="13"/>
      <c r="B729" s="13"/>
      <c r="C729" s="13"/>
      <c r="E729" s="178"/>
      <c r="H729" s="178"/>
      <c r="J729" s="42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  <c r="AI729" s="178"/>
      <c r="AJ729" s="178"/>
      <c r="AK729" s="178"/>
      <c r="AL729" s="178"/>
      <c r="AM729" s="178"/>
      <c r="AN729" s="178"/>
      <c r="AO729" s="178"/>
      <c r="AP729" s="178"/>
      <c r="AQ729" s="178"/>
      <c r="AR729" s="178"/>
      <c r="AS729" s="178"/>
      <c r="AT729" s="178"/>
      <c r="AU729" s="178"/>
      <c r="AV729" s="178"/>
      <c r="AW729" s="178"/>
      <c r="AX729" s="178"/>
    </row>
    <row r="730" spans="1:50" ht="15.75" customHeight="1" x14ac:dyDescent="0.3">
      <c r="A730" s="13"/>
      <c r="B730" s="13"/>
      <c r="C730" s="13"/>
      <c r="E730" s="178"/>
      <c r="H730" s="178"/>
      <c r="J730" s="42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  <c r="AI730" s="178"/>
      <c r="AJ730" s="178"/>
      <c r="AK730" s="178"/>
      <c r="AL730" s="178"/>
      <c r="AM730" s="178"/>
      <c r="AN730" s="178"/>
      <c r="AO730" s="178"/>
      <c r="AP730" s="178"/>
      <c r="AQ730" s="178"/>
      <c r="AR730" s="178"/>
      <c r="AS730" s="178"/>
      <c r="AT730" s="178"/>
      <c r="AU730" s="178"/>
      <c r="AV730" s="178"/>
      <c r="AW730" s="178"/>
      <c r="AX730" s="178"/>
    </row>
    <row r="731" spans="1:50" ht="15.75" customHeight="1" x14ac:dyDescent="0.3">
      <c r="A731" s="13"/>
      <c r="B731" s="13"/>
      <c r="C731" s="13"/>
      <c r="E731" s="178"/>
      <c r="H731" s="178"/>
      <c r="J731" s="42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  <c r="AR731" s="178"/>
      <c r="AS731" s="178"/>
      <c r="AT731" s="178"/>
      <c r="AU731" s="178"/>
      <c r="AV731" s="178"/>
      <c r="AW731" s="178"/>
      <c r="AX731" s="178"/>
    </row>
    <row r="732" spans="1:50" ht="15.75" customHeight="1" x14ac:dyDescent="0.3">
      <c r="A732" s="13"/>
      <c r="B732" s="13"/>
      <c r="C732" s="13"/>
      <c r="E732" s="178"/>
      <c r="H732" s="178"/>
      <c r="J732" s="42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  <c r="AR732" s="178"/>
      <c r="AS732" s="178"/>
      <c r="AT732" s="178"/>
      <c r="AU732" s="178"/>
      <c r="AV732" s="178"/>
      <c r="AW732" s="178"/>
      <c r="AX732" s="178"/>
    </row>
    <row r="733" spans="1:50" ht="15.75" customHeight="1" x14ac:dyDescent="0.3">
      <c r="A733" s="13"/>
      <c r="B733" s="13"/>
      <c r="C733" s="13"/>
      <c r="E733" s="178"/>
      <c r="H733" s="178"/>
      <c r="J733" s="42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  <c r="AI733" s="178"/>
      <c r="AJ733" s="178"/>
      <c r="AK733" s="178"/>
      <c r="AL733" s="178"/>
      <c r="AM733" s="178"/>
      <c r="AN733" s="178"/>
      <c r="AO733" s="178"/>
      <c r="AP733" s="178"/>
      <c r="AQ733" s="178"/>
      <c r="AR733" s="178"/>
      <c r="AS733" s="178"/>
      <c r="AT733" s="178"/>
      <c r="AU733" s="178"/>
      <c r="AV733" s="178"/>
      <c r="AW733" s="178"/>
      <c r="AX733" s="178"/>
    </row>
    <row r="734" spans="1:50" ht="15.75" customHeight="1" x14ac:dyDescent="0.3">
      <c r="A734" s="13"/>
      <c r="B734" s="13"/>
      <c r="C734" s="13"/>
      <c r="E734" s="178"/>
      <c r="H734" s="178"/>
      <c r="J734" s="42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  <c r="AI734" s="178"/>
      <c r="AJ734" s="178"/>
      <c r="AK734" s="178"/>
      <c r="AL734" s="178"/>
      <c r="AM734" s="178"/>
      <c r="AN734" s="178"/>
      <c r="AO734" s="178"/>
      <c r="AP734" s="178"/>
      <c r="AQ734" s="178"/>
      <c r="AR734" s="178"/>
      <c r="AS734" s="178"/>
      <c r="AT734" s="178"/>
      <c r="AU734" s="178"/>
      <c r="AV734" s="178"/>
      <c r="AW734" s="178"/>
      <c r="AX734" s="178"/>
    </row>
    <row r="735" spans="1:50" ht="15.75" customHeight="1" x14ac:dyDescent="0.3">
      <c r="A735" s="13"/>
      <c r="B735" s="13"/>
      <c r="C735" s="13"/>
      <c r="E735" s="178"/>
      <c r="H735" s="178"/>
      <c r="J735" s="42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  <c r="AI735" s="178"/>
      <c r="AJ735" s="178"/>
      <c r="AK735" s="178"/>
      <c r="AL735" s="178"/>
      <c r="AM735" s="178"/>
      <c r="AN735" s="178"/>
      <c r="AO735" s="178"/>
      <c r="AP735" s="178"/>
      <c r="AQ735" s="178"/>
      <c r="AR735" s="178"/>
      <c r="AS735" s="178"/>
      <c r="AT735" s="178"/>
      <c r="AU735" s="178"/>
      <c r="AV735" s="178"/>
      <c r="AW735" s="178"/>
      <c r="AX735" s="178"/>
    </row>
    <row r="736" spans="1:50" ht="15.75" customHeight="1" x14ac:dyDescent="0.3">
      <c r="A736" s="13"/>
      <c r="B736" s="13"/>
      <c r="C736" s="13"/>
      <c r="E736" s="178"/>
      <c r="H736" s="178"/>
      <c r="J736" s="42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  <c r="AR736" s="178"/>
      <c r="AS736" s="178"/>
      <c r="AT736" s="178"/>
      <c r="AU736" s="178"/>
      <c r="AV736" s="178"/>
      <c r="AW736" s="178"/>
      <c r="AX736" s="178"/>
    </row>
    <row r="737" spans="1:50" ht="15.75" customHeight="1" x14ac:dyDescent="0.3">
      <c r="A737" s="13"/>
      <c r="B737" s="13"/>
      <c r="C737" s="13"/>
      <c r="E737" s="178"/>
      <c r="H737" s="178"/>
      <c r="J737" s="42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  <c r="AI737" s="178"/>
      <c r="AJ737" s="178"/>
      <c r="AK737" s="178"/>
      <c r="AL737" s="178"/>
      <c r="AM737" s="178"/>
      <c r="AN737" s="178"/>
      <c r="AO737" s="178"/>
      <c r="AP737" s="178"/>
      <c r="AQ737" s="178"/>
      <c r="AR737" s="178"/>
      <c r="AS737" s="178"/>
      <c r="AT737" s="178"/>
      <c r="AU737" s="178"/>
      <c r="AV737" s="178"/>
      <c r="AW737" s="178"/>
      <c r="AX737" s="178"/>
    </row>
    <row r="738" spans="1:50" ht="15.75" customHeight="1" x14ac:dyDescent="0.3">
      <c r="A738" s="13"/>
      <c r="B738" s="13"/>
      <c r="C738" s="13"/>
      <c r="E738" s="178"/>
      <c r="H738" s="178"/>
      <c r="J738" s="42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  <c r="AI738" s="178"/>
      <c r="AJ738" s="178"/>
      <c r="AK738" s="178"/>
      <c r="AL738" s="178"/>
      <c r="AM738" s="178"/>
      <c r="AN738" s="178"/>
      <c r="AO738" s="178"/>
      <c r="AP738" s="178"/>
      <c r="AQ738" s="178"/>
      <c r="AR738" s="178"/>
      <c r="AS738" s="178"/>
      <c r="AT738" s="178"/>
      <c r="AU738" s="178"/>
      <c r="AV738" s="178"/>
      <c r="AW738" s="178"/>
      <c r="AX738" s="178"/>
    </row>
    <row r="739" spans="1:50" ht="15.75" customHeight="1" x14ac:dyDescent="0.3">
      <c r="A739" s="13"/>
      <c r="B739" s="13"/>
      <c r="C739" s="13"/>
      <c r="E739" s="178"/>
      <c r="H739" s="178"/>
      <c r="J739" s="42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  <c r="AR739" s="178"/>
      <c r="AS739" s="178"/>
      <c r="AT739" s="178"/>
      <c r="AU739" s="178"/>
      <c r="AV739" s="178"/>
      <c r="AW739" s="178"/>
      <c r="AX739" s="178"/>
    </row>
    <row r="740" spans="1:50" ht="15.75" customHeight="1" x14ac:dyDescent="0.3">
      <c r="A740" s="13"/>
      <c r="B740" s="13"/>
      <c r="C740" s="13"/>
      <c r="E740" s="178"/>
      <c r="H740" s="178"/>
      <c r="J740" s="42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  <c r="AI740" s="178"/>
      <c r="AJ740" s="178"/>
      <c r="AK740" s="178"/>
      <c r="AL740" s="178"/>
      <c r="AM740" s="178"/>
      <c r="AN740" s="178"/>
      <c r="AO740" s="178"/>
      <c r="AP740" s="178"/>
      <c r="AQ740" s="178"/>
      <c r="AR740" s="178"/>
      <c r="AS740" s="178"/>
      <c r="AT740" s="178"/>
      <c r="AU740" s="178"/>
      <c r="AV740" s="178"/>
      <c r="AW740" s="178"/>
      <c r="AX740" s="178"/>
    </row>
    <row r="741" spans="1:50" ht="15.75" customHeight="1" x14ac:dyDescent="0.3">
      <c r="A741" s="13"/>
      <c r="B741" s="13"/>
      <c r="C741" s="13"/>
      <c r="E741" s="178"/>
      <c r="H741" s="178"/>
      <c r="J741" s="42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  <c r="AI741" s="178"/>
      <c r="AJ741" s="178"/>
      <c r="AK741" s="178"/>
      <c r="AL741" s="178"/>
      <c r="AM741" s="178"/>
      <c r="AN741" s="178"/>
      <c r="AO741" s="178"/>
      <c r="AP741" s="178"/>
      <c r="AQ741" s="178"/>
      <c r="AR741" s="178"/>
      <c r="AS741" s="178"/>
      <c r="AT741" s="178"/>
      <c r="AU741" s="178"/>
      <c r="AV741" s="178"/>
      <c r="AW741" s="178"/>
      <c r="AX741" s="178"/>
    </row>
    <row r="742" spans="1:50" ht="15.75" customHeight="1" x14ac:dyDescent="0.3">
      <c r="A742" s="13"/>
      <c r="B742" s="13"/>
      <c r="C742" s="13"/>
      <c r="E742" s="178"/>
      <c r="H742" s="178"/>
      <c r="J742" s="42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  <c r="AR742" s="178"/>
      <c r="AS742" s="178"/>
      <c r="AT742" s="178"/>
      <c r="AU742" s="178"/>
      <c r="AV742" s="178"/>
      <c r="AW742" s="178"/>
      <c r="AX742" s="178"/>
    </row>
    <row r="743" spans="1:50" ht="15.75" customHeight="1" x14ac:dyDescent="0.3">
      <c r="A743" s="13"/>
      <c r="B743" s="13"/>
      <c r="C743" s="13"/>
      <c r="E743" s="178"/>
      <c r="H743" s="178"/>
      <c r="J743" s="42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  <c r="AI743" s="178"/>
      <c r="AJ743" s="178"/>
      <c r="AK743" s="178"/>
      <c r="AL743" s="178"/>
      <c r="AM743" s="178"/>
      <c r="AN743" s="178"/>
      <c r="AO743" s="178"/>
      <c r="AP743" s="178"/>
      <c r="AQ743" s="178"/>
      <c r="AR743" s="178"/>
      <c r="AS743" s="178"/>
      <c r="AT743" s="178"/>
      <c r="AU743" s="178"/>
      <c r="AV743" s="178"/>
      <c r="AW743" s="178"/>
      <c r="AX743" s="178"/>
    </row>
    <row r="744" spans="1:50" ht="15.75" customHeight="1" x14ac:dyDescent="0.3">
      <c r="A744" s="13"/>
      <c r="B744" s="13"/>
      <c r="C744" s="13"/>
      <c r="E744" s="178"/>
      <c r="H744" s="178"/>
      <c r="J744" s="42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  <c r="AI744" s="178"/>
      <c r="AJ744" s="178"/>
      <c r="AK744" s="178"/>
      <c r="AL744" s="178"/>
      <c r="AM744" s="178"/>
      <c r="AN744" s="178"/>
      <c r="AO744" s="178"/>
      <c r="AP744" s="178"/>
      <c r="AQ744" s="178"/>
      <c r="AR744" s="178"/>
      <c r="AS744" s="178"/>
      <c r="AT744" s="178"/>
      <c r="AU744" s="178"/>
      <c r="AV744" s="178"/>
      <c r="AW744" s="178"/>
      <c r="AX744" s="178"/>
    </row>
    <row r="745" spans="1:50" ht="15.75" customHeight="1" x14ac:dyDescent="0.3">
      <c r="A745" s="13"/>
      <c r="B745" s="13"/>
      <c r="C745" s="13"/>
      <c r="E745" s="178"/>
      <c r="H745" s="178"/>
      <c r="J745" s="42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  <c r="AI745" s="178"/>
      <c r="AJ745" s="178"/>
      <c r="AK745" s="178"/>
      <c r="AL745" s="178"/>
      <c r="AM745" s="178"/>
      <c r="AN745" s="178"/>
      <c r="AO745" s="178"/>
      <c r="AP745" s="178"/>
      <c r="AQ745" s="178"/>
      <c r="AR745" s="178"/>
      <c r="AS745" s="178"/>
      <c r="AT745" s="178"/>
      <c r="AU745" s="178"/>
      <c r="AV745" s="178"/>
      <c r="AW745" s="178"/>
      <c r="AX745" s="178"/>
    </row>
    <row r="746" spans="1:50" ht="15.75" customHeight="1" x14ac:dyDescent="0.3">
      <c r="A746" s="13"/>
      <c r="B746" s="13"/>
      <c r="C746" s="13"/>
      <c r="E746" s="178"/>
      <c r="H746" s="178"/>
      <c r="J746" s="42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8"/>
      <c r="AQ746" s="178"/>
      <c r="AR746" s="178"/>
      <c r="AS746" s="178"/>
      <c r="AT746" s="178"/>
      <c r="AU746" s="178"/>
      <c r="AV746" s="178"/>
      <c r="AW746" s="178"/>
      <c r="AX746" s="178"/>
    </row>
    <row r="747" spans="1:50" ht="15.75" customHeight="1" x14ac:dyDescent="0.3">
      <c r="A747" s="13"/>
      <c r="B747" s="13"/>
      <c r="C747" s="13"/>
      <c r="E747" s="178"/>
      <c r="H747" s="178"/>
      <c r="J747" s="42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  <c r="AI747" s="178"/>
      <c r="AJ747" s="178"/>
      <c r="AK747" s="178"/>
      <c r="AL747" s="178"/>
      <c r="AM747" s="178"/>
      <c r="AN747" s="178"/>
      <c r="AO747" s="178"/>
      <c r="AP747" s="178"/>
      <c r="AQ747" s="178"/>
      <c r="AR747" s="178"/>
      <c r="AS747" s="178"/>
      <c r="AT747" s="178"/>
      <c r="AU747" s="178"/>
      <c r="AV747" s="178"/>
      <c r="AW747" s="178"/>
      <c r="AX747" s="178"/>
    </row>
    <row r="748" spans="1:50" ht="15.75" customHeight="1" x14ac:dyDescent="0.3">
      <c r="A748" s="13"/>
      <c r="B748" s="13"/>
      <c r="C748" s="13"/>
      <c r="E748" s="178"/>
      <c r="H748" s="178"/>
      <c r="J748" s="42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  <c r="AI748" s="178"/>
      <c r="AJ748" s="178"/>
      <c r="AK748" s="178"/>
      <c r="AL748" s="178"/>
      <c r="AM748" s="178"/>
      <c r="AN748" s="178"/>
      <c r="AO748" s="178"/>
      <c r="AP748" s="178"/>
      <c r="AQ748" s="178"/>
      <c r="AR748" s="178"/>
      <c r="AS748" s="178"/>
      <c r="AT748" s="178"/>
      <c r="AU748" s="178"/>
      <c r="AV748" s="178"/>
      <c r="AW748" s="178"/>
      <c r="AX748" s="178"/>
    </row>
    <row r="749" spans="1:50" ht="15.75" customHeight="1" x14ac:dyDescent="0.3">
      <c r="A749" s="13"/>
      <c r="B749" s="13"/>
      <c r="C749" s="13"/>
      <c r="E749" s="178"/>
      <c r="H749" s="178"/>
      <c r="J749" s="42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  <c r="AR749" s="178"/>
      <c r="AS749" s="178"/>
      <c r="AT749" s="178"/>
      <c r="AU749" s="178"/>
      <c r="AV749" s="178"/>
      <c r="AW749" s="178"/>
      <c r="AX749" s="178"/>
    </row>
    <row r="750" spans="1:50" ht="15.75" customHeight="1" x14ac:dyDescent="0.3">
      <c r="A750" s="13"/>
      <c r="B750" s="13"/>
      <c r="C750" s="13"/>
      <c r="E750" s="178"/>
      <c r="H750" s="178"/>
      <c r="J750" s="42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  <c r="AI750" s="178"/>
      <c r="AJ750" s="178"/>
      <c r="AK750" s="178"/>
      <c r="AL750" s="178"/>
      <c r="AM750" s="178"/>
      <c r="AN750" s="178"/>
      <c r="AO750" s="178"/>
      <c r="AP750" s="178"/>
      <c r="AQ750" s="178"/>
      <c r="AR750" s="178"/>
      <c r="AS750" s="178"/>
      <c r="AT750" s="178"/>
      <c r="AU750" s="178"/>
      <c r="AV750" s="178"/>
      <c r="AW750" s="178"/>
      <c r="AX750" s="178"/>
    </row>
    <row r="751" spans="1:50" ht="15.75" customHeight="1" x14ac:dyDescent="0.3">
      <c r="A751" s="13"/>
      <c r="B751" s="13"/>
      <c r="C751" s="13"/>
      <c r="E751" s="178"/>
      <c r="H751" s="178"/>
      <c r="J751" s="42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  <c r="AI751" s="178"/>
      <c r="AJ751" s="178"/>
      <c r="AK751" s="178"/>
      <c r="AL751" s="178"/>
      <c r="AM751" s="178"/>
      <c r="AN751" s="178"/>
      <c r="AO751" s="178"/>
      <c r="AP751" s="178"/>
      <c r="AQ751" s="178"/>
      <c r="AR751" s="178"/>
      <c r="AS751" s="178"/>
      <c r="AT751" s="178"/>
      <c r="AU751" s="178"/>
      <c r="AV751" s="178"/>
      <c r="AW751" s="178"/>
      <c r="AX751" s="178"/>
    </row>
    <row r="752" spans="1:50" ht="15.75" customHeight="1" x14ac:dyDescent="0.3">
      <c r="A752" s="13"/>
      <c r="B752" s="13"/>
      <c r="C752" s="13"/>
      <c r="E752" s="178"/>
      <c r="H752" s="178"/>
      <c r="J752" s="42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  <c r="AI752" s="178"/>
      <c r="AJ752" s="178"/>
      <c r="AK752" s="178"/>
      <c r="AL752" s="178"/>
      <c r="AM752" s="178"/>
      <c r="AN752" s="178"/>
      <c r="AO752" s="178"/>
      <c r="AP752" s="178"/>
      <c r="AQ752" s="178"/>
      <c r="AR752" s="178"/>
      <c r="AS752" s="178"/>
      <c r="AT752" s="178"/>
      <c r="AU752" s="178"/>
      <c r="AV752" s="178"/>
      <c r="AW752" s="178"/>
      <c r="AX752" s="178"/>
    </row>
    <row r="753" spans="1:50" ht="15.75" customHeight="1" x14ac:dyDescent="0.3">
      <c r="A753" s="13"/>
      <c r="B753" s="13"/>
      <c r="C753" s="13"/>
      <c r="E753" s="178"/>
      <c r="H753" s="178"/>
      <c r="J753" s="42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  <c r="AI753" s="178"/>
      <c r="AJ753" s="178"/>
      <c r="AK753" s="178"/>
      <c r="AL753" s="178"/>
      <c r="AM753" s="178"/>
      <c r="AN753" s="178"/>
      <c r="AO753" s="178"/>
      <c r="AP753" s="178"/>
      <c r="AQ753" s="178"/>
      <c r="AR753" s="178"/>
      <c r="AS753" s="178"/>
      <c r="AT753" s="178"/>
      <c r="AU753" s="178"/>
      <c r="AV753" s="178"/>
      <c r="AW753" s="178"/>
      <c r="AX753" s="178"/>
    </row>
    <row r="754" spans="1:50" ht="15.75" customHeight="1" x14ac:dyDescent="0.3">
      <c r="A754" s="13"/>
      <c r="B754" s="13"/>
      <c r="C754" s="13"/>
      <c r="E754" s="178"/>
      <c r="H754" s="178"/>
      <c r="J754" s="42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  <c r="AI754" s="178"/>
      <c r="AJ754" s="178"/>
      <c r="AK754" s="178"/>
      <c r="AL754" s="178"/>
      <c r="AM754" s="178"/>
      <c r="AN754" s="178"/>
      <c r="AO754" s="178"/>
      <c r="AP754" s="178"/>
      <c r="AQ754" s="178"/>
      <c r="AR754" s="178"/>
      <c r="AS754" s="178"/>
      <c r="AT754" s="178"/>
      <c r="AU754" s="178"/>
      <c r="AV754" s="178"/>
      <c r="AW754" s="178"/>
      <c r="AX754" s="178"/>
    </row>
    <row r="755" spans="1:50" ht="15.75" customHeight="1" x14ac:dyDescent="0.3">
      <c r="A755" s="13"/>
      <c r="B755" s="13"/>
      <c r="C755" s="13"/>
      <c r="E755" s="178"/>
      <c r="H755" s="178"/>
      <c r="J755" s="42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  <c r="AI755" s="178"/>
      <c r="AJ755" s="178"/>
      <c r="AK755" s="178"/>
      <c r="AL755" s="178"/>
      <c r="AM755" s="178"/>
      <c r="AN755" s="178"/>
      <c r="AO755" s="178"/>
      <c r="AP755" s="178"/>
      <c r="AQ755" s="178"/>
      <c r="AR755" s="178"/>
      <c r="AS755" s="178"/>
      <c r="AT755" s="178"/>
      <c r="AU755" s="178"/>
      <c r="AV755" s="178"/>
      <c r="AW755" s="178"/>
      <c r="AX755" s="178"/>
    </row>
    <row r="756" spans="1:50" ht="15.75" customHeight="1" x14ac:dyDescent="0.3">
      <c r="A756" s="13"/>
      <c r="B756" s="13"/>
      <c r="C756" s="13"/>
      <c r="E756" s="178"/>
      <c r="H756" s="178"/>
      <c r="J756" s="42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  <c r="AI756" s="178"/>
      <c r="AJ756" s="178"/>
      <c r="AK756" s="178"/>
      <c r="AL756" s="178"/>
      <c r="AM756" s="178"/>
      <c r="AN756" s="178"/>
      <c r="AO756" s="178"/>
      <c r="AP756" s="178"/>
      <c r="AQ756" s="178"/>
      <c r="AR756" s="178"/>
      <c r="AS756" s="178"/>
      <c r="AT756" s="178"/>
      <c r="AU756" s="178"/>
      <c r="AV756" s="178"/>
      <c r="AW756" s="178"/>
      <c r="AX756" s="178"/>
    </row>
    <row r="757" spans="1:50" ht="15.75" customHeight="1" x14ac:dyDescent="0.3">
      <c r="A757" s="13"/>
      <c r="B757" s="13"/>
      <c r="C757" s="13"/>
      <c r="E757" s="178"/>
      <c r="H757" s="178"/>
      <c r="J757" s="42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  <c r="AI757" s="178"/>
      <c r="AJ757" s="178"/>
      <c r="AK757" s="178"/>
      <c r="AL757" s="178"/>
      <c r="AM757" s="178"/>
      <c r="AN757" s="178"/>
      <c r="AO757" s="178"/>
      <c r="AP757" s="178"/>
      <c r="AQ757" s="178"/>
      <c r="AR757" s="178"/>
      <c r="AS757" s="178"/>
      <c r="AT757" s="178"/>
      <c r="AU757" s="178"/>
      <c r="AV757" s="178"/>
      <c r="AW757" s="178"/>
      <c r="AX757" s="178"/>
    </row>
    <row r="758" spans="1:50" ht="15.75" customHeight="1" x14ac:dyDescent="0.3">
      <c r="A758" s="13"/>
      <c r="B758" s="13"/>
      <c r="C758" s="13"/>
      <c r="E758" s="178"/>
      <c r="H758" s="178"/>
      <c r="J758" s="42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  <c r="AI758" s="178"/>
      <c r="AJ758" s="178"/>
      <c r="AK758" s="178"/>
      <c r="AL758" s="178"/>
      <c r="AM758" s="178"/>
      <c r="AN758" s="178"/>
      <c r="AO758" s="178"/>
      <c r="AP758" s="178"/>
      <c r="AQ758" s="178"/>
      <c r="AR758" s="178"/>
      <c r="AS758" s="178"/>
      <c r="AT758" s="178"/>
      <c r="AU758" s="178"/>
      <c r="AV758" s="178"/>
      <c r="AW758" s="178"/>
      <c r="AX758" s="178"/>
    </row>
    <row r="759" spans="1:50" ht="15.75" customHeight="1" x14ac:dyDescent="0.3">
      <c r="A759" s="13"/>
      <c r="B759" s="13"/>
      <c r="C759" s="13"/>
      <c r="E759" s="178"/>
      <c r="H759" s="178"/>
      <c r="J759" s="42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  <c r="AI759" s="178"/>
      <c r="AJ759" s="178"/>
      <c r="AK759" s="178"/>
      <c r="AL759" s="178"/>
      <c r="AM759" s="178"/>
      <c r="AN759" s="178"/>
      <c r="AO759" s="178"/>
      <c r="AP759" s="178"/>
      <c r="AQ759" s="178"/>
      <c r="AR759" s="178"/>
      <c r="AS759" s="178"/>
      <c r="AT759" s="178"/>
      <c r="AU759" s="178"/>
      <c r="AV759" s="178"/>
      <c r="AW759" s="178"/>
      <c r="AX759" s="178"/>
    </row>
    <row r="760" spans="1:50" ht="15.75" customHeight="1" x14ac:dyDescent="0.3">
      <c r="A760" s="13"/>
      <c r="B760" s="13"/>
      <c r="C760" s="13"/>
      <c r="E760" s="178"/>
      <c r="H760" s="178"/>
      <c r="J760" s="42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  <c r="AI760" s="178"/>
      <c r="AJ760" s="178"/>
      <c r="AK760" s="178"/>
      <c r="AL760" s="178"/>
      <c r="AM760" s="178"/>
      <c r="AN760" s="178"/>
      <c r="AO760" s="178"/>
      <c r="AP760" s="178"/>
      <c r="AQ760" s="178"/>
      <c r="AR760" s="178"/>
      <c r="AS760" s="178"/>
      <c r="AT760" s="178"/>
      <c r="AU760" s="178"/>
      <c r="AV760" s="178"/>
      <c r="AW760" s="178"/>
      <c r="AX760" s="178"/>
    </row>
    <row r="761" spans="1:50" ht="15.75" customHeight="1" x14ac:dyDescent="0.3">
      <c r="A761" s="13"/>
      <c r="B761" s="13"/>
      <c r="C761" s="13"/>
      <c r="E761" s="178"/>
      <c r="H761" s="178"/>
      <c r="J761" s="42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  <c r="AI761" s="178"/>
      <c r="AJ761" s="178"/>
      <c r="AK761" s="178"/>
      <c r="AL761" s="178"/>
      <c r="AM761" s="178"/>
      <c r="AN761" s="178"/>
      <c r="AO761" s="178"/>
      <c r="AP761" s="178"/>
      <c r="AQ761" s="178"/>
      <c r="AR761" s="178"/>
      <c r="AS761" s="178"/>
      <c r="AT761" s="178"/>
      <c r="AU761" s="178"/>
      <c r="AV761" s="178"/>
      <c r="AW761" s="178"/>
      <c r="AX761" s="178"/>
    </row>
    <row r="762" spans="1:50" ht="15.75" customHeight="1" x14ac:dyDescent="0.3">
      <c r="A762" s="13"/>
      <c r="B762" s="13"/>
      <c r="C762" s="13"/>
      <c r="E762" s="178"/>
      <c r="H762" s="178"/>
      <c r="J762" s="42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  <c r="AI762" s="178"/>
      <c r="AJ762" s="178"/>
      <c r="AK762" s="178"/>
      <c r="AL762" s="178"/>
      <c r="AM762" s="178"/>
      <c r="AN762" s="178"/>
      <c r="AO762" s="178"/>
      <c r="AP762" s="178"/>
      <c r="AQ762" s="178"/>
      <c r="AR762" s="178"/>
      <c r="AS762" s="178"/>
      <c r="AT762" s="178"/>
      <c r="AU762" s="178"/>
      <c r="AV762" s="178"/>
      <c r="AW762" s="178"/>
      <c r="AX762" s="178"/>
    </row>
    <row r="763" spans="1:50" ht="15.75" customHeight="1" x14ac:dyDescent="0.3">
      <c r="A763" s="13"/>
      <c r="B763" s="13"/>
      <c r="C763" s="13"/>
      <c r="E763" s="178"/>
      <c r="H763" s="178"/>
      <c r="J763" s="42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  <c r="AI763" s="178"/>
      <c r="AJ763" s="178"/>
      <c r="AK763" s="178"/>
      <c r="AL763" s="178"/>
      <c r="AM763" s="178"/>
      <c r="AN763" s="178"/>
      <c r="AO763" s="178"/>
      <c r="AP763" s="178"/>
      <c r="AQ763" s="178"/>
      <c r="AR763" s="178"/>
      <c r="AS763" s="178"/>
      <c r="AT763" s="178"/>
      <c r="AU763" s="178"/>
      <c r="AV763" s="178"/>
      <c r="AW763" s="178"/>
      <c r="AX763" s="178"/>
    </row>
    <row r="764" spans="1:50" ht="15.75" customHeight="1" x14ac:dyDescent="0.3">
      <c r="A764" s="13"/>
      <c r="B764" s="13"/>
      <c r="C764" s="13"/>
      <c r="E764" s="178"/>
      <c r="H764" s="178"/>
      <c r="J764" s="42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  <c r="AI764" s="178"/>
      <c r="AJ764" s="178"/>
      <c r="AK764" s="178"/>
      <c r="AL764" s="178"/>
      <c r="AM764" s="178"/>
      <c r="AN764" s="178"/>
      <c r="AO764" s="178"/>
      <c r="AP764" s="178"/>
      <c r="AQ764" s="178"/>
      <c r="AR764" s="178"/>
      <c r="AS764" s="178"/>
      <c r="AT764" s="178"/>
      <c r="AU764" s="178"/>
      <c r="AV764" s="178"/>
      <c r="AW764" s="178"/>
      <c r="AX764" s="178"/>
    </row>
    <row r="765" spans="1:50" ht="15.75" customHeight="1" x14ac:dyDescent="0.3">
      <c r="A765" s="13"/>
      <c r="B765" s="13"/>
      <c r="C765" s="13"/>
      <c r="E765" s="178"/>
      <c r="H765" s="178"/>
      <c r="J765" s="42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  <c r="AI765" s="178"/>
      <c r="AJ765" s="178"/>
      <c r="AK765" s="178"/>
      <c r="AL765" s="178"/>
      <c r="AM765" s="178"/>
      <c r="AN765" s="178"/>
      <c r="AO765" s="178"/>
      <c r="AP765" s="178"/>
      <c r="AQ765" s="178"/>
      <c r="AR765" s="178"/>
      <c r="AS765" s="178"/>
      <c r="AT765" s="178"/>
      <c r="AU765" s="178"/>
      <c r="AV765" s="178"/>
      <c r="AW765" s="178"/>
      <c r="AX765" s="178"/>
    </row>
    <row r="766" spans="1:50" ht="15.75" customHeight="1" x14ac:dyDescent="0.3">
      <c r="A766" s="13"/>
      <c r="B766" s="13"/>
      <c r="C766" s="13"/>
      <c r="E766" s="178"/>
      <c r="H766" s="178"/>
      <c r="J766" s="42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  <c r="AI766" s="178"/>
      <c r="AJ766" s="178"/>
      <c r="AK766" s="178"/>
      <c r="AL766" s="178"/>
      <c r="AM766" s="178"/>
      <c r="AN766" s="178"/>
      <c r="AO766" s="178"/>
      <c r="AP766" s="178"/>
      <c r="AQ766" s="178"/>
      <c r="AR766" s="178"/>
      <c r="AS766" s="178"/>
      <c r="AT766" s="178"/>
      <c r="AU766" s="178"/>
      <c r="AV766" s="178"/>
      <c r="AW766" s="178"/>
      <c r="AX766" s="178"/>
    </row>
    <row r="767" spans="1:50" ht="15.75" customHeight="1" x14ac:dyDescent="0.3">
      <c r="A767" s="13"/>
      <c r="B767" s="13"/>
      <c r="C767" s="13"/>
      <c r="E767" s="178"/>
      <c r="H767" s="178"/>
      <c r="J767" s="42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  <c r="AI767" s="178"/>
      <c r="AJ767" s="178"/>
      <c r="AK767" s="178"/>
      <c r="AL767" s="178"/>
      <c r="AM767" s="178"/>
      <c r="AN767" s="178"/>
      <c r="AO767" s="178"/>
      <c r="AP767" s="178"/>
      <c r="AQ767" s="178"/>
      <c r="AR767" s="178"/>
      <c r="AS767" s="178"/>
      <c r="AT767" s="178"/>
      <c r="AU767" s="178"/>
      <c r="AV767" s="178"/>
      <c r="AW767" s="178"/>
      <c r="AX767" s="178"/>
    </row>
    <row r="768" spans="1:50" ht="15.75" customHeight="1" x14ac:dyDescent="0.3">
      <c r="A768" s="13"/>
      <c r="B768" s="13"/>
      <c r="C768" s="13"/>
      <c r="E768" s="178"/>
      <c r="H768" s="178"/>
      <c r="J768" s="42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  <c r="AI768" s="178"/>
      <c r="AJ768" s="178"/>
      <c r="AK768" s="178"/>
      <c r="AL768" s="178"/>
      <c r="AM768" s="178"/>
      <c r="AN768" s="178"/>
      <c r="AO768" s="178"/>
      <c r="AP768" s="178"/>
      <c r="AQ768" s="178"/>
      <c r="AR768" s="178"/>
      <c r="AS768" s="178"/>
      <c r="AT768" s="178"/>
      <c r="AU768" s="178"/>
      <c r="AV768" s="178"/>
      <c r="AW768" s="178"/>
      <c r="AX768" s="178"/>
    </row>
    <row r="769" spans="1:50" ht="15.75" customHeight="1" x14ac:dyDescent="0.3">
      <c r="A769" s="13"/>
      <c r="B769" s="13"/>
      <c r="C769" s="13"/>
      <c r="E769" s="178"/>
      <c r="H769" s="178"/>
      <c r="J769" s="42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  <c r="AI769" s="178"/>
      <c r="AJ769" s="178"/>
      <c r="AK769" s="178"/>
      <c r="AL769" s="178"/>
      <c r="AM769" s="178"/>
      <c r="AN769" s="178"/>
      <c r="AO769" s="178"/>
      <c r="AP769" s="178"/>
      <c r="AQ769" s="178"/>
      <c r="AR769" s="178"/>
      <c r="AS769" s="178"/>
      <c r="AT769" s="178"/>
      <c r="AU769" s="178"/>
      <c r="AV769" s="178"/>
      <c r="AW769" s="178"/>
      <c r="AX769" s="178"/>
    </row>
    <row r="770" spans="1:50" ht="15.75" customHeight="1" x14ac:dyDescent="0.3">
      <c r="A770" s="13"/>
      <c r="B770" s="13"/>
      <c r="C770" s="13"/>
      <c r="E770" s="178"/>
      <c r="H770" s="178"/>
      <c r="J770" s="42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  <c r="AI770" s="178"/>
      <c r="AJ770" s="178"/>
      <c r="AK770" s="178"/>
      <c r="AL770" s="178"/>
      <c r="AM770" s="178"/>
      <c r="AN770" s="178"/>
      <c r="AO770" s="178"/>
      <c r="AP770" s="178"/>
      <c r="AQ770" s="178"/>
      <c r="AR770" s="178"/>
      <c r="AS770" s="178"/>
      <c r="AT770" s="178"/>
      <c r="AU770" s="178"/>
      <c r="AV770" s="178"/>
      <c r="AW770" s="178"/>
      <c r="AX770" s="178"/>
    </row>
    <row r="771" spans="1:50" ht="15.75" customHeight="1" x14ac:dyDescent="0.3">
      <c r="A771" s="13"/>
      <c r="B771" s="13"/>
      <c r="C771" s="13"/>
      <c r="E771" s="178"/>
      <c r="H771" s="178"/>
      <c r="J771" s="42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  <c r="AI771" s="178"/>
      <c r="AJ771" s="178"/>
      <c r="AK771" s="178"/>
      <c r="AL771" s="178"/>
      <c r="AM771" s="178"/>
      <c r="AN771" s="178"/>
      <c r="AO771" s="178"/>
      <c r="AP771" s="178"/>
      <c r="AQ771" s="178"/>
      <c r="AR771" s="178"/>
      <c r="AS771" s="178"/>
      <c r="AT771" s="178"/>
      <c r="AU771" s="178"/>
      <c r="AV771" s="178"/>
      <c r="AW771" s="178"/>
      <c r="AX771" s="178"/>
    </row>
    <row r="772" spans="1:50" ht="15.75" customHeight="1" x14ac:dyDescent="0.3">
      <c r="A772" s="13"/>
      <c r="B772" s="13"/>
      <c r="C772" s="13"/>
      <c r="E772" s="178"/>
      <c r="H772" s="178"/>
      <c r="J772" s="42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  <c r="AI772" s="178"/>
      <c r="AJ772" s="178"/>
      <c r="AK772" s="178"/>
      <c r="AL772" s="178"/>
      <c r="AM772" s="178"/>
      <c r="AN772" s="178"/>
      <c r="AO772" s="178"/>
      <c r="AP772" s="178"/>
      <c r="AQ772" s="178"/>
      <c r="AR772" s="178"/>
      <c r="AS772" s="178"/>
      <c r="AT772" s="178"/>
      <c r="AU772" s="178"/>
      <c r="AV772" s="178"/>
      <c r="AW772" s="178"/>
      <c r="AX772" s="178"/>
    </row>
    <row r="773" spans="1:50" ht="15.75" customHeight="1" x14ac:dyDescent="0.3">
      <c r="A773" s="13"/>
      <c r="B773" s="13"/>
      <c r="C773" s="13"/>
      <c r="E773" s="178"/>
      <c r="H773" s="178"/>
      <c r="J773" s="42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  <c r="AI773" s="178"/>
      <c r="AJ773" s="178"/>
      <c r="AK773" s="178"/>
      <c r="AL773" s="178"/>
      <c r="AM773" s="178"/>
      <c r="AN773" s="178"/>
      <c r="AO773" s="178"/>
      <c r="AP773" s="178"/>
      <c r="AQ773" s="178"/>
      <c r="AR773" s="178"/>
      <c r="AS773" s="178"/>
      <c r="AT773" s="178"/>
      <c r="AU773" s="178"/>
      <c r="AV773" s="178"/>
      <c r="AW773" s="178"/>
      <c r="AX773" s="178"/>
    </row>
    <row r="774" spans="1:50" ht="15.75" customHeight="1" x14ac:dyDescent="0.3">
      <c r="A774" s="13"/>
      <c r="B774" s="13"/>
      <c r="C774" s="13"/>
      <c r="E774" s="178"/>
      <c r="H774" s="178"/>
      <c r="J774" s="42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  <c r="AI774" s="178"/>
      <c r="AJ774" s="178"/>
      <c r="AK774" s="178"/>
      <c r="AL774" s="178"/>
      <c r="AM774" s="178"/>
      <c r="AN774" s="178"/>
      <c r="AO774" s="178"/>
      <c r="AP774" s="178"/>
      <c r="AQ774" s="178"/>
      <c r="AR774" s="178"/>
      <c r="AS774" s="178"/>
      <c r="AT774" s="178"/>
      <c r="AU774" s="178"/>
      <c r="AV774" s="178"/>
      <c r="AW774" s="178"/>
      <c r="AX774" s="178"/>
    </row>
    <row r="775" spans="1:50" ht="15.75" customHeight="1" x14ac:dyDescent="0.3">
      <c r="A775" s="13"/>
      <c r="B775" s="13"/>
      <c r="C775" s="13"/>
      <c r="E775" s="178"/>
      <c r="H775" s="178"/>
      <c r="J775" s="42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  <c r="AI775" s="178"/>
      <c r="AJ775" s="178"/>
      <c r="AK775" s="178"/>
      <c r="AL775" s="178"/>
      <c r="AM775" s="178"/>
      <c r="AN775" s="178"/>
      <c r="AO775" s="178"/>
      <c r="AP775" s="178"/>
      <c r="AQ775" s="178"/>
      <c r="AR775" s="178"/>
      <c r="AS775" s="178"/>
      <c r="AT775" s="178"/>
      <c r="AU775" s="178"/>
      <c r="AV775" s="178"/>
      <c r="AW775" s="178"/>
      <c r="AX775" s="178"/>
    </row>
    <row r="776" spans="1:50" ht="15.75" customHeight="1" x14ac:dyDescent="0.3">
      <c r="A776" s="13"/>
      <c r="B776" s="13"/>
      <c r="C776" s="13"/>
      <c r="E776" s="178"/>
      <c r="H776" s="178"/>
      <c r="J776" s="42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  <c r="AI776" s="178"/>
      <c r="AJ776" s="178"/>
      <c r="AK776" s="178"/>
      <c r="AL776" s="178"/>
      <c r="AM776" s="178"/>
      <c r="AN776" s="178"/>
      <c r="AO776" s="178"/>
      <c r="AP776" s="178"/>
      <c r="AQ776" s="178"/>
      <c r="AR776" s="178"/>
      <c r="AS776" s="178"/>
      <c r="AT776" s="178"/>
      <c r="AU776" s="178"/>
      <c r="AV776" s="178"/>
      <c r="AW776" s="178"/>
      <c r="AX776" s="178"/>
    </row>
    <row r="777" spans="1:50" ht="15.75" customHeight="1" x14ac:dyDescent="0.3">
      <c r="A777" s="13"/>
      <c r="B777" s="13"/>
      <c r="C777" s="13"/>
      <c r="E777" s="178"/>
      <c r="H777" s="178"/>
      <c r="J777" s="42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  <c r="AI777" s="178"/>
      <c r="AJ777" s="178"/>
      <c r="AK777" s="178"/>
      <c r="AL777" s="178"/>
      <c r="AM777" s="178"/>
      <c r="AN777" s="178"/>
      <c r="AO777" s="178"/>
      <c r="AP777" s="178"/>
      <c r="AQ777" s="178"/>
      <c r="AR777" s="178"/>
      <c r="AS777" s="178"/>
      <c r="AT777" s="178"/>
      <c r="AU777" s="178"/>
      <c r="AV777" s="178"/>
      <c r="AW777" s="178"/>
      <c r="AX777" s="178"/>
    </row>
    <row r="778" spans="1:50" ht="15.75" customHeight="1" x14ac:dyDescent="0.3">
      <c r="A778" s="13"/>
      <c r="B778" s="13"/>
      <c r="C778" s="13"/>
      <c r="E778" s="178"/>
      <c r="H778" s="178"/>
      <c r="J778" s="42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  <c r="AI778" s="178"/>
      <c r="AJ778" s="178"/>
      <c r="AK778" s="178"/>
      <c r="AL778" s="178"/>
      <c r="AM778" s="178"/>
      <c r="AN778" s="178"/>
      <c r="AO778" s="178"/>
      <c r="AP778" s="178"/>
      <c r="AQ778" s="178"/>
      <c r="AR778" s="178"/>
      <c r="AS778" s="178"/>
      <c r="AT778" s="178"/>
      <c r="AU778" s="178"/>
      <c r="AV778" s="178"/>
      <c r="AW778" s="178"/>
      <c r="AX778" s="178"/>
    </row>
    <row r="779" spans="1:50" ht="15.75" customHeight="1" x14ac:dyDescent="0.3">
      <c r="A779" s="13"/>
      <c r="B779" s="13"/>
      <c r="C779" s="13"/>
      <c r="E779" s="178"/>
      <c r="H779" s="178"/>
      <c r="J779" s="42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  <c r="AI779" s="178"/>
      <c r="AJ779" s="178"/>
      <c r="AK779" s="178"/>
      <c r="AL779" s="178"/>
      <c r="AM779" s="178"/>
      <c r="AN779" s="178"/>
      <c r="AO779" s="178"/>
      <c r="AP779" s="178"/>
      <c r="AQ779" s="178"/>
      <c r="AR779" s="178"/>
      <c r="AS779" s="178"/>
      <c r="AT779" s="178"/>
      <c r="AU779" s="178"/>
      <c r="AV779" s="178"/>
      <c r="AW779" s="178"/>
      <c r="AX779" s="178"/>
    </row>
    <row r="780" spans="1:50" ht="15.75" customHeight="1" x14ac:dyDescent="0.3">
      <c r="A780" s="13"/>
      <c r="B780" s="13"/>
      <c r="C780" s="13"/>
      <c r="E780" s="178"/>
      <c r="H780" s="178"/>
      <c r="J780" s="42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  <c r="AI780" s="178"/>
      <c r="AJ780" s="178"/>
      <c r="AK780" s="178"/>
      <c r="AL780" s="178"/>
      <c r="AM780" s="178"/>
      <c r="AN780" s="178"/>
      <c r="AO780" s="178"/>
      <c r="AP780" s="178"/>
      <c r="AQ780" s="178"/>
      <c r="AR780" s="178"/>
      <c r="AS780" s="178"/>
      <c r="AT780" s="178"/>
      <c r="AU780" s="178"/>
      <c r="AV780" s="178"/>
      <c r="AW780" s="178"/>
      <c r="AX780" s="178"/>
    </row>
    <row r="781" spans="1:50" ht="15.75" customHeight="1" x14ac:dyDescent="0.3">
      <c r="A781" s="13"/>
      <c r="B781" s="13"/>
      <c r="C781" s="13"/>
      <c r="E781" s="178"/>
      <c r="H781" s="178"/>
      <c r="J781" s="42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  <c r="AI781" s="178"/>
      <c r="AJ781" s="178"/>
      <c r="AK781" s="178"/>
      <c r="AL781" s="178"/>
      <c r="AM781" s="178"/>
      <c r="AN781" s="178"/>
      <c r="AO781" s="178"/>
      <c r="AP781" s="178"/>
      <c r="AQ781" s="178"/>
      <c r="AR781" s="178"/>
      <c r="AS781" s="178"/>
      <c r="AT781" s="178"/>
      <c r="AU781" s="178"/>
      <c r="AV781" s="178"/>
      <c r="AW781" s="178"/>
      <c r="AX781" s="178"/>
    </row>
    <row r="782" spans="1:50" ht="15.75" customHeight="1" x14ac:dyDescent="0.3">
      <c r="A782" s="13"/>
      <c r="B782" s="13"/>
      <c r="C782" s="13"/>
      <c r="E782" s="178"/>
      <c r="H782" s="178"/>
      <c r="J782" s="42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  <c r="AI782" s="178"/>
      <c r="AJ782" s="178"/>
      <c r="AK782" s="178"/>
      <c r="AL782" s="178"/>
      <c r="AM782" s="178"/>
      <c r="AN782" s="178"/>
      <c r="AO782" s="178"/>
      <c r="AP782" s="178"/>
      <c r="AQ782" s="178"/>
      <c r="AR782" s="178"/>
      <c r="AS782" s="178"/>
      <c r="AT782" s="178"/>
      <c r="AU782" s="178"/>
      <c r="AV782" s="178"/>
      <c r="AW782" s="178"/>
      <c r="AX782" s="178"/>
    </row>
    <row r="783" spans="1:50" ht="15.75" customHeight="1" x14ac:dyDescent="0.3">
      <c r="A783" s="13"/>
      <c r="B783" s="13"/>
      <c r="C783" s="13"/>
      <c r="E783" s="178"/>
      <c r="H783" s="178"/>
      <c r="J783" s="42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  <c r="AI783" s="178"/>
      <c r="AJ783" s="178"/>
      <c r="AK783" s="178"/>
      <c r="AL783" s="178"/>
      <c r="AM783" s="178"/>
      <c r="AN783" s="178"/>
      <c r="AO783" s="178"/>
      <c r="AP783" s="178"/>
      <c r="AQ783" s="178"/>
      <c r="AR783" s="178"/>
      <c r="AS783" s="178"/>
      <c r="AT783" s="178"/>
      <c r="AU783" s="178"/>
      <c r="AV783" s="178"/>
      <c r="AW783" s="178"/>
      <c r="AX783" s="178"/>
    </row>
    <row r="784" spans="1:50" ht="15.75" customHeight="1" x14ac:dyDescent="0.3">
      <c r="A784" s="13"/>
      <c r="B784" s="13"/>
      <c r="C784" s="13"/>
      <c r="E784" s="178"/>
      <c r="H784" s="178"/>
      <c r="J784" s="42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  <c r="AI784" s="178"/>
      <c r="AJ784" s="178"/>
      <c r="AK784" s="178"/>
      <c r="AL784" s="178"/>
      <c r="AM784" s="178"/>
      <c r="AN784" s="178"/>
      <c r="AO784" s="178"/>
      <c r="AP784" s="178"/>
      <c r="AQ784" s="178"/>
      <c r="AR784" s="178"/>
      <c r="AS784" s="178"/>
      <c r="AT784" s="178"/>
      <c r="AU784" s="178"/>
      <c r="AV784" s="178"/>
      <c r="AW784" s="178"/>
      <c r="AX784" s="178"/>
    </row>
    <row r="785" spans="1:50" ht="15.75" customHeight="1" x14ac:dyDescent="0.3">
      <c r="A785" s="13"/>
      <c r="B785" s="13"/>
      <c r="C785" s="13"/>
      <c r="E785" s="178"/>
      <c r="H785" s="178"/>
      <c r="J785" s="42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  <c r="AI785" s="178"/>
      <c r="AJ785" s="178"/>
      <c r="AK785" s="178"/>
      <c r="AL785" s="178"/>
      <c r="AM785" s="178"/>
      <c r="AN785" s="178"/>
      <c r="AO785" s="178"/>
      <c r="AP785" s="178"/>
      <c r="AQ785" s="178"/>
      <c r="AR785" s="178"/>
      <c r="AS785" s="178"/>
      <c r="AT785" s="178"/>
      <c r="AU785" s="178"/>
      <c r="AV785" s="178"/>
      <c r="AW785" s="178"/>
      <c r="AX785" s="178"/>
    </row>
    <row r="786" spans="1:50" ht="15.75" customHeight="1" x14ac:dyDescent="0.3">
      <c r="A786" s="13"/>
      <c r="B786" s="13"/>
      <c r="C786" s="13"/>
      <c r="E786" s="178"/>
      <c r="H786" s="178"/>
      <c r="J786" s="42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  <c r="AI786" s="178"/>
      <c r="AJ786" s="178"/>
      <c r="AK786" s="178"/>
      <c r="AL786" s="178"/>
      <c r="AM786" s="178"/>
      <c r="AN786" s="178"/>
      <c r="AO786" s="178"/>
      <c r="AP786" s="178"/>
      <c r="AQ786" s="178"/>
      <c r="AR786" s="178"/>
      <c r="AS786" s="178"/>
      <c r="AT786" s="178"/>
      <c r="AU786" s="178"/>
      <c r="AV786" s="178"/>
      <c r="AW786" s="178"/>
      <c r="AX786" s="178"/>
    </row>
    <row r="787" spans="1:50" ht="15.75" customHeight="1" x14ac:dyDescent="0.3">
      <c r="A787" s="13"/>
      <c r="B787" s="13"/>
      <c r="C787" s="13"/>
      <c r="E787" s="178"/>
      <c r="H787" s="178"/>
      <c r="J787" s="42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  <c r="AI787" s="178"/>
      <c r="AJ787" s="178"/>
      <c r="AK787" s="178"/>
      <c r="AL787" s="178"/>
      <c r="AM787" s="178"/>
      <c r="AN787" s="178"/>
      <c r="AO787" s="178"/>
      <c r="AP787" s="178"/>
      <c r="AQ787" s="178"/>
      <c r="AR787" s="178"/>
      <c r="AS787" s="178"/>
      <c r="AT787" s="178"/>
      <c r="AU787" s="178"/>
      <c r="AV787" s="178"/>
      <c r="AW787" s="178"/>
      <c r="AX787" s="178"/>
    </row>
    <row r="788" spans="1:50" ht="15.75" customHeight="1" x14ac:dyDescent="0.3">
      <c r="A788" s="13"/>
      <c r="B788" s="13"/>
      <c r="C788" s="13"/>
      <c r="E788" s="178"/>
      <c r="H788" s="178"/>
      <c r="J788" s="42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  <c r="AI788" s="178"/>
      <c r="AJ788" s="178"/>
      <c r="AK788" s="178"/>
      <c r="AL788" s="178"/>
      <c r="AM788" s="178"/>
      <c r="AN788" s="178"/>
      <c r="AO788" s="178"/>
      <c r="AP788" s="178"/>
      <c r="AQ788" s="178"/>
      <c r="AR788" s="178"/>
      <c r="AS788" s="178"/>
      <c r="AT788" s="178"/>
      <c r="AU788" s="178"/>
      <c r="AV788" s="178"/>
      <c r="AW788" s="178"/>
      <c r="AX788" s="178"/>
    </row>
    <row r="789" spans="1:50" ht="15.75" customHeight="1" x14ac:dyDescent="0.3">
      <c r="A789" s="13"/>
      <c r="B789" s="13"/>
      <c r="C789" s="13"/>
      <c r="E789" s="178"/>
      <c r="H789" s="178"/>
      <c r="J789" s="42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  <c r="AI789" s="178"/>
      <c r="AJ789" s="178"/>
      <c r="AK789" s="178"/>
      <c r="AL789" s="178"/>
      <c r="AM789" s="178"/>
      <c r="AN789" s="178"/>
      <c r="AO789" s="178"/>
      <c r="AP789" s="178"/>
      <c r="AQ789" s="178"/>
      <c r="AR789" s="178"/>
      <c r="AS789" s="178"/>
      <c r="AT789" s="178"/>
      <c r="AU789" s="178"/>
      <c r="AV789" s="178"/>
      <c r="AW789" s="178"/>
      <c r="AX789" s="178"/>
    </row>
    <row r="790" spans="1:50" ht="15.75" customHeight="1" x14ac:dyDescent="0.3">
      <c r="A790" s="13"/>
      <c r="B790" s="13"/>
      <c r="C790" s="13"/>
      <c r="E790" s="178"/>
      <c r="H790" s="178"/>
      <c r="J790" s="42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  <c r="AI790" s="178"/>
      <c r="AJ790" s="178"/>
      <c r="AK790" s="178"/>
      <c r="AL790" s="178"/>
      <c r="AM790" s="178"/>
      <c r="AN790" s="178"/>
      <c r="AO790" s="178"/>
      <c r="AP790" s="178"/>
      <c r="AQ790" s="178"/>
      <c r="AR790" s="178"/>
      <c r="AS790" s="178"/>
      <c r="AT790" s="178"/>
      <c r="AU790" s="178"/>
      <c r="AV790" s="178"/>
      <c r="AW790" s="178"/>
      <c r="AX790" s="178"/>
    </row>
    <row r="791" spans="1:50" ht="15.75" customHeight="1" x14ac:dyDescent="0.3">
      <c r="A791" s="13"/>
      <c r="B791" s="13"/>
      <c r="C791" s="13"/>
      <c r="E791" s="178"/>
      <c r="H791" s="178"/>
      <c r="J791" s="42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  <c r="AI791" s="178"/>
      <c r="AJ791" s="178"/>
      <c r="AK791" s="178"/>
      <c r="AL791" s="178"/>
      <c r="AM791" s="178"/>
      <c r="AN791" s="178"/>
      <c r="AO791" s="178"/>
      <c r="AP791" s="178"/>
      <c r="AQ791" s="178"/>
      <c r="AR791" s="178"/>
      <c r="AS791" s="178"/>
      <c r="AT791" s="178"/>
      <c r="AU791" s="178"/>
      <c r="AV791" s="178"/>
      <c r="AW791" s="178"/>
      <c r="AX791" s="178"/>
    </row>
    <row r="792" spans="1:50" ht="15.75" customHeight="1" x14ac:dyDescent="0.3">
      <c r="A792" s="13"/>
      <c r="B792" s="13"/>
      <c r="C792" s="13"/>
      <c r="E792" s="178"/>
      <c r="H792" s="178"/>
      <c r="J792" s="42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  <c r="AI792" s="178"/>
      <c r="AJ792" s="178"/>
      <c r="AK792" s="178"/>
      <c r="AL792" s="178"/>
      <c r="AM792" s="178"/>
      <c r="AN792" s="178"/>
      <c r="AO792" s="178"/>
      <c r="AP792" s="178"/>
      <c r="AQ792" s="178"/>
      <c r="AR792" s="178"/>
      <c r="AS792" s="178"/>
      <c r="AT792" s="178"/>
      <c r="AU792" s="178"/>
      <c r="AV792" s="178"/>
      <c r="AW792" s="178"/>
      <c r="AX792" s="178"/>
    </row>
    <row r="793" spans="1:50" ht="15.75" customHeight="1" x14ac:dyDescent="0.3">
      <c r="A793" s="13"/>
      <c r="B793" s="13"/>
      <c r="C793" s="13"/>
      <c r="E793" s="178"/>
      <c r="H793" s="178"/>
      <c r="J793" s="42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  <c r="AI793" s="178"/>
      <c r="AJ793" s="178"/>
      <c r="AK793" s="178"/>
      <c r="AL793" s="178"/>
      <c r="AM793" s="178"/>
      <c r="AN793" s="178"/>
      <c r="AO793" s="178"/>
      <c r="AP793" s="178"/>
      <c r="AQ793" s="178"/>
      <c r="AR793" s="178"/>
      <c r="AS793" s="178"/>
      <c r="AT793" s="178"/>
      <c r="AU793" s="178"/>
      <c r="AV793" s="178"/>
      <c r="AW793" s="178"/>
      <c r="AX793" s="178"/>
    </row>
    <row r="794" spans="1:50" ht="15.75" customHeight="1" x14ac:dyDescent="0.3">
      <c r="A794" s="13"/>
      <c r="B794" s="13"/>
      <c r="C794" s="13"/>
      <c r="E794" s="178"/>
      <c r="H794" s="178"/>
      <c r="J794" s="42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  <c r="AI794" s="178"/>
      <c r="AJ794" s="178"/>
      <c r="AK794" s="178"/>
      <c r="AL794" s="178"/>
      <c r="AM794" s="178"/>
      <c r="AN794" s="178"/>
      <c r="AO794" s="178"/>
      <c r="AP794" s="178"/>
      <c r="AQ794" s="178"/>
      <c r="AR794" s="178"/>
      <c r="AS794" s="178"/>
      <c r="AT794" s="178"/>
      <c r="AU794" s="178"/>
      <c r="AV794" s="178"/>
      <c r="AW794" s="178"/>
      <c r="AX794" s="178"/>
    </row>
    <row r="795" spans="1:50" ht="15.75" customHeight="1" x14ac:dyDescent="0.3">
      <c r="A795" s="13"/>
      <c r="B795" s="13"/>
      <c r="C795" s="13"/>
      <c r="E795" s="178"/>
      <c r="H795" s="178"/>
      <c r="J795" s="42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  <c r="AI795" s="178"/>
      <c r="AJ795" s="178"/>
      <c r="AK795" s="178"/>
      <c r="AL795" s="178"/>
      <c r="AM795" s="178"/>
      <c r="AN795" s="178"/>
      <c r="AO795" s="178"/>
      <c r="AP795" s="178"/>
      <c r="AQ795" s="178"/>
      <c r="AR795" s="178"/>
      <c r="AS795" s="178"/>
      <c r="AT795" s="178"/>
      <c r="AU795" s="178"/>
      <c r="AV795" s="178"/>
      <c r="AW795" s="178"/>
      <c r="AX795" s="178"/>
    </row>
    <row r="796" spans="1:50" ht="15.75" customHeight="1" x14ac:dyDescent="0.3">
      <c r="A796" s="13"/>
      <c r="B796" s="13"/>
      <c r="C796" s="13"/>
      <c r="E796" s="178"/>
      <c r="H796" s="178"/>
      <c r="J796" s="42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  <c r="AI796" s="178"/>
      <c r="AJ796" s="178"/>
      <c r="AK796" s="178"/>
      <c r="AL796" s="178"/>
      <c r="AM796" s="178"/>
      <c r="AN796" s="178"/>
      <c r="AO796" s="178"/>
      <c r="AP796" s="178"/>
      <c r="AQ796" s="178"/>
      <c r="AR796" s="178"/>
      <c r="AS796" s="178"/>
      <c r="AT796" s="178"/>
      <c r="AU796" s="178"/>
      <c r="AV796" s="178"/>
      <c r="AW796" s="178"/>
      <c r="AX796" s="178"/>
    </row>
    <row r="797" spans="1:50" ht="15.75" customHeight="1" x14ac:dyDescent="0.3">
      <c r="A797" s="13"/>
      <c r="B797" s="13"/>
      <c r="C797" s="13"/>
      <c r="E797" s="178"/>
      <c r="H797" s="178"/>
      <c r="J797" s="42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  <c r="AI797" s="178"/>
      <c r="AJ797" s="178"/>
      <c r="AK797" s="178"/>
      <c r="AL797" s="178"/>
      <c r="AM797" s="178"/>
      <c r="AN797" s="178"/>
      <c r="AO797" s="178"/>
      <c r="AP797" s="178"/>
      <c r="AQ797" s="178"/>
      <c r="AR797" s="178"/>
      <c r="AS797" s="178"/>
      <c r="AT797" s="178"/>
      <c r="AU797" s="178"/>
      <c r="AV797" s="178"/>
      <c r="AW797" s="178"/>
      <c r="AX797" s="178"/>
    </row>
    <row r="798" spans="1:50" ht="15.75" customHeight="1" x14ac:dyDescent="0.3">
      <c r="A798" s="13"/>
      <c r="B798" s="13"/>
      <c r="C798" s="13"/>
      <c r="E798" s="178"/>
      <c r="H798" s="178"/>
      <c r="J798" s="42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  <c r="AI798" s="178"/>
      <c r="AJ798" s="178"/>
      <c r="AK798" s="178"/>
      <c r="AL798" s="178"/>
      <c r="AM798" s="178"/>
      <c r="AN798" s="178"/>
      <c r="AO798" s="178"/>
      <c r="AP798" s="178"/>
      <c r="AQ798" s="178"/>
      <c r="AR798" s="178"/>
      <c r="AS798" s="178"/>
      <c r="AT798" s="178"/>
      <c r="AU798" s="178"/>
      <c r="AV798" s="178"/>
      <c r="AW798" s="178"/>
      <c r="AX798" s="178"/>
    </row>
    <row r="799" spans="1:50" ht="15.75" customHeight="1" x14ac:dyDescent="0.3">
      <c r="A799" s="13"/>
      <c r="B799" s="13"/>
      <c r="C799" s="13"/>
      <c r="E799" s="178"/>
      <c r="H799" s="178"/>
      <c r="J799" s="42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  <c r="AI799" s="178"/>
      <c r="AJ799" s="178"/>
      <c r="AK799" s="178"/>
      <c r="AL799" s="178"/>
      <c r="AM799" s="178"/>
      <c r="AN799" s="178"/>
      <c r="AO799" s="178"/>
      <c r="AP799" s="178"/>
      <c r="AQ799" s="178"/>
      <c r="AR799" s="178"/>
      <c r="AS799" s="178"/>
      <c r="AT799" s="178"/>
      <c r="AU799" s="178"/>
      <c r="AV799" s="178"/>
      <c r="AW799" s="178"/>
      <c r="AX799" s="178"/>
    </row>
    <row r="800" spans="1:50" ht="15.75" customHeight="1" x14ac:dyDescent="0.3">
      <c r="A800" s="13"/>
      <c r="B800" s="13"/>
      <c r="C800" s="13"/>
      <c r="E800" s="178"/>
      <c r="H800" s="178"/>
      <c r="J800" s="42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  <c r="AI800" s="178"/>
      <c r="AJ800" s="178"/>
      <c r="AK800" s="178"/>
      <c r="AL800" s="178"/>
      <c r="AM800" s="178"/>
      <c r="AN800" s="178"/>
      <c r="AO800" s="178"/>
      <c r="AP800" s="178"/>
      <c r="AQ800" s="178"/>
      <c r="AR800" s="178"/>
      <c r="AS800" s="178"/>
      <c r="AT800" s="178"/>
      <c r="AU800" s="178"/>
      <c r="AV800" s="178"/>
      <c r="AW800" s="178"/>
      <c r="AX800" s="178"/>
    </row>
    <row r="801" spans="1:50" ht="15.75" customHeight="1" x14ac:dyDescent="0.3">
      <c r="A801" s="13"/>
      <c r="B801" s="13"/>
      <c r="C801" s="13"/>
      <c r="E801" s="178"/>
      <c r="H801" s="178"/>
      <c r="J801" s="42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  <c r="AI801" s="178"/>
      <c r="AJ801" s="178"/>
      <c r="AK801" s="178"/>
      <c r="AL801" s="178"/>
      <c r="AM801" s="178"/>
      <c r="AN801" s="178"/>
      <c r="AO801" s="178"/>
      <c r="AP801" s="178"/>
      <c r="AQ801" s="178"/>
      <c r="AR801" s="178"/>
      <c r="AS801" s="178"/>
      <c r="AT801" s="178"/>
      <c r="AU801" s="178"/>
      <c r="AV801" s="178"/>
      <c r="AW801" s="178"/>
      <c r="AX801" s="178"/>
    </row>
    <row r="802" spans="1:50" ht="15.75" customHeight="1" x14ac:dyDescent="0.3">
      <c r="A802" s="13"/>
      <c r="B802" s="13"/>
      <c r="C802" s="13"/>
      <c r="E802" s="178"/>
      <c r="H802" s="178"/>
      <c r="J802" s="42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  <c r="AI802" s="178"/>
      <c r="AJ802" s="178"/>
      <c r="AK802" s="178"/>
      <c r="AL802" s="178"/>
      <c r="AM802" s="178"/>
      <c r="AN802" s="178"/>
      <c r="AO802" s="178"/>
      <c r="AP802" s="178"/>
      <c r="AQ802" s="178"/>
      <c r="AR802" s="178"/>
      <c r="AS802" s="178"/>
      <c r="AT802" s="178"/>
      <c r="AU802" s="178"/>
      <c r="AV802" s="178"/>
      <c r="AW802" s="178"/>
      <c r="AX802" s="178"/>
    </row>
    <row r="803" spans="1:50" ht="15.75" customHeight="1" x14ac:dyDescent="0.3">
      <c r="A803" s="13"/>
      <c r="B803" s="13"/>
      <c r="C803" s="13"/>
      <c r="E803" s="178"/>
      <c r="H803" s="178"/>
      <c r="J803" s="42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  <c r="AI803" s="178"/>
      <c r="AJ803" s="178"/>
      <c r="AK803" s="178"/>
      <c r="AL803" s="178"/>
      <c r="AM803" s="178"/>
      <c r="AN803" s="178"/>
      <c r="AO803" s="178"/>
      <c r="AP803" s="178"/>
      <c r="AQ803" s="178"/>
      <c r="AR803" s="178"/>
      <c r="AS803" s="178"/>
      <c r="AT803" s="178"/>
      <c r="AU803" s="178"/>
      <c r="AV803" s="178"/>
      <c r="AW803" s="178"/>
      <c r="AX803" s="178"/>
    </row>
    <row r="804" spans="1:50" ht="15.75" customHeight="1" x14ac:dyDescent="0.3">
      <c r="A804" s="13"/>
      <c r="B804" s="13"/>
      <c r="C804" s="13"/>
      <c r="E804" s="178"/>
      <c r="H804" s="178"/>
      <c r="J804" s="42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  <c r="AI804" s="178"/>
      <c r="AJ804" s="178"/>
      <c r="AK804" s="178"/>
      <c r="AL804" s="178"/>
      <c r="AM804" s="178"/>
      <c r="AN804" s="178"/>
      <c r="AO804" s="178"/>
      <c r="AP804" s="178"/>
      <c r="AQ804" s="178"/>
      <c r="AR804" s="178"/>
      <c r="AS804" s="178"/>
      <c r="AT804" s="178"/>
      <c r="AU804" s="178"/>
      <c r="AV804" s="178"/>
      <c r="AW804" s="178"/>
      <c r="AX804" s="178"/>
    </row>
    <row r="805" spans="1:50" ht="15.75" customHeight="1" x14ac:dyDescent="0.3">
      <c r="A805" s="13"/>
      <c r="B805" s="13"/>
      <c r="C805" s="13"/>
      <c r="E805" s="178"/>
      <c r="H805" s="178"/>
      <c r="J805" s="42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  <c r="AI805" s="178"/>
      <c r="AJ805" s="178"/>
      <c r="AK805" s="178"/>
      <c r="AL805" s="178"/>
      <c r="AM805" s="178"/>
      <c r="AN805" s="178"/>
      <c r="AO805" s="178"/>
      <c r="AP805" s="178"/>
      <c r="AQ805" s="178"/>
      <c r="AR805" s="178"/>
      <c r="AS805" s="178"/>
      <c r="AT805" s="178"/>
      <c r="AU805" s="178"/>
      <c r="AV805" s="178"/>
      <c r="AW805" s="178"/>
      <c r="AX805" s="178"/>
    </row>
    <row r="806" spans="1:50" ht="15.75" customHeight="1" x14ac:dyDescent="0.3">
      <c r="A806" s="13"/>
      <c r="B806" s="13"/>
      <c r="C806" s="13"/>
      <c r="E806" s="178"/>
      <c r="H806" s="178"/>
      <c r="J806" s="42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  <c r="AI806" s="178"/>
      <c r="AJ806" s="178"/>
      <c r="AK806" s="178"/>
      <c r="AL806" s="178"/>
      <c r="AM806" s="178"/>
      <c r="AN806" s="178"/>
      <c r="AO806" s="178"/>
      <c r="AP806" s="178"/>
      <c r="AQ806" s="178"/>
      <c r="AR806" s="178"/>
      <c r="AS806" s="178"/>
      <c r="AT806" s="178"/>
      <c r="AU806" s="178"/>
      <c r="AV806" s="178"/>
      <c r="AW806" s="178"/>
      <c r="AX806" s="178"/>
    </row>
    <row r="807" spans="1:50" ht="15.75" customHeight="1" x14ac:dyDescent="0.3">
      <c r="A807" s="13"/>
      <c r="B807" s="13"/>
      <c r="C807" s="13"/>
      <c r="E807" s="178"/>
      <c r="H807" s="178"/>
      <c r="J807" s="42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  <c r="AI807" s="178"/>
      <c r="AJ807" s="178"/>
      <c r="AK807" s="178"/>
      <c r="AL807" s="178"/>
      <c r="AM807" s="178"/>
      <c r="AN807" s="178"/>
      <c r="AO807" s="178"/>
      <c r="AP807" s="178"/>
      <c r="AQ807" s="178"/>
      <c r="AR807" s="178"/>
      <c r="AS807" s="178"/>
      <c r="AT807" s="178"/>
      <c r="AU807" s="178"/>
      <c r="AV807" s="178"/>
      <c r="AW807" s="178"/>
      <c r="AX807" s="178"/>
    </row>
    <row r="808" spans="1:50" ht="15.75" customHeight="1" x14ac:dyDescent="0.3">
      <c r="A808" s="13"/>
      <c r="B808" s="13"/>
      <c r="C808" s="13"/>
      <c r="E808" s="178"/>
      <c r="H808" s="178"/>
      <c r="J808" s="42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8"/>
      <c r="AP808" s="178"/>
      <c r="AQ808" s="178"/>
      <c r="AR808" s="178"/>
      <c r="AS808" s="178"/>
      <c r="AT808" s="178"/>
      <c r="AU808" s="178"/>
      <c r="AV808" s="178"/>
      <c r="AW808" s="178"/>
      <c r="AX808" s="178"/>
    </row>
    <row r="809" spans="1:50" ht="15.75" customHeight="1" x14ac:dyDescent="0.3">
      <c r="A809" s="13"/>
      <c r="B809" s="13"/>
      <c r="C809" s="13"/>
      <c r="E809" s="178"/>
      <c r="H809" s="178"/>
      <c r="J809" s="42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  <c r="AI809" s="178"/>
      <c r="AJ809" s="178"/>
      <c r="AK809" s="178"/>
      <c r="AL809" s="178"/>
      <c r="AM809" s="178"/>
      <c r="AN809" s="178"/>
      <c r="AO809" s="178"/>
      <c r="AP809" s="178"/>
      <c r="AQ809" s="178"/>
      <c r="AR809" s="178"/>
      <c r="AS809" s="178"/>
      <c r="AT809" s="178"/>
      <c r="AU809" s="178"/>
      <c r="AV809" s="178"/>
      <c r="AW809" s="178"/>
      <c r="AX809" s="178"/>
    </row>
    <row r="810" spans="1:50" ht="15.75" customHeight="1" x14ac:dyDescent="0.3">
      <c r="A810" s="13"/>
      <c r="B810" s="13"/>
      <c r="C810" s="13"/>
      <c r="E810" s="178"/>
      <c r="H810" s="178"/>
      <c r="J810" s="42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  <c r="AI810" s="178"/>
      <c r="AJ810" s="178"/>
      <c r="AK810" s="178"/>
      <c r="AL810" s="178"/>
      <c r="AM810" s="178"/>
      <c r="AN810" s="178"/>
      <c r="AO810" s="178"/>
      <c r="AP810" s="178"/>
      <c r="AQ810" s="178"/>
      <c r="AR810" s="178"/>
      <c r="AS810" s="178"/>
      <c r="AT810" s="178"/>
      <c r="AU810" s="178"/>
      <c r="AV810" s="178"/>
      <c r="AW810" s="178"/>
      <c r="AX810" s="178"/>
    </row>
    <row r="811" spans="1:50" ht="15.75" customHeight="1" x14ac:dyDescent="0.3">
      <c r="A811" s="13"/>
      <c r="B811" s="13"/>
      <c r="C811" s="13"/>
      <c r="E811" s="178"/>
      <c r="H811" s="178"/>
      <c r="J811" s="42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  <c r="AI811" s="178"/>
      <c r="AJ811" s="178"/>
      <c r="AK811" s="178"/>
      <c r="AL811" s="178"/>
      <c r="AM811" s="178"/>
      <c r="AN811" s="178"/>
      <c r="AO811" s="178"/>
      <c r="AP811" s="178"/>
      <c r="AQ811" s="178"/>
      <c r="AR811" s="178"/>
      <c r="AS811" s="178"/>
      <c r="AT811" s="178"/>
      <c r="AU811" s="178"/>
      <c r="AV811" s="178"/>
      <c r="AW811" s="178"/>
      <c r="AX811" s="178"/>
    </row>
    <row r="812" spans="1:50" ht="15.75" customHeight="1" x14ac:dyDescent="0.3">
      <c r="A812" s="13"/>
      <c r="B812" s="13"/>
      <c r="C812" s="13"/>
      <c r="E812" s="178"/>
      <c r="H812" s="178"/>
      <c r="J812" s="42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  <c r="AI812" s="178"/>
      <c r="AJ812" s="178"/>
      <c r="AK812" s="178"/>
      <c r="AL812" s="178"/>
      <c r="AM812" s="178"/>
      <c r="AN812" s="178"/>
      <c r="AO812" s="178"/>
      <c r="AP812" s="178"/>
      <c r="AQ812" s="178"/>
      <c r="AR812" s="178"/>
      <c r="AS812" s="178"/>
      <c r="AT812" s="178"/>
      <c r="AU812" s="178"/>
      <c r="AV812" s="178"/>
      <c r="AW812" s="178"/>
      <c r="AX812" s="178"/>
    </row>
    <row r="813" spans="1:50" ht="15.75" customHeight="1" x14ac:dyDescent="0.3">
      <c r="A813" s="13"/>
      <c r="B813" s="13"/>
      <c r="C813" s="13"/>
      <c r="E813" s="178"/>
      <c r="H813" s="178"/>
      <c r="J813" s="42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  <c r="AI813" s="178"/>
      <c r="AJ813" s="178"/>
      <c r="AK813" s="178"/>
      <c r="AL813" s="178"/>
      <c r="AM813" s="178"/>
      <c r="AN813" s="178"/>
      <c r="AO813" s="178"/>
      <c r="AP813" s="178"/>
      <c r="AQ813" s="178"/>
      <c r="AR813" s="178"/>
      <c r="AS813" s="178"/>
      <c r="AT813" s="178"/>
      <c r="AU813" s="178"/>
      <c r="AV813" s="178"/>
      <c r="AW813" s="178"/>
      <c r="AX813" s="178"/>
    </row>
    <row r="814" spans="1:50" ht="15.75" customHeight="1" x14ac:dyDescent="0.3">
      <c r="A814" s="13"/>
      <c r="B814" s="13"/>
      <c r="C814" s="13"/>
      <c r="E814" s="178"/>
      <c r="H814" s="178"/>
      <c r="J814" s="42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  <c r="AI814" s="178"/>
      <c r="AJ814" s="178"/>
      <c r="AK814" s="178"/>
      <c r="AL814" s="178"/>
      <c r="AM814" s="178"/>
      <c r="AN814" s="178"/>
      <c r="AO814" s="178"/>
      <c r="AP814" s="178"/>
      <c r="AQ814" s="178"/>
      <c r="AR814" s="178"/>
      <c r="AS814" s="178"/>
      <c r="AT814" s="178"/>
      <c r="AU814" s="178"/>
      <c r="AV814" s="178"/>
      <c r="AW814" s="178"/>
      <c r="AX814" s="178"/>
    </row>
    <row r="815" spans="1:50" ht="15.75" customHeight="1" x14ac:dyDescent="0.3">
      <c r="A815" s="13"/>
      <c r="B815" s="13"/>
      <c r="C815" s="13"/>
      <c r="E815" s="178"/>
      <c r="H815" s="178"/>
      <c r="J815" s="42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  <c r="AI815" s="178"/>
      <c r="AJ815" s="178"/>
      <c r="AK815" s="178"/>
      <c r="AL815" s="178"/>
      <c r="AM815" s="178"/>
      <c r="AN815" s="178"/>
      <c r="AO815" s="178"/>
      <c r="AP815" s="178"/>
      <c r="AQ815" s="178"/>
      <c r="AR815" s="178"/>
      <c r="AS815" s="178"/>
      <c r="AT815" s="178"/>
      <c r="AU815" s="178"/>
      <c r="AV815" s="178"/>
      <c r="AW815" s="178"/>
      <c r="AX815" s="178"/>
    </row>
    <row r="816" spans="1:50" ht="15.75" customHeight="1" x14ac:dyDescent="0.3">
      <c r="A816" s="13"/>
      <c r="B816" s="13"/>
      <c r="C816" s="13"/>
      <c r="E816" s="178"/>
      <c r="H816" s="178"/>
      <c r="J816" s="42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  <c r="AI816" s="178"/>
      <c r="AJ816" s="178"/>
      <c r="AK816" s="178"/>
      <c r="AL816" s="178"/>
      <c r="AM816" s="178"/>
      <c r="AN816" s="178"/>
      <c r="AO816" s="178"/>
      <c r="AP816" s="178"/>
      <c r="AQ816" s="178"/>
      <c r="AR816" s="178"/>
      <c r="AS816" s="178"/>
      <c r="AT816" s="178"/>
      <c r="AU816" s="178"/>
      <c r="AV816" s="178"/>
      <c r="AW816" s="178"/>
      <c r="AX816" s="178"/>
    </row>
    <row r="817" spans="1:50" ht="15.75" customHeight="1" x14ac:dyDescent="0.3">
      <c r="A817" s="13"/>
      <c r="B817" s="13"/>
      <c r="C817" s="13"/>
      <c r="E817" s="178"/>
      <c r="H817" s="178"/>
      <c r="J817" s="42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  <c r="AI817" s="178"/>
      <c r="AJ817" s="178"/>
      <c r="AK817" s="178"/>
      <c r="AL817" s="178"/>
      <c r="AM817" s="178"/>
      <c r="AN817" s="178"/>
      <c r="AO817" s="178"/>
      <c r="AP817" s="178"/>
      <c r="AQ817" s="178"/>
      <c r="AR817" s="178"/>
      <c r="AS817" s="178"/>
      <c r="AT817" s="178"/>
      <c r="AU817" s="178"/>
      <c r="AV817" s="178"/>
      <c r="AW817" s="178"/>
      <c r="AX817" s="178"/>
    </row>
    <row r="818" spans="1:50" ht="15.75" customHeight="1" x14ac:dyDescent="0.3">
      <c r="A818" s="13"/>
      <c r="B818" s="13"/>
      <c r="C818" s="13"/>
      <c r="E818" s="178"/>
      <c r="H818" s="178"/>
      <c r="J818" s="42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  <c r="AI818" s="178"/>
      <c r="AJ818" s="178"/>
      <c r="AK818" s="178"/>
      <c r="AL818" s="178"/>
      <c r="AM818" s="178"/>
      <c r="AN818" s="178"/>
      <c r="AO818" s="178"/>
      <c r="AP818" s="178"/>
      <c r="AQ818" s="178"/>
      <c r="AR818" s="178"/>
      <c r="AS818" s="178"/>
      <c r="AT818" s="178"/>
      <c r="AU818" s="178"/>
      <c r="AV818" s="178"/>
      <c r="AW818" s="178"/>
      <c r="AX818" s="178"/>
    </row>
    <row r="819" spans="1:50" ht="15.75" customHeight="1" x14ac:dyDescent="0.3">
      <c r="A819" s="13"/>
      <c r="B819" s="13"/>
      <c r="C819" s="13"/>
      <c r="E819" s="178"/>
      <c r="H819" s="178"/>
      <c r="J819" s="42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  <c r="AI819" s="178"/>
      <c r="AJ819" s="178"/>
      <c r="AK819" s="178"/>
      <c r="AL819" s="178"/>
      <c r="AM819" s="178"/>
      <c r="AN819" s="178"/>
      <c r="AO819" s="178"/>
      <c r="AP819" s="178"/>
      <c r="AQ819" s="178"/>
      <c r="AR819" s="178"/>
      <c r="AS819" s="178"/>
      <c r="AT819" s="178"/>
      <c r="AU819" s="178"/>
      <c r="AV819" s="178"/>
      <c r="AW819" s="178"/>
      <c r="AX819" s="178"/>
    </row>
    <row r="820" spans="1:50" ht="15.75" customHeight="1" x14ac:dyDescent="0.3">
      <c r="A820" s="13"/>
      <c r="B820" s="13"/>
      <c r="C820" s="13"/>
      <c r="E820" s="178"/>
      <c r="H820" s="178"/>
      <c r="J820" s="42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  <c r="AI820" s="178"/>
      <c r="AJ820" s="178"/>
      <c r="AK820" s="178"/>
      <c r="AL820" s="178"/>
      <c r="AM820" s="178"/>
      <c r="AN820" s="178"/>
      <c r="AO820" s="178"/>
      <c r="AP820" s="178"/>
      <c r="AQ820" s="178"/>
      <c r="AR820" s="178"/>
      <c r="AS820" s="178"/>
      <c r="AT820" s="178"/>
      <c r="AU820" s="178"/>
      <c r="AV820" s="178"/>
      <c r="AW820" s="178"/>
      <c r="AX820" s="178"/>
    </row>
    <row r="821" spans="1:50" ht="15.75" customHeight="1" x14ac:dyDescent="0.3">
      <c r="A821" s="13"/>
      <c r="B821" s="13"/>
      <c r="C821" s="13"/>
      <c r="E821" s="178"/>
      <c r="H821" s="178"/>
      <c r="J821" s="42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78"/>
      <c r="AP821" s="178"/>
      <c r="AQ821" s="178"/>
      <c r="AR821" s="178"/>
      <c r="AS821" s="178"/>
      <c r="AT821" s="178"/>
      <c r="AU821" s="178"/>
      <c r="AV821" s="178"/>
      <c r="AW821" s="178"/>
      <c r="AX821" s="178"/>
    </row>
    <row r="822" spans="1:50" ht="15.75" customHeight="1" x14ac:dyDescent="0.3">
      <c r="A822" s="13"/>
      <c r="B822" s="13"/>
      <c r="C822" s="13"/>
      <c r="E822" s="178"/>
      <c r="H822" s="178"/>
      <c r="J822" s="42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  <c r="AI822" s="178"/>
      <c r="AJ822" s="178"/>
      <c r="AK822" s="178"/>
      <c r="AL822" s="178"/>
      <c r="AM822" s="178"/>
      <c r="AN822" s="178"/>
      <c r="AO822" s="178"/>
      <c r="AP822" s="178"/>
      <c r="AQ822" s="178"/>
      <c r="AR822" s="178"/>
      <c r="AS822" s="178"/>
      <c r="AT822" s="178"/>
      <c r="AU822" s="178"/>
      <c r="AV822" s="178"/>
      <c r="AW822" s="178"/>
      <c r="AX822" s="178"/>
    </row>
    <row r="823" spans="1:50" ht="15.75" customHeight="1" x14ac:dyDescent="0.3">
      <c r="A823" s="13"/>
      <c r="B823" s="13"/>
      <c r="C823" s="13"/>
      <c r="E823" s="178"/>
      <c r="H823" s="178"/>
      <c r="J823" s="42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  <c r="AI823" s="178"/>
      <c r="AJ823" s="178"/>
      <c r="AK823" s="178"/>
      <c r="AL823" s="178"/>
      <c r="AM823" s="178"/>
      <c r="AN823" s="178"/>
      <c r="AO823" s="178"/>
      <c r="AP823" s="178"/>
      <c r="AQ823" s="178"/>
      <c r="AR823" s="178"/>
      <c r="AS823" s="178"/>
      <c r="AT823" s="178"/>
      <c r="AU823" s="178"/>
      <c r="AV823" s="178"/>
      <c r="AW823" s="178"/>
      <c r="AX823" s="178"/>
    </row>
    <row r="824" spans="1:50" ht="15.75" customHeight="1" x14ac:dyDescent="0.3">
      <c r="A824" s="13"/>
      <c r="B824" s="13"/>
      <c r="C824" s="13"/>
      <c r="E824" s="178"/>
      <c r="H824" s="178"/>
      <c r="J824" s="42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  <c r="AI824" s="178"/>
      <c r="AJ824" s="178"/>
      <c r="AK824" s="178"/>
      <c r="AL824" s="178"/>
      <c r="AM824" s="178"/>
      <c r="AN824" s="178"/>
      <c r="AO824" s="178"/>
      <c r="AP824" s="178"/>
      <c r="AQ824" s="178"/>
      <c r="AR824" s="178"/>
      <c r="AS824" s="178"/>
      <c r="AT824" s="178"/>
      <c r="AU824" s="178"/>
      <c r="AV824" s="178"/>
      <c r="AW824" s="178"/>
      <c r="AX824" s="178"/>
    </row>
    <row r="825" spans="1:50" ht="15.75" customHeight="1" x14ac:dyDescent="0.3">
      <c r="A825" s="13"/>
      <c r="B825" s="13"/>
      <c r="C825" s="13"/>
      <c r="E825" s="178"/>
      <c r="H825" s="178"/>
      <c r="J825" s="42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  <c r="AI825" s="178"/>
      <c r="AJ825" s="178"/>
      <c r="AK825" s="178"/>
      <c r="AL825" s="178"/>
      <c r="AM825" s="178"/>
      <c r="AN825" s="178"/>
      <c r="AO825" s="178"/>
      <c r="AP825" s="178"/>
      <c r="AQ825" s="178"/>
      <c r="AR825" s="178"/>
      <c r="AS825" s="178"/>
      <c r="AT825" s="178"/>
      <c r="AU825" s="178"/>
      <c r="AV825" s="178"/>
      <c r="AW825" s="178"/>
      <c r="AX825" s="178"/>
    </row>
    <row r="826" spans="1:50" ht="15.75" customHeight="1" x14ac:dyDescent="0.3">
      <c r="A826" s="13"/>
      <c r="B826" s="13"/>
      <c r="C826" s="13"/>
      <c r="E826" s="178"/>
      <c r="H826" s="178"/>
      <c r="J826" s="42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  <c r="AI826" s="178"/>
      <c r="AJ826" s="178"/>
      <c r="AK826" s="178"/>
      <c r="AL826" s="178"/>
      <c r="AM826" s="178"/>
      <c r="AN826" s="178"/>
      <c r="AO826" s="178"/>
      <c r="AP826" s="178"/>
      <c r="AQ826" s="178"/>
      <c r="AR826" s="178"/>
      <c r="AS826" s="178"/>
      <c r="AT826" s="178"/>
      <c r="AU826" s="178"/>
      <c r="AV826" s="178"/>
      <c r="AW826" s="178"/>
      <c r="AX826" s="178"/>
    </row>
    <row r="827" spans="1:50" ht="15.75" customHeight="1" x14ac:dyDescent="0.3">
      <c r="A827" s="13"/>
      <c r="B827" s="13"/>
      <c r="C827" s="13"/>
      <c r="E827" s="178"/>
      <c r="H827" s="178"/>
      <c r="J827" s="42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78"/>
      <c r="AP827" s="178"/>
      <c r="AQ827" s="178"/>
      <c r="AR827" s="178"/>
      <c r="AS827" s="178"/>
      <c r="AT827" s="178"/>
      <c r="AU827" s="178"/>
      <c r="AV827" s="178"/>
      <c r="AW827" s="178"/>
      <c r="AX827" s="178"/>
    </row>
    <row r="828" spans="1:50" ht="15.75" customHeight="1" x14ac:dyDescent="0.3">
      <c r="A828" s="13"/>
      <c r="B828" s="13"/>
      <c r="C828" s="13"/>
      <c r="E828" s="178"/>
      <c r="H828" s="178"/>
      <c r="J828" s="42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  <c r="AI828" s="178"/>
      <c r="AJ828" s="178"/>
      <c r="AK828" s="178"/>
      <c r="AL828" s="178"/>
      <c r="AM828" s="178"/>
      <c r="AN828" s="178"/>
      <c r="AO828" s="178"/>
      <c r="AP828" s="178"/>
      <c r="AQ828" s="178"/>
      <c r="AR828" s="178"/>
      <c r="AS828" s="178"/>
      <c r="AT828" s="178"/>
      <c r="AU828" s="178"/>
      <c r="AV828" s="178"/>
      <c r="AW828" s="178"/>
      <c r="AX828" s="178"/>
    </row>
    <row r="829" spans="1:50" ht="15.75" customHeight="1" x14ac:dyDescent="0.3">
      <c r="A829" s="13"/>
      <c r="B829" s="13"/>
      <c r="C829" s="13"/>
      <c r="E829" s="178"/>
      <c r="H829" s="178"/>
      <c r="J829" s="42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  <c r="AI829" s="178"/>
      <c r="AJ829" s="178"/>
      <c r="AK829" s="178"/>
      <c r="AL829" s="178"/>
      <c r="AM829" s="178"/>
      <c r="AN829" s="178"/>
      <c r="AO829" s="178"/>
      <c r="AP829" s="178"/>
      <c r="AQ829" s="178"/>
      <c r="AR829" s="178"/>
      <c r="AS829" s="178"/>
      <c r="AT829" s="178"/>
      <c r="AU829" s="178"/>
      <c r="AV829" s="178"/>
      <c r="AW829" s="178"/>
      <c r="AX829" s="178"/>
    </row>
    <row r="830" spans="1:50" ht="15.75" customHeight="1" x14ac:dyDescent="0.3">
      <c r="A830" s="13"/>
      <c r="B830" s="13"/>
      <c r="C830" s="13"/>
      <c r="E830" s="178"/>
      <c r="H830" s="178"/>
      <c r="J830" s="42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  <c r="AI830" s="178"/>
      <c r="AJ830" s="178"/>
      <c r="AK830" s="178"/>
      <c r="AL830" s="178"/>
      <c r="AM830" s="178"/>
      <c r="AN830" s="178"/>
      <c r="AO830" s="178"/>
      <c r="AP830" s="178"/>
      <c r="AQ830" s="178"/>
      <c r="AR830" s="178"/>
      <c r="AS830" s="178"/>
      <c r="AT830" s="178"/>
      <c r="AU830" s="178"/>
      <c r="AV830" s="178"/>
      <c r="AW830" s="178"/>
      <c r="AX830" s="178"/>
    </row>
    <row r="831" spans="1:50" ht="15.75" customHeight="1" x14ac:dyDescent="0.3">
      <c r="A831" s="13"/>
      <c r="B831" s="13"/>
      <c r="C831" s="13"/>
      <c r="E831" s="178"/>
      <c r="H831" s="178"/>
      <c r="J831" s="42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  <c r="AI831" s="178"/>
      <c r="AJ831" s="178"/>
      <c r="AK831" s="178"/>
      <c r="AL831" s="178"/>
      <c r="AM831" s="178"/>
      <c r="AN831" s="178"/>
      <c r="AO831" s="178"/>
      <c r="AP831" s="178"/>
      <c r="AQ831" s="178"/>
      <c r="AR831" s="178"/>
      <c r="AS831" s="178"/>
      <c r="AT831" s="178"/>
      <c r="AU831" s="178"/>
      <c r="AV831" s="178"/>
      <c r="AW831" s="178"/>
      <c r="AX831" s="178"/>
    </row>
    <row r="832" spans="1:50" ht="15.75" customHeight="1" x14ac:dyDescent="0.3">
      <c r="A832" s="13"/>
      <c r="B832" s="13"/>
      <c r="C832" s="13"/>
      <c r="E832" s="178"/>
      <c r="H832" s="178"/>
      <c r="J832" s="42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  <c r="AI832" s="178"/>
      <c r="AJ832" s="178"/>
      <c r="AK832" s="178"/>
      <c r="AL832" s="178"/>
      <c r="AM832" s="178"/>
      <c r="AN832" s="178"/>
      <c r="AO832" s="178"/>
      <c r="AP832" s="178"/>
      <c r="AQ832" s="178"/>
      <c r="AR832" s="178"/>
      <c r="AS832" s="178"/>
      <c r="AT832" s="178"/>
      <c r="AU832" s="178"/>
      <c r="AV832" s="178"/>
      <c r="AW832" s="178"/>
      <c r="AX832" s="178"/>
    </row>
    <row r="833" spans="1:50" ht="15.75" customHeight="1" x14ac:dyDescent="0.3">
      <c r="A833" s="13"/>
      <c r="B833" s="13"/>
      <c r="C833" s="13"/>
      <c r="E833" s="178"/>
      <c r="H833" s="178"/>
      <c r="J833" s="42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78"/>
      <c r="AP833" s="178"/>
      <c r="AQ833" s="178"/>
      <c r="AR833" s="178"/>
      <c r="AS833" s="178"/>
      <c r="AT833" s="178"/>
      <c r="AU833" s="178"/>
      <c r="AV833" s="178"/>
      <c r="AW833" s="178"/>
      <c r="AX833" s="178"/>
    </row>
    <row r="834" spans="1:50" ht="15.75" customHeight="1" x14ac:dyDescent="0.3">
      <c r="A834" s="13"/>
      <c r="B834" s="13"/>
      <c r="C834" s="13"/>
      <c r="E834" s="178"/>
      <c r="H834" s="178"/>
      <c r="J834" s="42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  <c r="AI834" s="178"/>
      <c r="AJ834" s="178"/>
      <c r="AK834" s="178"/>
      <c r="AL834" s="178"/>
      <c r="AM834" s="178"/>
      <c r="AN834" s="178"/>
      <c r="AO834" s="178"/>
      <c r="AP834" s="178"/>
      <c r="AQ834" s="178"/>
      <c r="AR834" s="178"/>
      <c r="AS834" s="178"/>
      <c r="AT834" s="178"/>
      <c r="AU834" s="178"/>
      <c r="AV834" s="178"/>
      <c r="AW834" s="178"/>
      <c r="AX834" s="178"/>
    </row>
    <row r="835" spans="1:50" ht="15.75" customHeight="1" x14ac:dyDescent="0.3">
      <c r="A835" s="13"/>
      <c r="B835" s="13"/>
      <c r="C835" s="13"/>
      <c r="E835" s="178"/>
      <c r="H835" s="178"/>
      <c r="J835" s="42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  <c r="AI835" s="178"/>
      <c r="AJ835" s="178"/>
      <c r="AK835" s="178"/>
      <c r="AL835" s="178"/>
      <c r="AM835" s="178"/>
      <c r="AN835" s="178"/>
      <c r="AO835" s="178"/>
      <c r="AP835" s="178"/>
      <c r="AQ835" s="178"/>
      <c r="AR835" s="178"/>
      <c r="AS835" s="178"/>
      <c r="AT835" s="178"/>
      <c r="AU835" s="178"/>
      <c r="AV835" s="178"/>
      <c r="AW835" s="178"/>
      <c r="AX835" s="178"/>
    </row>
    <row r="836" spans="1:50" ht="15.75" customHeight="1" x14ac:dyDescent="0.3">
      <c r="A836" s="13"/>
      <c r="B836" s="13"/>
      <c r="C836" s="13"/>
      <c r="E836" s="178"/>
      <c r="H836" s="178"/>
      <c r="J836" s="42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  <c r="AI836" s="178"/>
      <c r="AJ836" s="178"/>
      <c r="AK836" s="178"/>
      <c r="AL836" s="178"/>
      <c r="AM836" s="178"/>
      <c r="AN836" s="178"/>
      <c r="AO836" s="178"/>
      <c r="AP836" s="178"/>
      <c r="AQ836" s="178"/>
      <c r="AR836" s="178"/>
      <c r="AS836" s="178"/>
      <c r="AT836" s="178"/>
      <c r="AU836" s="178"/>
      <c r="AV836" s="178"/>
      <c r="AW836" s="178"/>
      <c r="AX836" s="178"/>
    </row>
    <row r="837" spans="1:50" ht="15.75" customHeight="1" x14ac:dyDescent="0.3">
      <c r="A837" s="13"/>
      <c r="B837" s="13"/>
      <c r="C837" s="13"/>
      <c r="E837" s="178"/>
      <c r="H837" s="178"/>
      <c r="J837" s="42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  <c r="AI837" s="178"/>
      <c r="AJ837" s="178"/>
      <c r="AK837" s="178"/>
      <c r="AL837" s="178"/>
      <c r="AM837" s="178"/>
      <c r="AN837" s="178"/>
      <c r="AO837" s="178"/>
      <c r="AP837" s="178"/>
      <c r="AQ837" s="178"/>
      <c r="AR837" s="178"/>
      <c r="AS837" s="178"/>
      <c r="AT837" s="178"/>
      <c r="AU837" s="178"/>
      <c r="AV837" s="178"/>
      <c r="AW837" s="178"/>
      <c r="AX837" s="178"/>
    </row>
    <row r="838" spans="1:50" ht="15.75" customHeight="1" x14ac:dyDescent="0.3">
      <c r="A838" s="13"/>
      <c r="B838" s="13"/>
      <c r="C838" s="13"/>
      <c r="E838" s="178"/>
      <c r="H838" s="178"/>
      <c r="J838" s="42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  <c r="AI838" s="178"/>
      <c r="AJ838" s="178"/>
      <c r="AK838" s="178"/>
      <c r="AL838" s="178"/>
      <c r="AM838" s="178"/>
      <c r="AN838" s="178"/>
      <c r="AO838" s="178"/>
      <c r="AP838" s="178"/>
      <c r="AQ838" s="178"/>
      <c r="AR838" s="178"/>
      <c r="AS838" s="178"/>
      <c r="AT838" s="178"/>
      <c r="AU838" s="178"/>
      <c r="AV838" s="178"/>
      <c r="AW838" s="178"/>
      <c r="AX838" s="178"/>
    </row>
    <row r="839" spans="1:50" ht="15.75" customHeight="1" x14ac:dyDescent="0.3">
      <c r="A839" s="13"/>
      <c r="B839" s="13"/>
      <c r="C839" s="13"/>
      <c r="E839" s="178"/>
      <c r="H839" s="178"/>
      <c r="J839" s="42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78"/>
      <c r="AP839" s="178"/>
      <c r="AQ839" s="178"/>
      <c r="AR839" s="178"/>
      <c r="AS839" s="178"/>
      <c r="AT839" s="178"/>
      <c r="AU839" s="178"/>
      <c r="AV839" s="178"/>
      <c r="AW839" s="178"/>
      <c r="AX839" s="178"/>
    </row>
    <row r="840" spans="1:50" ht="15.75" customHeight="1" x14ac:dyDescent="0.3">
      <c r="A840" s="13"/>
      <c r="B840" s="13"/>
      <c r="C840" s="13"/>
      <c r="E840" s="178"/>
      <c r="H840" s="178"/>
      <c r="J840" s="42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  <c r="AI840" s="178"/>
      <c r="AJ840" s="178"/>
      <c r="AK840" s="178"/>
      <c r="AL840" s="178"/>
      <c r="AM840" s="178"/>
      <c r="AN840" s="178"/>
      <c r="AO840" s="178"/>
      <c r="AP840" s="178"/>
      <c r="AQ840" s="178"/>
      <c r="AR840" s="178"/>
      <c r="AS840" s="178"/>
      <c r="AT840" s="178"/>
      <c r="AU840" s="178"/>
      <c r="AV840" s="178"/>
      <c r="AW840" s="178"/>
      <c r="AX840" s="178"/>
    </row>
    <row r="841" spans="1:50" ht="15.75" customHeight="1" x14ac:dyDescent="0.3">
      <c r="A841" s="13"/>
      <c r="B841" s="13"/>
      <c r="C841" s="13"/>
      <c r="E841" s="178"/>
      <c r="H841" s="178"/>
      <c r="J841" s="42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  <c r="AI841" s="178"/>
      <c r="AJ841" s="178"/>
      <c r="AK841" s="178"/>
      <c r="AL841" s="178"/>
      <c r="AM841" s="178"/>
      <c r="AN841" s="178"/>
      <c r="AO841" s="178"/>
      <c r="AP841" s="178"/>
      <c r="AQ841" s="178"/>
      <c r="AR841" s="178"/>
      <c r="AS841" s="178"/>
      <c r="AT841" s="178"/>
      <c r="AU841" s="178"/>
      <c r="AV841" s="178"/>
      <c r="AW841" s="178"/>
      <c r="AX841" s="178"/>
    </row>
    <row r="842" spans="1:50" ht="15.75" customHeight="1" x14ac:dyDescent="0.3">
      <c r="A842" s="13"/>
      <c r="B842" s="13"/>
      <c r="C842" s="13"/>
      <c r="E842" s="178"/>
      <c r="H842" s="178"/>
      <c r="J842" s="42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  <c r="AI842" s="178"/>
      <c r="AJ842" s="178"/>
      <c r="AK842" s="178"/>
      <c r="AL842" s="178"/>
      <c r="AM842" s="178"/>
      <c r="AN842" s="178"/>
      <c r="AO842" s="178"/>
      <c r="AP842" s="178"/>
      <c r="AQ842" s="178"/>
      <c r="AR842" s="178"/>
      <c r="AS842" s="178"/>
      <c r="AT842" s="178"/>
      <c r="AU842" s="178"/>
      <c r="AV842" s="178"/>
      <c r="AW842" s="178"/>
      <c r="AX842" s="178"/>
    </row>
    <row r="843" spans="1:50" ht="15.75" customHeight="1" x14ac:dyDescent="0.3">
      <c r="A843" s="13"/>
      <c r="B843" s="13"/>
      <c r="C843" s="13"/>
      <c r="E843" s="178"/>
      <c r="H843" s="178"/>
      <c r="J843" s="42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  <c r="AI843" s="178"/>
      <c r="AJ843" s="178"/>
      <c r="AK843" s="178"/>
      <c r="AL843" s="178"/>
      <c r="AM843" s="178"/>
      <c r="AN843" s="178"/>
      <c r="AO843" s="178"/>
      <c r="AP843" s="178"/>
      <c r="AQ843" s="178"/>
      <c r="AR843" s="178"/>
      <c r="AS843" s="178"/>
      <c r="AT843" s="178"/>
      <c r="AU843" s="178"/>
      <c r="AV843" s="178"/>
      <c r="AW843" s="178"/>
      <c r="AX843" s="178"/>
    </row>
    <row r="844" spans="1:50" ht="15.75" customHeight="1" x14ac:dyDescent="0.3">
      <c r="A844" s="13"/>
      <c r="B844" s="13"/>
      <c r="C844" s="13"/>
      <c r="E844" s="178"/>
      <c r="H844" s="178"/>
      <c r="J844" s="42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  <c r="AI844" s="178"/>
      <c r="AJ844" s="178"/>
      <c r="AK844" s="178"/>
      <c r="AL844" s="178"/>
      <c r="AM844" s="178"/>
      <c r="AN844" s="178"/>
      <c r="AO844" s="178"/>
      <c r="AP844" s="178"/>
      <c r="AQ844" s="178"/>
      <c r="AR844" s="178"/>
      <c r="AS844" s="178"/>
      <c r="AT844" s="178"/>
      <c r="AU844" s="178"/>
      <c r="AV844" s="178"/>
      <c r="AW844" s="178"/>
      <c r="AX844" s="178"/>
    </row>
    <row r="845" spans="1:50" ht="15.75" customHeight="1" x14ac:dyDescent="0.3">
      <c r="A845" s="13"/>
      <c r="B845" s="13"/>
      <c r="C845" s="13"/>
      <c r="E845" s="178"/>
      <c r="H845" s="178"/>
      <c r="J845" s="42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78"/>
      <c r="AP845" s="178"/>
      <c r="AQ845" s="178"/>
      <c r="AR845" s="178"/>
      <c r="AS845" s="178"/>
      <c r="AT845" s="178"/>
      <c r="AU845" s="178"/>
      <c r="AV845" s="178"/>
      <c r="AW845" s="178"/>
      <c r="AX845" s="178"/>
    </row>
    <row r="846" spans="1:50" ht="15.75" customHeight="1" x14ac:dyDescent="0.3">
      <c r="A846" s="13"/>
      <c r="B846" s="13"/>
      <c r="C846" s="13"/>
      <c r="E846" s="178"/>
      <c r="H846" s="178"/>
      <c r="J846" s="42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  <c r="AI846" s="178"/>
      <c r="AJ846" s="178"/>
      <c r="AK846" s="178"/>
      <c r="AL846" s="178"/>
      <c r="AM846" s="178"/>
      <c r="AN846" s="178"/>
      <c r="AO846" s="178"/>
      <c r="AP846" s="178"/>
      <c r="AQ846" s="178"/>
      <c r="AR846" s="178"/>
      <c r="AS846" s="178"/>
      <c r="AT846" s="178"/>
      <c r="AU846" s="178"/>
      <c r="AV846" s="178"/>
      <c r="AW846" s="178"/>
      <c r="AX846" s="178"/>
    </row>
    <row r="847" spans="1:50" ht="15.75" customHeight="1" x14ac:dyDescent="0.3">
      <c r="A847" s="13"/>
      <c r="B847" s="13"/>
      <c r="C847" s="13"/>
      <c r="E847" s="178"/>
      <c r="H847" s="178"/>
      <c r="J847" s="42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  <c r="AI847" s="178"/>
      <c r="AJ847" s="178"/>
      <c r="AK847" s="178"/>
      <c r="AL847" s="178"/>
      <c r="AM847" s="178"/>
      <c r="AN847" s="178"/>
      <c r="AO847" s="178"/>
      <c r="AP847" s="178"/>
      <c r="AQ847" s="178"/>
      <c r="AR847" s="178"/>
      <c r="AS847" s="178"/>
      <c r="AT847" s="178"/>
      <c r="AU847" s="178"/>
      <c r="AV847" s="178"/>
      <c r="AW847" s="178"/>
      <c r="AX847" s="178"/>
    </row>
    <row r="848" spans="1:50" ht="15.75" customHeight="1" x14ac:dyDescent="0.3">
      <c r="A848" s="13"/>
      <c r="B848" s="13"/>
      <c r="C848" s="13"/>
      <c r="E848" s="178"/>
      <c r="H848" s="178"/>
      <c r="J848" s="42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  <c r="AI848" s="178"/>
      <c r="AJ848" s="178"/>
      <c r="AK848" s="178"/>
      <c r="AL848" s="178"/>
      <c r="AM848" s="178"/>
      <c r="AN848" s="178"/>
      <c r="AO848" s="178"/>
      <c r="AP848" s="178"/>
      <c r="AQ848" s="178"/>
      <c r="AR848" s="178"/>
      <c r="AS848" s="178"/>
      <c r="AT848" s="178"/>
      <c r="AU848" s="178"/>
      <c r="AV848" s="178"/>
      <c r="AW848" s="178"/>
      <c r="AX848" s="178"/>
    </row>
    <row r="849" spans="1:50" ht="15.75" customHeight="1" x14ac:dyDescent="0.3">
      <c r="A849" s="13"/>
      <c r="B849" s="13"/>
      <c r="C849" s="13"/>
      <c r="E849" s="178"/>
      <c r="H849" s="178"/>
      <c r="J849" s="42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  <c r="AI849" s="178"/>
      <c r="AJ849" s="178"/>
      <c r="AK849" s="178"/>
      <c r="AL849" s="178"/>
      <c r="AM849" s="178"/>
      <c r="AN849" s="178"/>
      <c r="AO849" s="178"/>
      <c r="AP849" s="178"/>
      <c r="AQ849" s="178"/>
      <c r="AR849" s="178"/>
      <c r="AS849" s="178"/>
      <c r="AT849" s="178"/>
      <c r="AU849" s="178"/>
      <c r="AV849" s="178"/>
      <c r="AW849" s="178"/>
      <c r="AX849" s="178"/>
    </row>
    <row r="850" spans="1:50" ht="15.75" customHeight="1" x14ac:dyDescent="0.3">
      <c r="A850" s="13"/>
      <c r="B850" s="13"/>
      <c r="C850" s="13"/>
      <c r="E850" s="178"/>
      <c r="H850" s="178"/>
      <c r="J850" s="42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  <c r="AI850" s="178"/>
      <c r="AJ850" s="178"/>
      <c r="AK850" s="178"/>
      <c r="AL850" s="178"/>
      <c r="AM850" s="178"/>
      <c r="AN850" s="178"/>
      <c r="AO850" s="178"/>
      <c r="AP850" s="178"/>
      <c r="AQ850" s="178"/>
      <c r="AR850" s="178"/>
      <c r="AS850" s="178"/>
      <c r="AT850" s="178"/>
      <c r="AU850" s="178"/>
      <c r="AV850" s="178"/>
      <c r="AW850" s="178"/>
      <c r="AX850" s="178"/>
    </row>
    <row r="851" spans="1:50" ht="15.75" customHeight="1" x14ac:dyDescent="0.3">
      <c r="A851" s="13"/>
      <c r="B851" s="13"/>
      <c r="C851" s="13"/>
      <c r="E851" s="178"/>
      <c r="H851" s="178"/>
      <c r="J851" s="42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  <c r="AI851" s="178"/>
      <c r="AJ851" s="178"/>
      <c r="AK851" s="178"/>
      <c r="AL851" s="178"/>
      <c r="AM851" s="178"/>
      <c r="AN851" s="178"/>
      <c r="AO851" s="178"/>
      <c r="AP851" s="178"/>
      <c r="AQ851" s="178"/>
      <c r="AR851" s="178"/>
      <c r="AS851" s="178"/>
      <c r="AT851" s="178"/>
      <c r="AU851" s="178"/>
      <c r="AV851" s="178"/>
      <c r="AW851" s="178"/>
      <c r="AX851" s="178"/>
    </row>
    <row r="852" spans="1:50" ht="15.75" customHeight="1" x14ac:dyDescent="0.3">
      <c r="A852" s="13"/>
      <c r="B852" s="13"/>
      <c r="C852" s="13"/>
      <c r="E852" s="178"/>
      <c r="H852" s="178"/>
      <c r="J852" s="42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  <c r="AI852" s="178"/>
      <c r="AJ852" s="178"/>
      <c r="AK852" s="178"/>
      <c r="AL852" s="178"/>
      <c r="AM852" s="178"/>
      <c r="AN852" s="178"/>
      <c r="AO852" s="178"/>
      <c r="AP852" s="178"/>
      <c r="AQ852" s="178"/>
      <c r="AR852" s="178"/>
      <c r="AS852" s="178"/>
      <c r="AT852" s="178"/>
      <c r="AU852" s="178"/>
      <c r="AV852" s="178"/>
      <c r="AW852" s="178"/>
      <c r="AX852" s="178"/>
    </row>
    <row r="853" spans="1:50" ht="15.75" customHeight="1" x14ac:dyDescent="0.3">
      <c r="A853" s="13"/>
      <c r="B853" s="13"/>
      <c r="C853" s="13"/>
      <c r="E853" s="178"/>
      <c r="H853" s="178"/>
      <c r="J853" s="42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  <c r="AI853" s="178"/>
      <c r="AJ853" s="178"/>
      <c r="AK853" s="178"/>
      <c r="AL853" s="178"/>
      <c r="AM853" s="178"/>
      <c r="AN853" s="178"/>
      <c r="AO853" s="178"/>
      <c r="AP853" s="178"/>
      <c r="AQ853" s="178"/>
      <c r="AR853" s="178"/>
      <c r="AS853" s="178"/>
      <c r="AT853" s="178"/>
      <c r="AU853" s="178"/>
      <c r="AV853" s="178"/>
      <c r="AW853" s="178"/>
      <c r="AX853" s="178"/>
    </row>
    <row r="854" spans="1:50" ht="15.75" customHeight="1" x14ac:dyDescent="0.3">
      <c r="A854" s="13"/>
      <c r="B854" s="13"/>
      <c r="C854" s="13"/>
      <c r="E854" s="178"/>
      <c r="H854" s="178"/>
      <c r="J854" s="42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  <c r="AI854" s="178"/>
      <c r="AJ854" s="178"/>
      <c r="AK854" s="178"/>
      <c r="AL854" s="178"/>
      <c r="AM854" s="178"/>
      <c r="AN854" s="178"/>
      <c r="AO854" s="178"/>
      <c r="AP854" s="178"/>
      <c r="AQ854" s="178"/>
      <c r="AR854" s="178"/>
      <c r="AS854" s="178"/>
      <c r="AT854" s="178"/>
      <c r="AU854" s="178"/>
      <c r="AV854" s="178"/>
      <c r="AW854" s="178"/>
      <c r="AX854" s="178"/>
    </row>
    <row r="855" spans="1:50" ht="15.75" customHeight="1" x14ac:dyDescent="0.3">
      <c r="A855" s="13"/>
      <c r="B855" s="13"/>
      <c r="C855" s="13"/>
      <c r="E855" s="178"/>
      <c r="H855" s="178"/>
      <c r="J855" s="42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  <c r="AI855" s="178"/>
      <c r="AJ855" s="178"/>
      <c r="AK855" s="178"/>
      <c r="AL855" s="178"/>
      <c r="AM855" s="178"/>
      <c r="AN855" s="178"/>
      <c r="AO855" s="178"/>
      <c r="AP855" s="178"/>
      <c r="AQ855" s="178"/>
      <c r="AR855" s="178"/>
      <c r="AS855" s="178"/>
      <c r="AT855" s="178"/>
      <c r="AU855" s="178"/>
      <c r="AV855" s="178"/>
      <c r="AW855" s="178"/>
      <c r="AX855" s="178"/>
    </row>
    <row r="856" spans="1:50" ht="15.75" customHeight="1" x14ac:dyDescent="0.3">
      <c r="A856" s="13"/>
      <c r="B856" s="13"/>
      <c r="C856" s="13"/>
      <c r="E856" s="178"/>
      <c r="H856" s="178"/>
      <c r="J856" s="42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  <c r="AI856" s="178"/>
      <c r="AJ856" s="178"/>
      <c r="AK856" s="178"/>
      <c r="AL856" s="178"/>
      <c r="AM856" s="178"/>
      <c r="AN856" s="178"/>
      <c r="AO856" s="178"/>
      <c r="AP856" s="178"/>
      <c r="AQ856" s="178"/>
      <c r="AR856" s="178"/>
      <c r="AS856" s="178"/>
      <c r="AT856" s="178"/>
      <c r="AU856" s="178"/>
      <c r="AV856" s="178"/>
      <c r="AW856" s="178"/>
      <c r="AX856" s="178"/>
    </row>
    <row r="857" spans="1:50" ht="15.75" customHeight="1" x14ac:dyDescent="0.3">
      <c r="A857" s="13"/>
      <c r="B857" s="13"/>
      <c r="C857" s="13"/>
      <c r="E857" s="178"/>
      <c r="H857" s="178"/>
      <c r="J857" s="42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</row>
    <row r="858" spans="1:50" ht="15.75" customHeight="1" x14ac:dyDescent="0.3">
      <c r="A858" s="13"/>
      <c r="B858" s="13"/>
      <c r="C858" s="13"/>
      <c r="E858" s="178"/>
      <c r="H858" s="178"/>
      <c r="J858" s="42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  <c r="AI858" s="178"/>
      <c r="AJ858" s="178"/>
      <c r="AK858" s="178"/>
      <c r="AL858" s="178"/>
      <c r="AM858" s="178"/>
      <c r="AN858" s="178"/>
      <c r="AO858" s="178"/>
      <c r="AP858" s="178"/>
      <c r="AQ858" s="178"/>
      <c r="AR858" s="178"/>
      <c r="AS858" s="178"/>
      <c r="AT858" s="178"/>
      <c r="AU858" s="178"/>
      <c r="AV858" s="178"/>
      <c r="AW858" s="178"/>
      <c r="AX858" s="178"/>
    </row>
    <row r="859" spans="1:50" ht="15.75" customHeight="1" x14ac:dyDescent="0.3">
      <c r="A859" s="13"/>
      <c r="B859" s="13"/>
      <c r="C859" s="13"/>
      <c r="E859" s="178"/>
      <c r="H859" s="178"/>
      <c r="J859" s="42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  <c r="AI859" s="178"/>
      <c r="AJ859" s="178"/>
      <c r="AK859" s="178"/>
      <c r="AL859" s="178"/>
      <c r="AM859" s="178"/>
      <c r="AN859" s="178"/>
      <c r="AO859" s="178"/>
      <c r="AP859" s="178"/>
      <c r="AQ859" s="178"/>
      <c r="AR859" s="178"/>
      <c r="AS859" s="178"/>
      <c r="AT859" s="178"/>
      <c r="AU859" s="178"/>
      <c r="AV859" s="178"/>
      <c r="AW859" s="178"/>
      <c r="AX859" s="178"/>
    </row>
    <row r="860" spans="1:50" ht="15.75" customHeight="1" x14ac:dyDescent="0.3">
      <c r="A860" s="13"/>
      <c r="B860" s="13"/>
      <c r="C860" s="13"/>
      <c r="E860" s="178"/>
      <c r="H860" s="178"/>
      <c r="J860" s="42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  <c r="AI860" s="178"/>
      <c r="AJ860" s="178"/>
      <c r="AK860" s="178"/>
      <c r="AL860" s="178"/>
      <c r="AM860" s="178"/>
      <c r="AN860" s="178"/>
      <c r="AO860" s="178"/>
      <c r="AP860" s="178"/>
      <c r="AQ860" s="178"/>
      <c r="AR860" s="178"/>
      <c r="AS860" s="178"/>
      <c r="AT860" s="178"/>
      <c r="AU860" s="178"/>
      <c r="AV860" s="178"/>
      <c r="AW860" s="178"/>
      <c r="AX860" s="178"/>
    </row>
    <row r="861" spans="1:50" ht="15.75" customHeight="1" x14ac:dyDescent="0.3">
      <c r="A861" s="13"/>
      <c r="B861" s="13"/>
      <c r="C861" s="13"/>
      <c r="E861" s="178"/>
      <c r="H861" s="178"/>
      <c r="J861" s="42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  <c r="AI861" s="178"/>
      <c r="AJ861" s="178"/>
      <c r="AK861" s="178"/>
      <c r="AL861" s="178"/>
      <c r="AM861" s="178"/>
      <c r="AN861" s="178"/>
      <c r="AO861" s="178"/>
      <c r="AP861" s="178"/>
      <c r="AQ861" s="178"/>
      <c r="AR861" s="178"/>
      <c r="AS861" s="178"/>
      <c r="AT861" s="178"/>
      <c r="AU861" s="178"/>
      <c r="AV861" s="178"/>
      <c r="AW861" s="178"/>
      <c r="AX861" s="178"/>
    </row>
    <row r="862" spans="1:50" ht="15.75" customHeight="1" x14ac:dyDescent="0.3">
      <c r="A862" s="13"/>
      <c r="B862" s="13"/>
      <c r="C862" s="13"/>
      <c r="E862" s="178"/>
      <c r="H862" s="178"/>
      <c r="J862" s="42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  <c r="AI862" s="178"/>
      <c r="AJ862" s="178"/>
      <c r="AK862" s="178"/>
      <c r="AL862" s="178"/>
      <c r="AM862" s="178"/>
      <c r="AN862" s="178"/>
      <c r="AO862" s="178"/>
      <c r="AP862" s="178"/>
      <c r="AQ862" s="178"/>
      <c r="AR862" s="178"/>
      <c r="AS862" s="178"/>
      <c r="AT862" s="178"/>
      <c r="AU862" s="178"/>
      <c r="AV862" s="178"/>
      <c r="AW862" s="178"/>
      <c r="AX862" s="178"/>
    </row>
    <row r="863" spans="1:50" ht="15.75" customHeight="1" x14ac:dyDescent="0.3">
      <c r="A863" s="13"/>
      <c r="B863" s="13"/>
      <c r="C863" s="13"/>
      <c r="E863" s="178"/>
      <c r="H863" s="178"/>
      <c r="J863" s="42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78"/>
      <c r="AP863" s="178"/>
      <c r="AQ863" s="178"/>
      <c r="AR863" s="178"/>
      <c r="AS863" s="178"/>
      <c r="AT863" s="178"/>
      <c r="AU863" s="178"/>
      <c r="AV863" s="178"/>
      <c r="AW863" s="178"/>
      <c r="AX863" s="178"/>
    </row>
    <row r="864" spans="1:50" ht="15.75" customHeight="1" x14ac:dyDescent="0.3">
      <c r="A864" s="13"/>
      <c r="B864" s="13"/>
      <c r="C864" s="13"/>
      <c r="E864" s="178"/>
      <c r="H864" s="178"/>
      <c r="J864" s="42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  <c r="AI864" s="178"/>
      <c r="AJ864" s="178"/>
      <c r="AK864" s="178"/>
      <c r="AL864" s="178"/>
      <c r="AM864" s="178"/>
      <c r="AN864" s="178"/>
      <c r="AO864" s="178"/>
      <c r="AP864" s="178"/>
      <c r="AQ864" s="178"/>
      <c r="AR864" s="178"/>
      <c r="AS864" s="178"/>
      <c r="AT864" s="178"/>
      <c r="AU864" s="178"/>
      <c r="AV864" s="178"/>
      <c r="AW864" s="178"/>
      <c r="AX864" s="178"/>
    </row>
    <row r="865" spans="1:50" ht="15.75" customHeight="1" x14ac:dyDescent="0.3">
      <c r="A865" s="13"/>
      <c r="B865" s="13"/>
      <c r="C865" s="13"/>
      <c r="E865" s="178"/>
      <c r="H865" s="178"/>
      <c r="J865" s="42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  <c r="AI865" s="178"/>
      <c r="AJ865" s="178"/>
      <c r="AK865" s="178"/>
      <c r="AL865" s="178"/>
      <c r="AM865" s="178"/>
      <c r="AN865" s="178"/>
      <c r="AO865" s="178"/>
      <c r="AP865" s="178"/>
      <c r="AQ865" s="178"/>
      <c r="AR865" s="178"/>
      <c r="AS865" s="178"/>
      <c r="AT865" s="178"/>
      <c r="AU865" s="178"/>
      <c r="AV865" s="178"/>
      <c r="AW865" s="178"/>
      <c r="AX865" s="178"/>
    </row>
    <row r="866" spans="1:50" ht="15.75" customHeight="1" x14ac:dyDescent="0.3">
      <c r="A866" s="13"/>
      <c r="B866" s="13"/>
      <c r="C866" s="13"/>
      <c r="E866" s="178"/>
      <c r="H866" s="178"/>
      <c r="J866" s="42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  <c r="AI866" s="178"/>
      <c r="AJ866" s="178"/>
      <c r="AK866" s="178"/>
      <c r="AL866" s="178"/>
      <c r="AM866" s="178"/>
      <c r="AN866" s="178"/>
      <c r="AO866" s="178"/>
      <c r="AP866" s="178"/>
      <c r="AQ866" s="178"/>
      <c r="AR866" s="178"/>
      <c r="AS866" s="178"/>
      <c r="AT866" s="178"/>
      <c r="AU866" s="178"/>
      <c r="AV866" s="178"/>
      <c r="AW866" s="178"/>
      <c r="AX866" s="178"/>
    </row>
    <row r="867" spans="1:50" ht="15.75" customHeight="1" x14ac:dyDescent="0.3">
      <c r="A867" s="13"/>
      <c r="B867" s="13"/>
      <c r="C867" s="13"/>
      <c r="E867" s="178"/>
      <c r="H867" s="178"/>
      <c r="J867" s="42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  <c r="AI867" s="178"/>
      <c r="AJ867" s="178"/>
      <c r="AK867" s="178"/>
      <c r="AL867" s="178"/>
      <c r="AM867" s="178"/>
      <c r="AN867" s="178"/>
      <c r="AO867" s="178"/>
      <c r="AP867" s="178"/>
      <c r="AQ867" s="178"/>
      <c r="AR867" s="178"/>
      <c r="AS867" s="178"/>
      <c r="AT867" s="178"/>
      <c r="AU867" s="178"/>
      <c r="AV867" s="178"/>
      <c r="AW867" s="178"/>
      <c r="AX867" s="178"/>
    </row>
    <row r="868" spans="1:50" ht="15.75" customHeight="1" x14ac:dyDescent="0.3">
      <c r="A868" s="13"/>
      <c r="B868" s="13"/>
      <c r="C868" s="13"/>
      <c r="E868" s="178"/>
      <c r="H868" s="178"/>
      <c r="J868" s="42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  <c r="AI868" s="178"/>
      <c r="AJ868" s="178"/>
      <c r="AK868" s="178"/>
      <c r="AL868" s="178"/>
      <c r="AM868" s="178"/>
      <c r="AN868" s="178"/>
      <c r="AO868" s="178"/>
      <c r="AP868" s="178"/>
      <c r="AQ868" s="178"/>
      <c r="AR868" s="178"/>
      <c r="AS868" s="178"/>
      <c r="AT868" s="178"/>
      <c r="AU868" s="178"/>
      <c r="AV868" s="178"/>
      <c r="AW868" s="178"/>
      <c r="AX868" s="178"/>
    </row>
    <row r="869" spans="1:50" ht="15.75" customHeight="1" x14ac:dyDescent="0.3">
      <c r="A869" s="13"/>
      <c r="B869" s="13"/>
      <c r="C869" s="13"/>
      <c r="E869" s="178"/>
      <c r="H869" s="178"/>
      <c r="J869" s="42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78"/>
      <c r="AP869" s="178"/>
      <c r="AQ869" s="178"/>
      <c r="AR869" s="178"/>
      <c r="AS869" s="178"/>
      <c r="AT869" s="178"/>
      <c r="AU869" s="178"/>
      <c r="AV869" s="178"/>
      <c r="AW869" s="178"/>
      <c r="AX869" s="178"/>
    </row>
    <row r="870" spans="1:50" ht="15.75" customHeight="1" x14ac:dyDescent="0.3">
      <c r="A870" s="13"/>
      <c r="B870" s="13"/>
      <c r="C870" s="13"/>
      <c r="E870" s="178"/>
      <c r="H870" s="178"/>
      <c r="J870" s="42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  <c r="AI870" s="178"/>
      <c r="AJ870" s="178"/>
      <c r="AK870" s="178"/>
      <c r="AL870" s="178"/>
      <c r="AM870" s="178"/>
      <c r="AN870" s="178"/>
      <c r="AO870" s="178"/>
      <c r="AP870" s="178"/>
      <c r="AQ870" s="178"/>
      <c r="AR870" s="178"/>
      <c r="AS870" s="178"/>
      <c r="AT870" s="178"/>
      <c r="AU870" s="178"/>
      <c r="AV870" s="178"/>
      <c r="AW870" s="178"/>
      <c r="AX870" s="178"/>
    </row>
    <row r="871" spans="1:50" ht="15.75" customHeight="1" x14ac:dyDescent="0.3">
      <c r="A871" s="13"/>
      <c r="B871" s="13"/>
      <c r="C871" s="13"/>
      <c r="E871" s="178"/>
      <c r="H871" s="178"/>
      <c r="J871" s="42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  <c r="AI871" s="178"/>
      <c r="AJ871" s="178"/>
      <c r="AK871" s="178"/>
      <c r="AL871" s="178"/>
      <c r="AM871" s="178"/>
      <c r="AN871" s="178"/>
      <c r="AO871" s="178"/>
      <c r="AP871" s="178"/>
      <c r="AQ871" s="178"/>
      <c r="AR871" s="178"/>
      <c r="AS871" s="178"/>
      <c r="AT871" s="178"/>
      <c r="AU871" s="178"/>
      <c r="AV871" s="178"/>
      <c r="AW871" s="178"/>
      <c r="AX871" s="178"/>
    </row>
    <row r="872" spans="1:50" ht="15.75" customHeight="1" x14ac:dyDescent="0.3">
      <c r="A872" s="13"/>
      <c r="B872" s="13"/>
      <c r="C872" s="13"/>
      <c r="E872" s="178"/>
      <c r="H872" s="178"/>
      <c r="J872" s="42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  <c r="AI872" s="178"/>
      <c r="AJ872" s="178"/>
      <c r="AK872" s="178"/>
      <c r="AL872" s="178"/>
      <c r="AM872" s="178"/>
      <c r="AN872" s="178"/>
      <c r="AO872" s="178"/>
      <c r="AP872" s="178"/>
      <c r="AQ872" s="178"/>
      <c r="AR872" s="178"/>
      <c r="AS872" s="178"/>
      <c r="AT872" s="178"/>
      <c r="AU872" s="178"/>
      <c r="AV872" s="178"/>
      <c r="AW872" s="178"/>
      <c r="AX872" s="178"/>
    </row>
    <row r="873" spans="1:50" ht="15.75" customHeight="1" x14ac:dyDescent="0.3">
      <c r="A873" s="13"/>
      <c r="B873" s="13"/>
      <c r="C873" s="13"/>
      <c r="E873" s="178"/>
      <c r="H873" s="178"/>
      <c r="J873" s="42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  <c r="AI873" s="178"/>
      <c r="AJ873" s="178"/>
      <c r="AK873" s="178"/>
      <c r="AL873" s="178"/>
      <c r="AM873" s="178"/>
      <c r="AN873" s="178"/>
      <c r="AO873" s="178"/>
      <c r="AP873" s="178"/>
      <c r="AQ873" s="178"/>
      <c r="AR873" s="178"/>
      <c r="AS873" s="178"/>
      <c r="AT873" s="178"/>
      <c r="AU873" s="178"/>
      <c r="AV873" s="178"/>
      <c r="AW873" s="178"/>
      <c r="AX873" s="178"/>
    </row>
    <row r="874" spans="1:50" ht="15.75" customHeight="1" x14ac:dyDescent="0.3">
      <c r="A874" s="13"/>
      <c r="B874" s="13"/>
      <c r="C874" s="13"/>
      <c r="E874" s="178"/>
      <c r="H874" s="178"/>
      <c r="J874" s="42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  <c r="AI874" s="178"/>
      <c r="AJ874" s="178"/>
      <c r="AK874" s="178"/>
      <c r="AL874" s="178"/>
      <c r="AM874" s="178"/>
      <c r="AN874" s="178"/>
      <c r="AO874" s="178"/>
      <c r="AP874" s="178"/>
      <c r="AQ874" s="178"/>
      <c r="AR874" s="178"/>
      <c r="AS874" s="178"/>
      <c r="AT874" s="178"/>
      <c r="AU874" s="178"/>
      <c r="AV874" s="178"/>
      <c r="AW874" s="178"/>
      <c r="AX874" s="178"/>
    </row>
    <row r="875" spans="1:50" ht="15.75" customHeight="1" x14ac:dyDescent="0.3">
      <c r="A875" s="13"/>
      <c r="B875" s="13"/>
      <c r="C875" s="13"/>
      <c r="E875" s="178"/>
      <c r="H875" s="178"/>
      <c r="J875" s="42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78"/>
      <c r="AP875" s="178"/>
      <c r="AQ875" s="178"/>
      <c r="AR875" s="178"/>
      <c r="AS875" s="178"/>
      <c r="AT875" s="178"/>
      <c r="AU875" s="178"/>
      <c r="AV875" s="178"/>
      <c r="AW875" s="178"/>
      <c r="AX875" s="178"/>
    </row>
    <row r="876" spans="1:50" ht="15.75" customHeight="1" x14ac:dyDescent="0.3">
      <c r="A876" s="13"/>
      <c r="B876" s="13"/>
      <c r="C876" s="13"/>
      <c r="E876" s="178"/>
      <c r="H876" s="178"/>
      <c r="J876" s="42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  <c r="AI876" s="178"/>
      <c r="AJ876" s="178"/>
      <c r="AK876" s="178"/>
      <c r="AL876" s="178"/>
      <c r="AM876" s="178"/>
      <c r="AN876" s="178"/>
      <c r="AO876" s="178"/>
      <c r="AP876" s="178"/>
      <c r="AQ876" s="178"/>
      <c r="AR876" s="178"/>
      <c r="AS876" s="178"/>
      <c r="AT876" s="178"/>
      <c r="AU876" s="178"/>
      <c r="AV876" s="178"/>
      <c r="AW876" s="178"/>
      <c r="AX876" s="178"/>
    </row>
    <row r="877" spans="1:50" ht="15.75" customHeight="1" x14ac:dyDescent="0.3">
      <c r="A877" s="13"/>
      <c r="B877" s="13"/>
      <c r="C877" s="13"/>
      <c r="E877" s="178"/>
      <c r="H877" s="178"/>
      <c r="J877" s="42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  <c r="AI877" s="178"/>
      <c r="AJ877" s="178"/>
      <c r="AK877" s="178"/>
      <c r="AL877" s="178"/>
      <c r="AM877" s="178"/>
      <c r="AN877" s="178"/>
      <c r="AO877" s="178"/>
      <c r="AP877" s="178"/>
      <c r="AQ877" s="178"/>
      <c r="AR877" s="178"/>
      <c r="AS877" s="178"/>
      <c r="AT877" s="178"/>
      <c r="AU877" s="178"/>
      <c r="AV877" s="178"/>
      <c r="AW877" s="178"/>
      <c r="AX877" s="178"/>
    </row>
    <row r="878" spans="1:50" ht="15.75" customHeight="1" x14ac:dyDescent="0.3">
      <c r="A878" s="13"/>
      <c r="B878" s="13"/>
      <c r="C878" s="13"/>
      <c r="E878" s="178"/>
      <c r="H878" s="178"/>
      <c r="J878" s="42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  <c r="AI878" s="178"/>
      <c r="AJ878" s="178"/>
      <c r="AK878" s="178"/>
      <c r="AL878" s="178"/>
      <c r="AM878" s="178"/>
      <c r="AN878" s="178"/>
      <c r="AO878" s="178"/>
      <c r="AP878" s="178"/>
      <c r="AQ878" s="178"/>
      <c r="AR878" s="178"/>
      <c r="AS878" s="178"/>
      <c r="AT878" s="178"/>
      <c r="AU878" s="178"/>
      <c r="AV878" s="178"/>
      <c r="AW878" s="178"/>
      <c r="AX878" s="178"/>
    </row>
    <row r="879" spans="1:50" ht="15.75" customHeight="1" x14ac:dyDescent="0.3">
      <c r="A879" s="13"/>
      <c r="B879" s="13"/>
      <c r="C879" s="13"/>
      <c r="E879" s="178"/>
      <c r="H879" s="178"/>
      <c r="J879" s="42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  <c r="AI879" s="178"/>
      <c r="AJ879" s="178"/>
      <c r="AK879" s="178"/>
      <c r="AL879" s="178"/>
      <c r="AM879" s="178"/>
      <c r="AN879" s="178"/>
      <c r="AO879" s="178"/>
      <c r="AP879" s="178"/>
      <c r="AQ879" s="178"/>
      <c r="AR879" s="178"/>
      <c r="AS879" s="178"/>
      <c r="AT879" s="178"/>
      <c r="AU879" s="178"/>
      <c r="AV879" s="178"/>
      <c r="AW879" s="178"/>
      <c r="AX879" s="178"/>
    </row>
    <row r="880" spans="1:50" ht="15.75" customHeight="1" x14ac:dyDescent="0.3">
      <c r="A880" s="13"/>
      <c r="B880" s="13"/>
      <c r="C880" s="13"/>
      <c r="E880" s="178"/>
      <c r="H880" s="178"/>
      <c r="J880" s="42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  <c r="AI880" s="178"/>
      <c r="AJ880" s="178"/>
      <c r="AK880" s="178"/>
      <c r="AL880" s="178"/>
      <c r="AM880" s="178"/>
      <c r="AN880" s="178"/>
      <c r="AO880" s="178"/>
      <c r="AP880" s="178"/>
      <c r="AQ880" s="178"/>
      <c r="AR880" s="178"/>
      <c r="AS880" s="178"/>
      <c r="AT880" s="178"/>
      <c r="AU880" s="178"/>
      <c r="AV880" s="178"/>
      <c r="AW880" s="178"/>
      <c r="AX880" s="178"/>
    </row>
    <row r="881" spans="1:50" ht="15.75" customHeight="1" x14ac:dyDescent="0.3">
      <c r="A881" s="13"/>
      <c r="B881" s="13"/>
      <c r="C881" s="13"/>
      <c r="E881" s="178"/>
      <c r="H881" s="178"/>
      <c r="J881" s="42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  <c r="AI881" s="178"/>
      <c r="AJ881" s="178"/>
      <c r="AK881" s="178"/>
      <c r="AL881" s="178"/>
      <c r="AM881" s="178"/>
      <c r="AN881" s="178"/>
      <c r="AO881" s="178"/>
      <c r="AP881" s="178"/>
      <c r="AQ881" s="178"/>
      <c r="AR881" s="178"/>
      <c r="AS881" s="178"/>
      <c r="AT881" s="178"/>
      <c r="AU881" s="178"/>
      <c r="AV881" s="178"/>
      <c r="AW881" s="178"/>
      <c r="AX881" s="178"/>
    </row>
    <row r="882" spans="1:50" ht="15.75" customHeight="1" x14ac:dyDescent="0.3">
      <c r="A882" s="13"/>
      <c r="B882" s="13"/>
      <c r="C882" s="13"/>
      <c r="E882" s="178"/>
      <c r="H882" s="178"/>
      <c r="J882" s="42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  <c r="AI882" s="178"/>
      <c r="AJ882" s="178"/>
      <c r="AK882" s="178"/>
      <c r="AL882" s="178"/>
      <c r="AM882" s="178"/>
      <c r="AN882" s="178"/>
      <c r="AO882" s="178"/>
      <c r="AP882" s="178"/>
      <c r="AQ882" s="178"/>
      <c r="AR882" s="178"/>
      <c r="AS882" s="178"/>
      <c r="AT882" s="178"/>
      <c r="AU882" s="178"/>
      <c r="AV882" s="178"/>
      <c r="AW882" s="178"/>
      <c r="AX882" s="178"/>
    </row>
    <row r="883" spans="1:50" ht="15.75" customHeight="1" x14ac:dyDescent="0.3">
      <c r="A883" s="13"/>
      <c r="B883" s="13"/>
      <c r="C883" s="13"/>
      <c r="E883" s="178"/>
      <c r="H883" s="178"/>
      <c r="J883" s="42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  <c r="AI883" s="178"/>
      <c r="AJ883" s="178"/>
      <c r="AK883" s="178"/>
      <c r="AL883" s="178"/>
      <c r="AM883" s="178"/>
      <c r="AN883" s="178"/>
      <c r="AO883" s="178"/>
      <c r="AP883" s="178"/>
      <c r="AQ883" s="178"/>
      <c r="AR883" s="178"/>
      <c r="AS883" s="178"/>
      <c r="AT883" s="178"/>
      <c r="AU883" s="178"/>
      <c r="AV883" s="178"/>
      <c r="AW883" s="178"/>
      <c r="AX883" s="178"/>
    </row>
    <row r="884" spans="1:50" ht="15.75" customHeight="1" x14ac:dyDescent="0.3">
      <c r="A884" s="13"/>
      <c r="B884" s="13"/>
      <c r="C884" s="13"/>
      <c r="E884" s="178"/>
      <c r="H884" s="178"/>
      <c r="J884" s="42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  <c r="AI884" s="178"/>
      <c r="AJ884" s="178"/>
      <c r="AK884" s="178"/>
      <c r="AL884" s="178"/>
      <c r="AM884" s="178"/>
      <c r="AN884" s="178"/>
      <c r="AO884" s="178"/>
      <c r="AP884" s="178"/>
      <c r="AQ884" s="178"/>
      <c r="AR884" s="178"/>
      <c r="AS884" s="178"/>
      <c r="AT884" s="178"/>
      <c r="AU884" s="178"/>
      <c r="AV884" s="178"/>
      <c r="AW884" s="178"/>
      <c r="AX884" s="178"/>
    </row>
    <row r="885" spans="1:50" ht="15.75" customHeight="1" x14ac:dyDescent="0.3">
      <c r="A885" s="13"/>
      <c r="B885" s="13"/>
      <c r="C885" s="13"/>
      <c r="E885" s="178"/>
      <c r="H885" s="178"/>
      <c r="J885" s="42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  <c r="AI885" s="178"/>
      <c r="AJ885" s="178"/>
      <c r="AK885" s="178"/>
      <c r="AL885" s="178"/>
      <c r="AM885" s="178"/>
      <c r="AN885" s="178"/>
      <c r="AO885" s="178"/>
      <c r="AP885" s="178"/>
      <c r="AQ885" s="178"/>
      <c r="AR885" s="178"/>
      <c r="AS885" s="178"/>
      <c r="AT885" s="178"/>
      <c r="AU885" s="178"/>
      <c r="AV885" s="178"/>
      <c r="AW885" s="178"/>
      <c r="AX885" s="178"/>
    </row>
    <row r="886" spans="1:50" ht="15.75" customHeight="1" x14ac:dyDescent="0.3">
      <c r="A886" s="13"/>
      <c r="B886" s="13"/>
      <c r="C886" s="13"/>
      <c r="E886" s="178"/>
      <c r="H886" s="178"/>
      <c r="J886" s="42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  <c r="AI886" s="178"/>
      <c r="AJ886" s="178"/>
      <c r="AK886" s="178"/>
      <c r="AL886" s="178"/>
      <c r="AM886" s="178"/>
      <c r="AN886" s="178"/>
      <c r="AO886" s="178"/>
      <c r="AP886" s="178"/>
      <c r="AQ886" s="178"/>
      <c r="AR886" s="178"/>
      <c r="AS886" s="178"/>
      <c r="AT886" s="178"/>
      <c r="AU886" s="178"/>
      <c r="AV886" s="178"/>
      <c r="AW886" s="178"/>
      <c r="AX886" s="178"/>
    </row>
    <row r="887" spans="1:50" ht="15.75" customHeight="1" x14ac:dyDescent="0.3">
      <c r="A887" s="13"/>
      <c r="B887" s="13"/>
      <c r="C887" s="13"/>
      <c r="E887" s="178"/>
      <c r="H887" s="178"/>
      <c r="J887" s="42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  <c r="AI887" s="178"/>
      <c r="AJ887" s="178"/>
      <c r="AK887" s="178"/>
      <c r="AL887" s="178"/>
      <c r="AM887" s="178"/>
      <c r="AN887" s="178"/>
      <c r="AO887" s="178"/>
      <c r="AP887" s="178"/>
      <c r="AQ887" s="178"/>
      <c r="AR887" s="178"/>
      <c r="AS887" s="178"/>
      <c r="AT887" s="178"/>
      <c r="AU887" s="178"/>
      <c r="AV887" s="178"/>
      <c r="AW887" s="178"/>
      <c r="AX887" s="178"/>
    </row>
    <row r="888" spans="1:50" ht="15.75" customHeight="1" x14ac:dyDescent="0.3">
      <c r="A888" s="13"/>
      <c r="B888" s="13"/>
      <c r="C888" s="13"/>
      <c r="E888" s="178"/>
      <c r="H888" s="178"/>
      <c r="J888" s="42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  <c r="AI888" s="178"/>
      <c r="AJ888" s="178"/>
      <c r="AK888" s="178"/>
      <c r="AL888" s="178"/>
      <c r="AM888" s="178"/>
      <c r="AN888" s="178"/>
      <c r="AO888" s="178"/>
      <c r="AP888" s="178"/>
      <c r="AQ888" s="178"/>
      <c r="AR888" s="178"/>
      <c r="AS888" s="178"/>
      <c r="AT888" s="178"/>
      <c r="AU888" s="178"/>
      <c r="AV888" s="178"/>
      <c r="AW888" s="178"/>
      <c r="AX888" s="178"/>
    </row>
    <row r="889" spans="1:50" ht="15.75" customHeight="1" x14ac:dyDescent="0.3">
      <c r="A889" s="13"/>
      <c r="B889" s="13"/>
      <c r="C889" s="13"/>
      <c r="E889" s="178"/>
      <c r="H889" s="178"/>
      <c r="J889" s="42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  <c r="AI889" s="178"/>
      <c r="AJ889" s="178"/>
      <c r="AK889" s="178"/>
      <c r="AL889" s="178"/>
      <c r="AM889" s="178"/>
      <c r="AN889" s="178"/>
      <c r="AO889" s="178"/>
      <c r="AP889" s="178"/>
      <c r="AQ889" s="178"/>
      <c r="AR889" s="178"/>
      <c r="AS889" s="178"/>
      <c r="AT889" s="178"/>
      <c r="AU889" s="178"/>
      <c r="AV889" s="178"/>
      <c r="AW889" s="178"/>
      <c r="AX889" s="178"/>
    </row>
    <row r="890" spans="1:50" ht="15.75" customHeight="1" x14ac:dyDescent="0.3">
      <c r="A890" s="13"/>
      <c r="B890" s="13"/>
      <c r="C890" s="13"/>
      <c r="E890" s="178"/>
      <c r="H890" s="178"/>
      <c r="J890" s="42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  <c r="AI890" s="178"/>
      <c r="AJ890" s="178"/>
      <c r="AK890" s="178"/>
      <c r="AL890" s="178"/>
      <c r="AM890" s="178"/>
      <c r="AN890" s="178"/>
      <c r="AO890" s="178"/>
      <c r="AP890" s="178"/>
      <c r="AQ890" s="178"/>
      <c r="AR890" s="178"/>
      <c r="AS890" s="178"/>
      <c r="AT890" s="178"/>
      <c r="AU890" s="178"/>
      <c r="AV890" s="178"/>
      <c r="AW890" s="178"/>
      <c r="AX890" s="178"/>
    </row>
    <row r="891" spans="1:50" ht="15.75" customHeight="1" x14ac:dyDescent="0.3">
      <c r="A891" s="13"/>
      <c r="B891" s="13"/>
      <c r="C891" s="13"/>
      <c r="E891" s="178"/>
      <c r="H891" s="178"/>
      <c r="J891" s="42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  <c r="AI891" s="178"/>
      <c r="AJ891" s="178"/>
      <c r="AK891" s="178"/>
      <c r="AL891" s="178"/>
      <c r="AM891" s="178"/>
      <c r="AN891" s="178"/>
      <c r="AO891" s="178"/>
      <c r="AP891" s="178"/>
      <c r="AQ891" s="178"/>
      <c r="AR891" s="178"/>
      <c r="AS891" s="178"/>
      <c r="AT891" s="178"/>
      <c r="AU891" s="178"/>
      <c r="AV891" s="178"/>
      <c r="AW891" s="178"/>
      <c r="AX891" s="178"/>
    </row>
    <row r="892" spans="1:50" ht="15.75" customHeight="1" x14ac:dyDescent="0.3">
      <c r="A892" s="13"/>
      <c r="B892" s="13"/>
      <c r="C892" s="13"/>
      <c r="E892" s="178"/>
      <c r="H892" s="178"/>
      <c r="J892" s="42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  <c r="AI892" s="178"/>
      <c r="AJ892" s="178"/>
      <c r="AK892" s="178"/>
      <c r="AL892" s="178"/>
      <c r="AM892" s="178"/>
      <c r="AN892" s="178"/>
      <c r="AO892" s="178"/>
      <c r="AP892" s="178"/>
      <c r="AQ892" s="178"/>
      <c r="AR892" s="178"/>
      <c r="AS892" s="178"/>
      <c r="AT892" s="178"/>
      <c r="AU892" s="178"/>
      <c r="AV892" s="178"/>
      <c r="AW892" s="178"/>
      <c r="AX892" s="178"/>
    </row>
    <row r="893" spans="1:50" ht="15.75" customHeight="1" x14ac:dyDescent="0.3">
      <c r="A893" s="13"/>
      <c r="B893" s="13"/>
      <c r="C893" s="13"/>
      <c r="E893" s="178"/>
      <c r="H893" s="178"/>
      <c r="J893" s="42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  <c r="AI893" s="178"/>
      <c r="AJ893" s="178"/>
      <c r="AK893" s="178"/>
      <c r="AL893" s="178"/>
      <c r="AM893" s="178"/>
      <c r="AN893" s="178"/>
      <c r="AO893" s="178"/>
      <c r="AP893" s="178"/>
      <c r="AQ893" s="178"/>
      <c r="AR893" s="178"/>
      <c r="AS893" s="178"/>
      <c r="AT893" s="178"/>
      <c r="AU893" s="178"/>
      <c r="AV893" s="178"/>
      <c r="AW893" s="178"/>
      <c r="AX893" s="178"/>
    </row>
    <row r="894" spans="1:50" ht="15.75" customHeight="1" x14ac:dyDescent="0.3">
      <c r="A894" s="13"/>
      <c r="B894" s="13"/>
      <c r="C894" s="13"/>
      <c r="E894" s="178"/>
      <c r="H894" s="178"/>
      <c r="J894" s="42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  <c r="AI894" s="178"/>
      <c r="AJ894" s="178"/>
      <c r="AK894" s="178"/>
      <c r="AL894" s="178"/>
      <c r="AM894" s="178"/>
      <c r="AN894" s="178"/>
      <c r="AO894" s="178"/>
      <c r="AP894" s="178"/>
      <c r="AQ894" s="178"/>
      <c r="AR894" s="178"/>
      <c r="AS894" s="178"/>
      <c r="AT894" s="178"/>
      <c r="AU894" s="178"/>
      <c r="AV894" s="178"/>
      <c r="AW894" s="178"/>
      <c r="AX894" s="178"/>
    </row>
    <row r="895" spans="1:50" ht="15.75" customHeight="1" x14ac:dyDescent="0.3">
      <c r="A895" s="13"/>
      <c r="B895" s="13"/>
      <c r="C895" s="13"/>
      <c r="E895" s="178"/>
      <c r="H895" s="178"/>
      <c r="J895" s="42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  <c r="AI895" s="178"/>
      <c r="AJ895" s="178"/>
      <c r="AK895" s="178"/>
      <c r="AL895" s="178"/>
      <c r="AM895" s="178"/>
      <c r="AN895" s="178"/>
      <c r="AO895" s="178"/>
      <c r="AP895" s="178"/>
      <c r="AQ895" s="178"/>
      <c r="AR895" s="178"/>
      <c r="AS895" s="178"/>
      <c r="AT895" s="178"/>
      <c r="AU895" s="178"/>
      <c r="AV895" s="178"/>
      <c r="AW895" s="178"/>
      <c r="AX895" s="178"/>
    </row>
    <row r="896" spans="1:50" ht="15.75" customHeight="1" x14ac:dyDescent="0.3">
      <c r="A896" s="13"/>
      <c r="B896" s="13"/>
      <c r="C896" s="13"/>
      <c r="E896" s="178"/>
      <c r="H896" s="178"/>
      <c r="J896" s="42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  <c r="AI896" s="178"/>
      <c r="AJ896" s="178"/>
      <c r="AK896" s="178"/>
      <c r="AL896" s="178"/>
      <c r="AM896" s="178"/>
      <c r="AN896" s="178"/>
      <c r="AO896" s="178"/>
      <c r="AP896" s="178"/>
      <c r="AQ896" s="178"/>
      <c r="AR896" s="178"/>
      <c r="AS896" s="178"/>
      <c r="AT896" s="178"/>
      <c r="AU896" s="178"/>
      <c r="AV896" s="178"/>
      <c r="AW896" s="178"/>
      <c r="AX896" s="178"/>
    </row>
    <row r="897" spans="1:50" ht="15.75" customHeight="1" x14ac:dyDescent="0.3">
      <c r="A897" s="13"/>
      <c r="B897" s="13"/>
      <c r="C897" s="13"/>
      <c r="E897" s="178"/>
      <c r="H897" s="178"/>
      <c r="J897" s="42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  <c r="AI897" s="178"/>
      <c r="AJ897" s="178"/>
      <c r="AK897" s="178"/>
      <c r="AL897" s="178"/>
      <c r="AM897" s="178"/>
      <c r="AN897" s="178"/>
      <c r="AO897" s="178"/>
      <c r="AP897" s="178"/>
      <c r="AQ897" s="178"/>
      <c r="AR897" s="178"/>
      <c r="AS897" s="178"/>
      <c r="AT897" s="178"/>
      <c r="AU897" s="178"/>
      <c r="AV897" s="178"/>
      <c r="AW897" s="178"/>
      <c r="AX897" s="178"/>
    </row>
    <row r="898" spans="1:50" ht="15.75" customHeight="1" x14ac:dyDescent="0.3">
      <c r="A898" s="13"/>
      <c r="B898" s="13"/>
      <c r="C898" s="13"/>
      <c r="E898" s="178"/>
      <c r="H898" s="178"/>
      <c r="J898" s="42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  <c r="AI898" s="178"/>
      <c r="AJ898" s="178"/>
      <c r="AK898" s="178"/>
      <c r="AL898" s="178"/>
      <c r="AM898" s="178"/>
      <c r="AN898" s="178"/>
      <c r="AO898" s="178"/>
      <c r="AP898" s="178"/>
      <c r="AQ898" s="178"/>
      <c r="AR898" s="178"/>
      <c r="AS898" s="178"/>
      <c r="AT898" s="178"/>
      <c r="AU898" s="178"/>
      <c r="AV898" s="178"/>
      <c r="AW898" s="178"/>
      <c r="AX898" s="178"/>
    </row>
    <row r="899" spans="1:50" ht="15.75" customHeight="1" x14ac:dyDescent="0.3">
      <c r="A899" s="13"/>
      <c r="B899" s="13"/>
      <c r="C899" s="13"/>
      <c r="E899" s="178"/>
      <c r="H899" s="178"/>
      <c r="J899" s="42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  <c r="AI899" s="178"/>
      <c r="AJ899" s="178"/>
      <c r="AK899" s="178"/>
      <c r="AL899" s="178"/>
      <c r="AM899" s="178"/>
      <c r="AN899" s="178"/>
      <c r="AO899" s="178"/>
      <c r="AP899" s="178"/>
      <c r="AQ899" s="178"/>
      <c r="AR899" s="178"/>
      <c r="AS899" s="178"/>
      <c r="AT899" s="178"/>
      <c r="AU899" s="178"/>
      <c r="AV899" s="178"/>
      <c r="AW899" s="178"/>
      <c r="AX899" s="178"/>
    </row>
    <row r="900" spans="1:50" ht="15.75" customHeight="1" x14ac:dyDescent="0.3">
      <c r="A900" s="13"/>
      <c r="B900" s="13"/>
      <c r="C900" s="13"/>
      <c r="E900" s="178"/>
      <c r="H900" s="178"/>
      <c r="J900" s="42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  <c r="AI900" s="178"/>
      <c r="AJ900" s="178"/>
      <c r="AK900" s="178"/>
      <c r="AL900" s="178"/>
      <c r="AM900" s="178"/>
      <c r="AN900" s="178"/>
      <c r="AO900" s="178"/>
      <c r="AP900" s="178"/>
      <c r="AQ900" s="178"/>
      <c r="AR900" s="178"/>
      <c r="AS900" s="178"/>
      <c r="AT900" s="178"/>
      <c r="AU900" s="178"/>
      <c r="AV900" s="178"/>
      <c r="AW900" s="178"/>
      <c r="AX900" s="178"/>
    </row>
    <row r="901" spans="1:50" ht="15.75" customHeight="1" x14ac:dyDescent="0.3">
      <c r="A901" s="13"/>
      <c r="B901" s="13"/>
      <c r="C901" s="13"/>
      <c r="E901" s="178"/>
      <c r="H901" s="178"/>
      <c r="J901" s="42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  <c r="AI901" s="178"/>
      <c r="AJ901" s="178"/>
      <c r="AK901" s="178"/>
      <c r="AL901" s="178"/>
      <c r="AM901" s="178"/>
      <c r="AN901" s="178"/>
      <c r="AO901" s="178"/>
      <c r="AP901" s="178"/>
      <c r="AQ901" s="178"/>
      <c r="AR901" s="178"/>
      <c r="AS901" s="178"/>
      <c r="AT901" s="178"/>
      <c r="AU901" s="178"/>
      <c r="AV901" s="178"/>
      <c r="AW901" s="178"/>
      <c r="AX901" s="178"/>
    </row>
    <row r="902" spans="1:50" ht="15.75" customHeight="1" x14ac:dyDescent="0.3">
      <c r="A902" s="13"/>
      <c r="B902" s="13"/>
      <c r="C902" s="13"/>
      <c r="E902" s="178"/>
      <c r="H902" s="178"/>
      <c r="J902" s="42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  <c r="AI902" s="178"/>
      <c r="AJ902" s="178"/>
      <c r="AK902" s="178"/>
      <c r="AL902" s="178"/>
      <c r="AM902" s="178"/>
      <c r="AN902" s="178"/>
      <c r="AO902" s="178"/>
      <c r="AP902" s="178"/>
      <c r="AQ902" s="178"/>
      <c r="AR902" s="178"/>
      <c r="AS902" s="178"/>
      <c r="AT902" s="178"/>
      <c r="AU902" s="178"/>
      <c r="AV902" s="178"/>
      <c r="AW902" s="178"/>
      <c r="AX902" s="178"/>
    </row>
    <row r="903" spans="1:50" ht="15.75" customHeight="1" x14ac:dyDescent="0.3">
      <c r="A903" s="13"/>
      <c r="B903" s="13"/>
      <c r="C903" s="13"/>
      <c r="E903" s="178"/>
      <c r="H903" s="178"/>
      <c r="J903" s="42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  <c r="AI903" s="178"/>
      <c r="AJ903" s="178"/>
      <c r="AK903" s="178"/>
      <c r="AL903" s="178"/>
      <c r="AM903" s="178"/>
      <c r="AN903" s="178"/>
      <c r="AO903" s="178"/>
      <c r="AP903" s="178"/>
      <c r="AQ903" s="178"/>
      <c r="AR903" s="178"/>
      <c r="AS903" s="178"/>
      <c r="AT903" s="178"/>
      <c r="AU903" s="178"/>
      <c r="AV903" s="178"/>
      <c r="AW903" s="178"/>
      <c r="AX903" s="178"/>
    </row>
    <row r="904" spans="1:50" ht="15.75" customHeight="1" x14ac:dyDescent="0.3">
      <c r="A904" s="13"/>
      <c r="B904" s="13"/>
      <c r="C904" s="13"/>
      <c r="E904" s="178"/>
      <c r="H904" s="178"/>
      <c r="J904" s="42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  <c r="AI904" s="178"/>
      <c r="AJ904" s="178"/>
      <c r="AK904" s="178"/>
      <c r="AL904" s="178"/>
      <c r="AM904" s="178"/>
      <c r="AN904" s="178"/>
      <c r="AO904" s="178"/>
      <c r="AP904" s="178"/>
      <c r="AQ904" s="178"/>
      <c r="AR904" s="178"/>
      <c r="AS904" s="178"/>
      <c r="AT904" s="178"/>
      <c r="AU904" s="178"/>
      <c r="AV904" s="178"/>
      <c r="AW904" s="178"/>
      <c r="AX904" s="178"/>
    </row>
    <row r="905" spans="1:50" ht="15.75" customHeight="1" x14ac:dyDescent="0.3">
      <c r="A905" s="13"/>
      <c r="B905" s="13"/>
      <c r="C905" s="13"/>
      <c r="E905" s="178"/>
      <c r="H905" s="178"/>
      <c r="J905" s="42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  <c r="AI905" s="178"/>
      <c r="AJ905" s="178"/>
      <c r="AK905" s="178"/>
      <c r="AL905" s="178"/>
      <c r="AM905" s="178"/>
      <c r="AN905" s="178"/>
      <c r="AO905" s="178"/>
      <c r="AP905" s="178"/>
      <c r="AQ905" s="178"/>
      <c r="AR905" s="178"/>
      <c r="AS905" s="178"/>
      <c r="AT905" s="178"/>
      <c r="AU905" s="178"/>
      <c r="AV905" s="178"/>
      <c r="AW905" s="178"/>
      <c r="AX905" s="178"/>
    </row>
    <row r="906" spans="1:50" ht="15.75" customHeight="1" x14ac:dyDescent="0.3">
      <c r="A906" s="13"/>
      <c r="B906" s="13"/>
      <c r="C906" s="13"/>
      <c r="E906" s="178"/>
      <c r="H906" s="178"/>
      <c r="J906" s="42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  <c r="AI906" s="178"/>
      <c r="AJ906" s="178"/>
      <c r="AK906" s="178"/>
      <c r="AL906" s="178"/>
      <c r="AM906" s="178"/>
      <c r="AN906" s="178"/>
      <c r="AO906" s="178"/>
      <c r="AP906" s="178"/>
      <c r="AQ906" s="178"/>
      <c r="AR906" s="178"/>
      <c r="AS906" s="178"/>
      <c r="AT906" s="178"/>
      <c r="AU906" s="178"/>
      <c r="AV906" s="178"/>
      <c r="AW906" s="178"/>
      <c r="AX906" s="178"/>
    </row>
    <row r="907" spans="1:50" ht="15.75" customHeight="1" x14ac:dyDescent="0.3">
      <c r="A907" s="13"/>
      <c r="B907" s="13"/>
      <c r="C907" s="13"/>
      <c r="E907" s="178"/>
      <c r="H907" s="178"/>
      <c r="J907" s="42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  <c r="AI907" s="178"/>
      <c r="AJ907" s="178"/>
      <c r="AK907" s="178"/>
      <c r="AL907" s="178"/>
      <c r="AM907" s="178"/>
      <c r="AN907" s="178"/>
      <c r="AO907" s="178"/>
      <c r="AP907" s="178"/>
      <c r="AQ907" s="178"/>
      <c r="AR907" s="178"/>
      <c r="AS907" s="178"/>
      <c r="AT907" s="178"/>
      <c r="AU907" s="178"/>
      <c r="AV907" s="178"/>
      <c r="AW907" s="178"/>
      <c r="AX907" s="178"/>
    </row>
    <row r="908" spans="1:50" ht="15.75" customHeight="1" x14ac:dyDescent="0.3">
      <c r="A908" s="13"/>
      <c r="B908" s="13"/>
      <c r="C908" s="13"/>
      <c r="E908" s="178"/>
      <c r="H908" s="178"/>
      <c r="J908" s="42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  <c r="AI908" s="178"/>
      <c r="AJ908" s="178"/>
      <c r="AK908" s="178"/>
      <c r="AL908" s="178"/>
      <c r="AM908" s="178"/>
      <c r="AN908" s="178"/>
      <c r="AO908" s="178"/>
      <c r="AP908" s="178"/>
      <c r="AQ908" s="178"/>
      <c r="AR908" s="178"/>
      <c r="AS908" s="178"/>
      <c r="AT908" s="178"/>
      <c r="AU908" s="178"/>
      <c r="AV908" s="178"/>
      <c r="AW908" s="178"/>
      <c r="AX908" s="178"/>
    </row>
    <row r="909" spans="1:50" ht="15.75" customHeight="1" x14ac:dyDescent="0.3">
      <c r="A909" s="13"/>
      <c r="B909" s="13"/>
      <c r="C909" s="13"/>
      <c r="E909" s="178"/>
      <c r="H909" s="178"/>
      <c r="J909" s="42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  <c r="AI909" s="178"/>
      <c r="AJ909" s="178"/>
      <c r="AK909" s="178"/>
      <c r="AL909" s="178"/>
      <c r="AM909" s="178"/>
      <c r="AN909" s="178"/>
      <c r="AO909" s="178"/>
      <c r="AP909" s="178"/>
      <c r="AQ909" s="178"/>
      <c r="AR909" s="178"/>
      <c r="AS909" s="178"/>
      <c r="AT909" s="178"/>
      <c r="AU909" s="178"/>
      <c r="AV909" s="178"/>
      <c r="AW909" s="178"/>
      <c r="AX909" s="178"/>
    </row>
    <row r="910" spans="1:50" ht="15.75" customHeight="1" x14ac:dyDescent="0.3">
      <c r="A910" s="13"/>
      <c r="B910" s="13"/>
      <c r="C910" s="13"/>
      <c r="E910" s="178"/>
      <c r="H910" s="178"/>
      <c r="J910" s="42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  <c r="AI910" s="178"/>
      <c r="AJ910" s="178"/>
      <c r="AK910" s="178"/>
      <c r="AL910" s="178"/>
      <c r="AM910" s="178"/>
      <c r="AN910" s="178"/>
      <c r="AO910" s="178"/>
      <c r="AP910" s="178"/>
      <c r="AQ910" s="178"/>
      <c r="AR910" s="178"/>
      <c r="AS910" s="178"/>
      <c r="AT910" s="178"/>
      <c r="AU910" s="178"/>
      <c r="AV910" s="178"/>
      <c r="AW910" s="178"/>
      <c r="AX910" s="178"/>
    </row>
    <row r="911" spans="1:50" ht="15.75" customHeight="1" x14ac:dyDescent="0.3">
      <c r="A911" s="13"/>
      <c r="B911" s="13"/>
      <c r="C911" s="13"/>
      <c r="E911" s="178"/>
      <c r="H911" s="178"/>
      <c r="J911" s="42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78"/>
      <c r="AP911" s="178"/>
      <c r="AQ911" s="178"/>
      <c r="AR911" s="178"/>
      <c r="AS911" s="178"/>
      <c r="AT911" s="178"/>
      <c r="AU911" s="178"/>
      <c r="AV911" s="178"/>
      <c r="AW911" s="178"/>
      <c r="AX911" s="178"/>
    </row>
    <row r="912" spans="1:50" ht="15.75" customHeight="1" x14ac:dyDescent="0.3">
      <c r="A912" s="13"/>
      <c r="B912" s="13"/>
      <c r="C912" s="13"/>
      <c r="E912" s="178"/>
      <c r="H912" s="178"/>
      <c r="J912" s="42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  <c r="AI912" s="178"/>
      <c r="AJ912" s="178"/>
      <c r="AK912" s="178"/>
      <c r="AL912" s="178"/>
      <c r="AM912" s="178"/>
      <c r="AN912" s="178"/>
      <c r="AO912" s="178"/>
      <c r="AP912" s="178"/>
      <c r="AQ912" s="178"/>
      <c r="AR912" s="178"/>
      <c r="AS912" s="178"/>
      <c r="AT912" s="178"/>
      <c r="AU912" s="178"/>
      <c r="AV912" s="178"/>
      <c r="AW912" s="178"/>
      <c r="AX912" s="178"/>
    </row>
    <row r="913" spans="1:50" ht="15.75" customHeight="1" x14ac:dyDescent="0.3">
      <c r="A913" s="13"/>
      <c r="B913" s="13"/>
      <c r="C913" s="13"/>
      <c r="E913" s="178"/>
      <c r="H913" s="178"/>
      <c r="J913" s="42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  <c r="AI913" s="178"/>
      <c r="AJ913" s="178"/>
      <c r="AK913" s="178"/>
      <c r="AL913" s="178"/>
      <c r="AM913" s="178"/>
      <c r="AN913" s="178"/>
      <c r="AO913" s="178"/>
      <c r="AP913" s="178"/>
      <c r="AQ913" s="178"/>
      <c r="AR913" s="178"/>
      <c r="AS913" s="178"/>
      <c r="AT913" s="178"/>
      <c r="AU913" s="178"/>
      <c r="AV913" s="178"/>
      <c r="AW913" s="178"/>
      <c r="AX913" s="178"/>
    </row>
    <row r="914" spans="1:50" ht="15.75" customHeight="1" x14ac:dyDescent="0.3">
      <c r="A914" s="13"/>
      <c r="B914" s="13"/>
      <c r="C914" s="13"/>
      <c r="E914" s="178"/>
      <c r="H914" s="178"/>
      <c r="J914" s="42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  <c r="AI914" s="178"/>
      <c r="AJ914" s="178"/>
      <c r="AK914" s="178"/>
      <c r="AL914" s="178"/>
      <c r="AM914" s="178"/>
      <c r="AN914" s="178"/>
      <c r="AO914" s="178"/>
      <c r="AP914" s="178"/>
      <c r="AQ914" s="178"/>
      <c r="AR914" s="178"/>
      <c r="AS914" s="178"/>
      <c r="AT914" s="178"/>
      <c r="AU914" s="178"/>
      <c r="AV914" s="178"/>
      <c r="AW914" s="178"/>
      <c r="AX914" s="178"/>
    </row>
    <row r="915" spans="1:50" ht="15.75" customHeight="1" x14ac:dyDescent="0.3">
      <c r="A915" s="13"/>
      <c r="B915" s="13"/>
      <c r="C915" s="13"/>
      <c r="E915" s="178"/>
      <c r="H915" s="178"/>
      <c r="J915" s="42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  <c r="AI915" s="178"/>
      <c r="AJ915" s="178"/>
      <c r="AK915" s="178"/>
      <c r="AL915" s="178"/>
      <c r="AM915" s="178"/>
      <c r="AN915" s="178"/>
      <c r="AO915" s="178"/>
      <c r="AP915" s="178"/>
      <c r="AQ915" s="178"/>
      <c r="AR915" s="178"/>
      <c r="AS915" s="178"/>
      <c r="AT915" s="178"/>
      <c r="AU915" s="178"/>
      <c r="AV915" s="178"/>
      <c r="AW915" s="178"/>
      <c r="AX915" s="178"/>
    </row>
    <row r="916" spans="1:50" ht="15.75" customHeight="1" x14ac:dyDescent="0.3">
      <c r="A916" s="13"/>
      <c r="B916" s="13"/>
      <c r="C916" s="13"/>
      <c r="E916" s="178"/>
      <c r="H916" s="178"/>
      <c r="J916" s="42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  <c r="AI916" s="178"/>
      <c r="AJ916" s="178"/>
      <c r="AK916" s="178"/>
      <c r="AL916" s="178"/>
      <c r="AM916" s="178"/>
      <c r="AN916" s="178"/>
      <c r="AO916" s="178"/>
      <c r="AP916" s="178"/>
      <c r="AQ916" s="178"/>
      <c r="AR916" s="178"/>
      <c r="AS916" s="178"/>
      <c r="AT916" s="178"/>
      <c r="AU916" s="178"/>
      <c r="AV916" s="178"/>
      <c r="AW916" s="178"/>
      <c r="AX916" s="178"/>
    </row>
    <row r="917" spans="1:50" ht="15.75" customHeight="1" x14ac:dyDescent="0.3">
      <c r="A917" s="13"/>
      <c r="B917" s="13"/>
      <c r="C917" s="13"/>
      <c r="E917" s="178"/>
      <c r="H917" s="178"/>
      <c r="J917" s="42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  <c r="AI917" s="178"/>
      <c r="AJ917" s="178"/>
      <c r="AK917" s="178"/>
      <c r="AL917" s="178"/>
      <c r="AM917" s="178"/>
      <c r="AN917" s="178"/>
      <c r="AO917" s="178"/>
      <c r="AP917" s="178"/>
      <c r="AQ917" s="178"/>
      <c r="AR917" s="178"/>
      <c r="AS917" s="178"/>
      <c r="AT917" s="178"/>
      <c r="AU917" s="178"/>
      <c r="AV917" s="178"/>
      <c r="AW917" s="178"/>
      <c r="AX917" s="178"/>
    </row>
    <row r="918" spans="1:50" ht="15.75" customHeight="1" x14ac:dyDescent="0.3">
      <c r="A918" s="13"/>
      <c r="B918" s="13"/>
      <c r="C918" s="13"/>
      <c r="E918" s="178"/>
      <c r="H918" s="178"/>
      <c r="J918" s="42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  <c r="AI918" s="178"/>
      <c r="AJ918" s="178"/>
      <c r="AK918" s="178"/>
      <c r="AL918" s="178"/>
      <c r="AM918" s="178"/>
      <c r="AN918" s="178"/>
      <c r="AO918" s="178"/>
      <c r="AP918" s="178"/>
      <c r="AQ918" s="178"/>
      <c r="AR918" s="178"/>
      <c r="AS918" s="178"/>
      <c r="AT918" s="178"/>
      <c r="AU918" s="178"/>
      <c r="AV918" s="178"/>
      <c r="AW918" s="178"/>
      <c r="AX918" s="178"/>
    </row>
    <row r="919" spans="1:50" ht="15.75" customHeight="1" x14ac:dyDescent="0.3">
      <c r="A919" s="13"/>
      <c r="B919" s="13"/>
      <c r="C919" s="13"/>
      <c r="E919" s="178"/>
      <c r="H919" s="178"/>
      <c r="J919" s="42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  <c r="AI919" s="178"/>
      <c r="AJ919" s="178"/>
      <c r="AK919" s="178"/>
      <c r="AL919" s="178"/>
      <c r="AM919" s="178"/>
      <c r="AN919" s="178"/>
      <c r="AO919" s="178"/>
      <c r="AP919" s="178"/>
      <c r="AQ919" s="178"/>
      <c r="AR919" s="178"/>
      <c r="AS919" s="178"/>
      <c r="AT919" s="178"/>
      <c r="AU919" s="178"/>
      <c r="AV919" s="178"/>
      <c r="AW919" s="178"/>
      <c r="AX919" s="178"/>
    </row>
    <row r="920" spans="1:50" ht="15.75" customHeight="1" x14ac:dyDescent="0.3">
      <c r="A920" s="13"/>
      <c r="B920" s="13"/>
      <c r="C920" s="13"/>
      <c r="E920" s="178"/>
      <c r="H920" s="178"/>
      <c r="J920" s="42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  <c r="AI920" s="178"/>
      <c r="AJ920" s="178"/>
      <c r="AK920" s="178"/>
      <c r="AL920" s="178"/>
      <c r="AM920" s="178"/>
      <c r="AN920" s="178"/>
      <c r="AO920" s="178"/>
      <c r="AP920" s="178"/>
      <c r="AQ920" s="178"/>
      <c r="AR920" s="178"/>
      <c r="AS920" s="178"/>
      <c r="AT920" s="178"/>
      <c r="AU920" s="178"/>
      <c r="AV920" s="178"/>
      <c r="AW920" s="178"/>
      <c r="AX920" s="178"/>
    </row>
    <row r="921" spans="1:50" ht="15.75" customHeight="1" x14ac:dyDescent="0.3">
      <c r="A921" s="13"/>
      <c r="B921" s="13"/>
      <c r="C921" s="13"/>
      <c r="E921" s="178"/>
      <c r="H921" s="178"/>
      <c r="J921" s="42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  <c r="AI921" s="178"/>
      <c r="AJ921" s="178"/>
      <c r="AK921" s="178"/>
      <c r="AL921" s="178"/>
      <c r="AM921" s="178"/>
      <c r="AN921" s="178"/>
      <c r="AO921" s="178"/>
      <c r="AP921" s="178"/>
      <c r="AQ921" s="178"/>
      <c r="AR921" s="178"/>
      <c r="AS921" s="178"/>
      <c r="AT921" s="178"/>
      <c r="AU921" s="178"/>
      <c r="AV921" s="178"/>
      <c r="AW921" s="178"/>
      <c r="AX921" s="178"/>
    </row>
    <row r="922" spans="1:50" ht="15.75" customHeight="1" x14ac:dyDescent="0.3">
      <c r="A922" s="13"/>
      <c r="B922" s="13"/>
      <c r="C922" s="13"/>
      <c r="E922" s="178"/>
      <c r="H922" s="178"/>
      <c r="J922" s="42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  <c r="AI922" s="178"/>
      <c r="AJ922" s="178"/>
      <c r="AK922" s="178"/>
      <c r="AL922" s="178"/>
      <c r="AM922" s="178"/>
      <c r="AN922" s="178"/>
      <c r="AO922" s="178"/>
      <c r="AP922" s="178"/>
      <c r="AQ922" s="178"/>
      <c r="AR922" s="178"/>
      <c r="AS922" s="178"/>
      <c r="AT922" s="178"/>
      <c r="AU922" s="178"/>
      <c r="AV922" s="178"/>
      <c r="AW922" s="178"/>
      <c r="AX922" s="178"/>
    </row>
    <row r="923" spans="1:50" ht="15.75" customHeight="1" x14ac:dyDescent="0.3">
      <c r="A923" s="13"/>
      <c r="B923" s="13"/>
      <c r="C923" s="13"/>
      <c r="E923" s="178"/>
      <c r="H923" s="178"/>
      <c r="J923" s="42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  <c r="AI923" s="178"/>
      <c r="AJ923" s="178"/>
      <c r="AK923" s="178"/>
      <c r="AL923" s="178"/>
      <c r="AM923" s="178"/>
      <c r="AN923" s="178"/>
      <c r="AO923" s="178"/>
      <c r="AP923" s="178"/>
      <c r="AQ923" s="178"/>
      <c r="AR923" s="178"/>
      <c r="AS923" s="178"/>
      <c r="AT923" s="178"/>
      <c r="AU923" s="178"/>
      <c r="AV923" s="178"/>
      <c r="AW923" s="178"/>
      <c r="AX923" s="178"/>
    </row>
    <row r="924" spans="1:50" ht="15.75" customHeight="1" x14ac:dyDescent="0.3">
      <c r="A924" s="13"/>
      <c r="B924" s="13"/>
      <c r="C924" s="13"/>
      <c r="E924" s="178"/>
      <c r="H924" s="178"/>
      <c r="J924" s="42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  <c r="AI924" s="178"/>
      <c r="AJ924" s="178"/>
      <c r="AK924" s="178"/>
      <c r="AL924" s="178"/>
      <c r="AM924" s="178"/>
      <c r="AN924" s="178"/>
      <c r="AO924" s="178"/>
      <c r="AP924" s="178"/>
      <c r="AQ924" s="178"/>
      <c r="AR924" s="178"/>
      <c r="AS924" s="178"/>
      <c r="AT924" s="178"/>
      <c r="AU924" s="178"/>
      <c r="AV924" s="178"/>
      <c r="AW924" s="178"/>
      <c r="AX924" s="178"/>
    </row>
    <row r="925" spans="1:50" ht="15.75" customHeight="1" x14ac:dyDescent="0.3">
      <c r="A925" s="13"/>
      <c r="B925" s="13"/>
      <c r="C925" s="13"/>
      <c r="E925" s="178"/>
      <c r="H925" s="178"/>
      <c r="J925" s="42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  <c r="AI925" s="178"/>
      <c r="AJ925" s="178"/>
      <c r="AK925" s="178"/>
      <c r="AL925" s="178"/>
      <c r="AM925" s="178"/>
      <c r="AN925" s="178"/>
      <c r="AO925" s="178"/>
      <c r="AP925" s="178"/>
      <c r="AQ925" s="178"/>
      <c r="AR925" s="178"/>
      <c r="AS925" s="178"/>
      <c r="AT925" s="178"/>
      <c r="AU925" s="178"/>
      <c r="AV925" s="178"/>
      <c r="AW925" s="178"/>
      <c r="AX925" s="178"/>
    </row>
    <row r="926" spans="1:50" ht="15.75" customHeight="1" x14ac:dyDescent="0.3">
      <c r="A926" s="13"/>
      <c r="B926" s="13"/>
      <c r="C926" s="13"/>
      <c r="E926" s="178"/>
      <c r="H926" s="178"/>
      <c r="J926" s="42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  <c r="AI926" s="178"/>
      <c r="AJ926" s="178"/>
      <c r="AK926" s="178"/>
      <c r="AL926" s="178"/>
      <c r="AM926" s="178"/>
      <c r="AN926" s="178"/>
      <c r="AO926" s="178"/>
      <c r="AP926" s="178"/>
      <c r="AQ926" s="178"/>
      <c r="AR926" s="178"/>
      <c r="AS926" s="178"/>
      <c r="AT926" s="178"/>
      <c r="AU926" s="178"/>
      <c r="AV926" s="178"/>
      <c r="AW926" s="178"/>
      <c r="AX926" s="178"/>
    </row>
    <row r="927" spans="1:50" ht="15.75" customHeight="1" x14ac:dyDescent="0.3">
      <c r="A927" s="13"/>
      <c r="B927" s="13"/>
      <c r="C927" s="13"/>
      <c r="E927" s="178"/>
      <c r="H927" s="178"/>
      <c r="J927" s="42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  <c r="AI927" s="178"/>
      <c r="AJ927" s="178"/>
      <c r="AK927" s="178"/>
      <c r="AL927" s="178"/>
      <c r="AM927" s="178"/>
      <c r="AN927" s="178"/>
      <c r="AO927" s="178"/>
      <c r="AP927" s="178"/>
      <c r="AQ927" s="178"/>
      <c r="AR927" s="178"/>
      <c r="AS927" s="178"/>
      <c r="AT927" s="178"/>
      <c r="AU927" s="178"/>
      <c r="AV927" s="178"/>
      <c r="AW927" s="178"/>
      <c r="AX927" s="178"/>
    </row>
    <row r="928" spans="1:50" ht="15.75" customHeight="1" x14ac:dyDescent="0.3">
      <c r="A928" s="13"/>
      <c r="B928" s="13"/>
      <c r="C928" s="13"/>
      <c r="E928" s="178"/>
      <c r="H928" s="178"/>
      <c r="J928" s="42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  <c r="AI928" s="178"/>
      <c r="AJ928" s="178"/>
      <c r="AK928" s="178"/>
      <c r="AL928" s="178"/>
      <c r="AM928" s="178"/>
      <c r="AN928" s="178"/>
      <c r="AO928" s="178"/>
      <c r="AP928" s="178"/>
      <c r="AQ928" s="178"/>
      <c r="AR928" s="178"/>
      <c r="AS928" s="178"/>
      <c r="AT928" s="178"/>
      <c r="AU928" s="178"/>
      <c r="AV928" s="178"/>
      <c r="AW928" s="178"/>
      <c r="AX928" s="178"/>
    </row>
    <row r="929" spans="1:50" ht="15.75" customHeight="1" x14ac:dyDescent="0.3">
      <c r="A929" s="13"/>
      <c r="B929" s="13"/>
      <c r="C929" s="13"/>
      <c r="E929" s="178"/>
      <c r="H929" s="178"/>
      <c r="J929" s="42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  <c r="AI929" s="178"/>
      <c r="AJ929" s="178"/>
      <c r="AK929" s="178"/>
      <c r="AL929" s="178"/>
      <c r="AM929" s="178"/>
      <c r="AN929" s="178"/>
      <c r="AO929" s="178"/>
      <c r="AP929" s="178"/>
      <c r="AQ929" s="178"/>
      <c r="AR929" s="178"/>
      <c r="AS929" s="178"/>
      <c r="AT929" s="178"/>
      <c r="AU929" s="178"/>
      <c r="AV929" s="178"/>
      <c r="AW929" s="178"/>
      <c r="AX929" s="178"/>
    </row>
    <row r="930" spans="1:50" ht="15.75" customHeight="1" x14ac:dyDescent="0.3">
      <c r="A930" s="13"/>
      <c r="B930" s="13"/>
      <c r="C930" s="13"/>
      <c r="E930" s="178"/>
      <c r="H930" s="178"/>
      <c r="J930" s="42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  <c r="AI930" s="178"/>
      <c r="AJ930" s="178"/>
      <c r="AK930" s="178"/>
      <c r="AL930" s="178"/>
      <c r="AM930" s="178"/>
      <c r="AN930" s="178"/>
      <c r="AO930" s="178"/>
      <c r="AP930" s="178"/>
      <c r="AQ930" s="178"/>
      <c r="AR930" s="178"/>
      <c r="AS930" s="178"/>
      <c r="AT930" s="178"/>
      <c r="AU930" s="178"/>
      <c r="AV930" s="178"/>
      <c r="AW930" s="178"/>
      <c r="AX930" s="178"/>
    </row>
    <row r="931" spans="1:50" ht="15.75" customHeight="1" x14ac:dyDescent="0.3">
      <c r="A931" s="13"/>
      <c r="B931" s="13"/>
      <c r="C931" s="13"/>
      <c r="E931" s="178"/>
      <c r="H931" s="178"/>
      <c r="J931" s="42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  <c r="AI931" s="178"/>
      <c r="AJ931" s="178"/>
      <c r="AK931" s="178"/>
      <c r="AL931" s="178"/>
      <c r="AM931" s="178"/>
      <c r="AN931" s="178"/>
      <c r="AO931" s="178"/>
      <c r="AP931" s="178"/>
      <c r="AQ931" s="178"/>
      <c r="AR931" s="178"/>
      <c r="AS931" s="178"/>
      <c r="AT931" s="178"/>
      <c r="AU931" s="178"/>
      <c r="AV931" s="178"/>
      <c r="AW931" s="178"/>
      <c r="AX931" s="178"/>
    </row>
    <row r="932" spans="1:50" ht="15.75" customHeight="1" x14ac:dyDescent="0.3">
      <c r="A932" s="13"/>
      <c r="B932" s="13"/>
      <c r="C932" s="13"/>
      <c r="E932" s="178"/>
      <c r="H932" s="178"/>
      <c r="J932" s="42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  <c r="AI932" s="178"/>
      <c r="AJ932" s="178"/>
      <c r="AK932" s="178"/>
      <c r="AL932" s="178"/>
      <c r="AM932" s="178"/>
      <c r="AN932" s="178"/>
      <c r="AO932" s="178"/>
      <c r="AP932" s="178"/>
      <c r="AQ932" s="178"/>
      <c r="AR932" s="178"/>
      <c r="AS932" s="178"/>
      <c r="AT932" s="178"/>
      <c r="AU932" s="178"/>
      <c r="AV932" s="178"/>
      <c r="AW932" s="178"/>
      <c r="AX932" s="178"/>
    </row>
    <row r="933" spans="1:50" ht="15.75" customHeight="1" x14ac:dyDescent="0.3">
      <c r="A933" s="13"/>
      <c r="B933" s="13"/>
      <c r="C933" s="13"/>
      <c r="E933" s="178"/>
      <c r="H933" s="178"/>
      <c r="J933" s="42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  <c r="AI933" s="178"/>
      <c r="AJ933" s="178"/>
      <c r="AK933" s="178"/>
      <c r="AL933" s="178"/>
      <c r="AM933" s="178"/>
      <c r="AN933" s="178"/>
      <c r="AO933" s="178"/>
      <c r="AP933" s="178"/>
      <c r="AQ933" s="178"/>
      <c r="AR933" s="178"/>
      <c r="AS933" s="178"/>
      <c r="AT933" s="178"/>
      <c r="AU933" s="178"/>
      <c r="AV933" s="178"/>
      <c r="AW933" s="178"/>
      <c r="AX933" s="178"/>
    </row>
    <row r="934" spans="1:50" ht="15.75" customHeight="1" x14ac:dyDescent="0.3">
      <c r="A934" s="13"/>
      <c r="B934" s="13"/>
      <c r="C934" s="13"/>
      <c r="E934" s="178"/>
      <c r="H934" s="178"/>
      <c r="J934" s="42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  <c r="AI934" s="178"/>
      <c r="AJ934" s="178"/>
      <c r="AK934" s="178"/>
      <c r="AL934" s="178"/>
      <c r="AM934" s="178"/>
      <c r="AN934" s="178"/>
      <c r="AO934" s="178"/>
      <c r="AP934" s="178"/>
      <c r="AQ934" s="178"/>
      <c r="AR934" s="178"/>
      <c r="AS934" s="178"/>
      <c r="AT934" s="178"/>
      <c r="AU934" s="178"/>
      <c r="AV934" s="178"/>
      <c r="AW934" s="178"/>
      <c r="AX934" s="178"/>
    </row>
    <row r="935" spans="1:50" ht="15.75" customHeight="1" x14ac:dyDescent="0.3">
      <c r="A935" s="13"/>
      <c r="B935" s="13"/>
      <c r="C935" s="13"/>
      <c r="E935" s="178"/>
      <c r="H935" s="178"/>
      <c r="J935" s="42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  <c r="AI935" s="178"/>
      <c r="AJ935" s="178"/>
      <c r="AK935" s="178"/>
      <c r="AL935" s="178"/>
      <c r="AM935" s="178"/>
      <c r="AN935" s="178"/>
      <c r="AO935" s="178"/>
      <c r="AP935" s="178"/>
      <c r="AQ935" s="178"/>
      <c r="AR935" s="178"/>
      <c r="AS935" s="178"/>
      <c r="AT935" s="178"/>
      <c r="AU935" s="178"/>
      <c r="AV935" s="178"/>
      <c r="AW935" s="178"/>
      <c r="AX935" s="178"/>
    </row>
    <row r="936" spans="1:50" ht="15.75" customHeight="1" x14ac:dyDescent="0.3">
      <c r="A936" s="13"/>
      <c r="B936" s="13"/>
      <c r="C936" s="13"/>
      <c r="E936" s="178"/>
      <c r="H936" s="178"/>
      <c r="J936" s="42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  <c r="AI936" s="178"/>
      <c r="AJ936" s="178"/>
      <c r="AK936" s="178"/>
      <c r="AL936" s="178"/>
      <c r="AM936" s="178"/>
      <c r="AN936" s="178"/>
      <c r="AO936" s="178"/>
      <c r="AP936" s="178"/>
      <c r="AQ936" s="178"/>
      <c r="AR936" s="178"/>
      <c r="AS936" s="178"/>
      <c r="AT936" s="178"/>
      <c r="AU936" s="178"/>
      <c r="AV936" s="178"/>
      <c r="AW936" s="178"/>
      <c r="AX936" s="178"/>
    </row>
    <row r="937" spans="1:50" ht="15.75" customHeight="1" x14ac:dyDescent="0.3">
      <c r="A937" s="13"/>
      <c r="B937" s="13"/>
      <c r="C937" s="13"/>
      <c r="E937" s="178"/>
      <c r="H937" s="178"/>
      <c r="J937" s="42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  <c r="AI937" s="178"/>
      <c r="AJ937" s="178"/>
      <c r="AK937" s="178"/>
      <c r="AL937" s="178"/>
      <c r="AM937" s="178"/>
      <c r="AN937" s="178"/>
      <c r="AO937" s="178"/>
      <c r="AP937" s="178"/>
      <c r="AQ937" s="178"/>
      <c r="AR937" s="178"/>
      <c r="AS937" s="178"/>
      <c r="AT937" s="178"/>
      <c r="AU937" s="178"/>
      <c r="AV937" s="178"/>
      <c r="AW937" s="178"/>
      <c r="AX937" s="178"/>
    </row>
    <row r="938" spans="1:50" ht="15.75" customHeight="1" x14ac:dyDescent="0.3">
      <c r="A938" s="13"/>
      <c r="B938" s="13"/>
      <c r="C938" s="13"/>
      <c r="E938" s="178"/>
      <c r="H938" s="178"/>
      <c r="J938" s="42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  <c r="AI938" s="178"/>
      <c r="AJ938" s="178"/>
      <c r="AK938" s="178"/>
      <c r="AL938" s="178"/>
      <c r="AM938" s="178"/>
      <c r="AN938" s="178"/>
      <c r="AO938" s="178"/>
      <c r="AP938" s="178"/>
      <c r="AQ938" s="178"/>
      <c r="AR938" s="178"/>
      <c r="AS938" s="178"/>
      <c r="AT938" s="178"/>
      <c r="AU938" s="178"/>
      <c r="AV938" s="178"/>
      <c r="AW938" s="178"/>
      <c r="AX938" s="178"/>
    </row>
    <row r="939" spans="1:50" ht="15.75" customHeight="1" x14ac:dyDescent="0.3">
      <c r="A939" s="13"/>
      <c r="B939" s="13"/>
      <c r="C939" s="13"/>
      <c r="E939" s="178"/>
      <c r="H939" s="178"/>
      <c r="J939" s="42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  <c r="AI939" s="178"/>
      <c r="AJ939" s="178"/>
      <c r="AK939" s="178"/>
      <c r="AL939" s="178"/>
      <c r="AM939" s="178"/>
      <c r="AN939" s="178"/>
      <c r="AO939" s="178"/>
      <c r="AP939" s="178"/>
      <c r="AQ939" s="178"/>
      <c r="AR939" s="178"/>
      <c r="AS939" s="178"/>
      <c r="AT939" s="178"/>
      <c r="AU939" s="178"/>
      <c r="AV939" s="178"/>
      <c r="AW939" s="178"/>
      <c r="AX939" s="178"/>
    </row>
    <row r="940" spans="1:50" ht="15.75" customHeight="1" x14ac:dyDescent="0.3">
      <c r="A940" s="13"/>
      <c r="B940" s="13"/>
      <c r="C940" s="13"/>
      <c r="E940" s="178"/>
      <c r="H940" s="178"/>
      <c r="J940" s="42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  <c r="AI940" s="178"/>
      <c r="AJ940" s="178"/>
      <c r="AK940" s="178"/>
      <c r="AL940" s="178"/>
      <c r="AM940" s="178"/>
      <c r="AN940" s="178"/>
      <c r="AO940" s="178"/>
      <c r="AP940" s="178"/>
      <c r="AQ940" s="178"/>
      <c r="AR940" s="178"/>
      <c r="AS940" s="178"/>
      <c r="AT940" s="178"/>
      <c r="AU940" s="178"/>
      <c r="AV940" s="178"/>
      <c r="AW940" s="178"/>
      <c r="AX940" s="178"/>
    </row>
    <row r="941" spans="1:50" ht="15.75" customHeight="1" x14ac:dyDescent="0.3">
      <c r="A941" s="13"/>
      <c r="B941" s="13"/>
      <c r="C941" s="13"/>
      <c r="E941" s="178"/>
      <c r="H941" s="178"/>
      <c r="J941" s="42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8"/>
      <c r="AQ941" s="178"/>
      <c r="AR941" s="178"/>
      <c r="AS941" s="178"/>
      <c r="AT941" s="178"/>
      <c r="AU941" s="178"/>
      <c r="AV941" s="178"/>
      <c r="AW941" s="178"/>
      <c r="AX941" s="178"/>
    </row>
    <row r="942" spans="1:50" ht="15.75" customHeight="1" x14ac:dyDescent="0.3">
      <c r="A942" s="13"/>
      <c r="B942" s="13"/>
      <c r="C942" s="13"/>
      <c r="E942" s="178"/>
      <c r="H942" s="178"/>
      <c r="J942" s="42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  <c r="AI942" s="178"/>
      <c r="AJ942" s="178"/>
      <c r="AK942" s="178"/>
      <c r="AL942" s="178"/>
      <c r="AM942" s="178"/>
      <c r="AN942" s="178"/>
      <c r="AO942" s="178"/>
      <c r="AP942" s="178"/>
      <c r="AQ942" s="178"/>
      <c r="AR942" s="178"/>
      <c r="AS942" s="178"/>
      <c r="AT942" s="178"/>
      <c r="AU942" s="178"/>
      <c r="AV942" s="178"/>
      <c r="AW942" s="178"/>
      <c r="AX942" s="178"/>
    </row>
    <row r="943" spans="1:50" ht="15.75" customHeight="1" x14ac:dyDescent="0.3">
      <c r="A943" s="13"/>
      <c r="B943" s="13"/>
      <c r="C943" s="13"/>
      <c r="E943" s="178"/>
      <c r="H943" s="178"/>
      <c r="J943" s="42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  <c r="AI943" s="178"/>
      <c r="AJ943" s="178"/>
      <c r="AK943" s="178"/>
      <c r="AL943" s="178"/>
      <c r="AM943" s="178"/>
      <c r="AN943" s="178"/>
      <c r="AO943" s="178"/>
      <c r="AP943" s="178"/>
      <c r="AQ943" s="178"/>
      <c r="AR943" s="178"/>
      <c r="AS943" s="178"/>
      <c r="AT943" s="178"/>
      <c r="AU943" s="178"/>
      <c r="AV943" s="178"/>
      <c r="AW943" s="178"/>
      <c r="AX943" s="178"/>
    </row>
    <row r="944" spans="1:50" ht="15.75" customHeight="1" x14ac:dyDescent="0.3">
      <c r="A944" s="13"/>
      <c r="B944" s="13"/>
      <c r="C944" s="13"/>
      <c r="E944" s="178"/>
      <c r="H944" s="178"/>
      <c r="J944" s="42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  <c r="AI944" s="178"/>
      <c r="AJ944" s="178"/>
      <c r="AK944" s="178"/>
      <c r="AL944" s="178"/>
      <c r="AM944" s="178"/>
      <c r="AN944" s="178"/>
      <c r="AO944" s="178"/>
      <c r="AP944" s="178"/>
      <c r="AQ944" s="178"/>
      <c r="AR944" s="178"/>
      <c r="AS944" s="178"/>
      <c r="AT944" s="178"/>
      <c r="AU944" s="178"/>
      <c r="AV944" s="178"/>
      <c r="AW944" s="178"/>
      <c r="AX944" s="178"/>
    </row>
    <row r="945" spans="1:50" ht="15.75" customHeight="1" x14ac:dyDescent="0.3">
      <c r="A945" s="13"/>
      <c r="B945" s="13"/>
      <c r="C945" s="13"/>
      <c r="E945" s="178"/>
      <c r="H945" s="178"/>
      <c r="J945" s="42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  <c r="AI945" s="178"/>
      <c r="AJ945" s="178"/>
      <c r="AK945" s="178"/>
      <c r="AL945" s="178"/>
      <c r="AM945" s="178"/>
      <c r="AN945" s="178"/>
      <c r="AO945" s="178"/>
      <c r="AP945" s="178"/>
      <c r="AQ945" s="178"/>
      <c r="AR945" s="178"/>
      <c r="AS945" s="178"/>
      <c r="AT945" s="178"/>
      <c r="AU945" s="178"/>
      <c r="AV945" s="178"/>
      <c r="AW945" s="178"/>
      <c r="AX945" s="178"/>
    </row>
    <row r="946" spans="1:50" ht="15.75" customHeight="1" x14ac:dyDescent="0.3">
      <c r="A946" s="13"/>
      <c r="B946" s="13"/>
      <c r="C946" s="13"/>
      <c r="E946" s="178"/>
      <c r="H946" s="178"/>
      <c r="J946" s="42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  <c r="AI946" s="178"/>
      <c r="AJ946" s="178"/>
      <c r="AK946" s="178"/>
      <c r="AL946" s="178"/>
      <c r="AM946" s="178"/>
      <c r="AN946" s="178"/>
      <c r="AO946" s="178"/>
      <c r="AP946" s="178"/>
      <c r="AQ946" s="178"/>
      <c r="AR946" s="178"/>
      <c r="AS946" s="178"/>
      <c r="AT946" s="178"/>
      <c r="AU946" s="178"/>
      <c r="AV946" s="178"/>
      <c r="AW946" s="178"/>
      <c r="AX946" s="178"/>
    </row>
    <row r="947" spans="1:50" ht="15.75" customHeight="1" x14ac:dyDescent="0.3">
      <c r="A947" s="13"/>
      <c r="B947" s="13"/>
      <c r="C947" s="13"/>
      <c r="E947" s="178"/>
      <c r="H947" s="178"/>
      <c r="J947" s="42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8"/>
      <c r="AQ947" s="178"/>
      <c r="AR947" s="178"/>
      <c r="AS947" s="178"/>
      <c r="AT947" s="178"/>
      <c r="AU947" s="178"/>
      <c r="AV947" s="178"/>
      <c r="AW947" s="178"/>
      <c r="AX947" s="178"/>
    </row>
    <row r="948" spans="1:50" ht="15.75" customHeight="1" x14ac:dyDescent="0.3">
      <c r="A948" s="13"/>
      <c r="B948" s="13"/>
      <c r="C948" s="13"/>
      <c r="E948" s="178"/>
      <c r="H948" s="178"/>
      <c r="J948" s="42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  <c r="AI948" s="178"/>
      <c r="AJ948" s="178"/>
      <c r="AK948" s="178"/>
      <c r="AL948" s="178"/>
      <c r="AM948" s="178"/>
      <c r="AN948" s="178"/>
      <c r="AO948" s="178"/>
      <c r="AP948" s="178"/>
      <c r="AQ948" s="178"/>
      <c r="AR948" s="178"/>
      <c r="AS948" s="178"/>
      <c r="AT948" s="178"/>
      <c r="AU948" s="178"/>
      <c r="AV948" s="178"/>
      <c r="AW948" s="178"/>
      <c r="AX948" s="178"/>
    </row>
    <row r="949" spans="1:50" ht="15.75" customHeight="1" x14ac:dyDescent="0.3">
      <c r="A949" s="13"/>
      <c r="B949" s="13"/>
      <c r="C949" s="13"/>
      <c r="E949" s="178"/>
      <c r="H949" s="178"/>
      <c r="J949" s="42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  <c r="AI949" s="178"/>
      <c r="AJ949" s="178"/>
      <c r="AK949" s="178"/>
      <c r="AL949" s="178"/>
      <c r="AM949" s="178"/>
      <c r="AN949" s="178"/>
      <c r="AO949" s="178"/>
      <c r="AP949" s="178"/>
      <c r="AQ949" s="178"/>
      <c r="AR949" s="178"/>
      <c r="AS949" s="178"/>
      <c r="AT949" s="178"/>
      <c r="AU949" s="178"/>
      <c r="AV949" s="178"/>
      <c r="AW949" s="178"/>
      <c r="AX949" s="178"/>
    </row>
    <row r="950" spans="1:50" ht="15.75" customHeight="1" x14ac:dyDescent="0.3">
      <c r="A950" s="13"/>
      <c r="B950" s="13"/>
      <c r="C950" s="13"/>
      <c r="E950" s="178"/>
      <c r="H950" s="178"/>
      <c r="J950" s="42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  <c r="AI950" s="178"/>
      <c r="AJ950" s="178"/>
      <c r="AK950" s="178"/>
      <c r="AL950" s="178"/>
      <c r="AM950" s="178"/>
      <c r="AN950" s="178"/>
      <c r="AO950" s="178"/>
      <c r="AP950" s="178"/>
      <c r="AQ950" s="178"/>
      <c r="AR950" s="178"/>
      <c r="AS950" s="178"/>
      <c r="AT950" s="178"/>
      <c r="AU950" s="178"/>
      <c r="AV950" s="178"/>
      <c r="AW950" s="178"/>
      <c r="AX950" s="178"/>
    </row>
    <row r="951" spans="1:50" ht="15.75" customHeight="1" x14ac:dyDescent="0.3">
      <c r="A951" s="13"/>
      <c r="B951" s="13"/>
      <c r="C951" s="13"/>
      <c r="E951" s="178"/>
      <c r="H951" s="178"/>
      <c r="J951" s="42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  <c r="AI951" s="178"/>
      <c r="AJ951" s="178"/>
      <c r="AK951" s="178"/>
      <c r="AL951" s="178"/>
      <c r="AM951" s="178"/>
      <c r="AN951" s="178"/>
      <c r="AO951" s="178"/>
      <c r="AP951" s="178"/>
      <c r="AQ951" s="178"/>
      <c r="AR951" s="178"/>
      <c r="AS951" s="178"/>
      <c r="AT951" s="178"/>
      <c r="AU951" s="178"/>
      <c r="AV951" s="178"/>
      <c r="AW951" s="178"/>
      <c r="AX951" s="178"/>
    </row>
    <row r="952" spans="1:50" ht="15.75" customHeight="1" x14ac:dyDescent="0.3">
      <c r="A952" s="13"/>
      <c r="B952" s="13"/>
      <c r="C952" s="13"/>
      <c r="E952" s="178"/>
      <c r="H952" s="178"/>
      <c r="J952" s="42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  <c r="AI952" s="178"/>
      <c r="AJ952" s="178"/>
      <c r="AK952" s="178"/>
      <c r="AL952" s="178"/>
      <c r="AM952" s="178"/>
      <c r="AN952" s="178"/>
      <c r="AO952" s="178"/>
      <c r="AP952" s="178"/>
      <c r="AQ952" s="178"/>
      <c r="AR952" s="178"/>
      <c r="AS952" s="178"/>
      <c r="AT952" s="178"/>
      <c r="AU952" s="178"/>
      <c r="AV952" s="178"/>
      <c r="AW952" s="178"/>
      <c r="AX952" s="178"/>
    </row>
    <row r="953" spans="1:50" ht="15.75" customHeight="1" x14ac:dyDescent="0.3">
      <c r="A953" s="13"/>
      <c r="B953" s="13"/>
      <c r="C953" s="13"/>
      <c r="E953" s="178"/>
      <c r="H953" s="178"/>
      <c r="J953" s="42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  <c r="AI953" s="178"/>
      <c r="AJ953" s="178"/>
      <c r="AK953" s="178"/>
      <c r="AL953" s="178"/>
      <c r="AM953" s="178"/>
      <c r="AN953" s="178"/>
      <c r="AO953" s="178"/>
      <c r="AP953" s="178"/>
      <c r="AQ953" s="178"/>
      <c r="AR953" s="178"/>
      <c r="AS953" s="178"/>
      <c r="AT953" s="178"/>
      <c r="AU953" s="178"/>
      <c r="AV953" s="178"/>
      <c r="AW953" s="178"/>
      <c r="AX953" s="178"/>
    </row>
    <row r="954" spans="1:50" ht="15.75" customHeight="1" x14ac:dyDescent="0.3">
      <c r="A954" s="13"/>
      <c r="B954" s="13"/>
      <c r="C954" s="13"/>
      <c r="E954" s="178"/>
      <c r="H954" s="178"/>
      <c r="J954" s="42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  <c r="AI954" s="178"/>
      <c r="AJ954" s="178"/>
      <c r="AK954" s="178"/>
      <c r="AL954" s="178"/>
      <c r="AM954" s="178"/>
      <c r="AN954" s="178"/>
      <c r="AO954" s="178"/>
      <c r="AP954" s="178"/>
      <c r="AQ954" s="178"/>
      <c r="AR954" s="178"/>
      <c r="AS954" s="178"/>
      <c r="AT954" s="178"/>
      <c r="AU954" s="178"/>
      <c r="AV954" s="178"/>
      <c r="AW954" s="178"/>
      <c r="AX954" s="178"/>
    </row>
    <row r="955" spans="1:50" ht="15.75" customHeight="1" x14ac:dyDescent="0.3">
      <c r="A955" s="13"/>
      <c r="B955" s="13"/>
      <c r="C955" s="13"/>
      <c r="E955" s="178"/>
      <c r="H955" s="178"/>
      <c r="J955" s="42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  <c r="AI955" s="178"/>
      <c r="AJ955" s="178"/>
      <c r="AK955" s="178"/>
      <c r="AL955" s="178"/>
      <c r="AM955" s="178"/>
      <c r="AN955" s="178"/>
      <c r="AO955" s="178"/>
      <c r="AP955" s="178"/>
      <c r="AQ955" s="178"/>
      <c r="AR955" s="178"/>
      <c r="AS955" s="178"/>
      <c r="AT955" s="178"/>
      <c r="AU955" s="178"/>
      <c r="AV955" s="178"/>
      <c r="AW955" s="178"/>
      <c r="AX955" s="178"/>
    </row>
    <row r="956" spans="1:50" ht="15.75" customHeight="1" x14ac:dyDescent="0.3">
      <c r="A956" s="13"/>
      <c r="B956" s="13"/>
      <c r="C956" s="13"/>
      <c r="E956" s="178"/>
      <c r="H956" s="178"/>
      <c r="J956" s="42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  <c r="AI956" s="178"/>
      <c r="AJ956" s="178"/>
      <c r="AK956" s="178"/>
      <c r="AL956" s="178"/>
      <c r="AM956" s="178"/>
      <c r="AN956" s="178"/>
      <c r="AO956" s="178"/>
      <c r="AP956" s="178"/>
      <c r="AQ956" s="178"/>
      <c r="AR956" s="178"/>
      <c r="AS956" s="178"/>
      <c r="AT956" s="178"/>
      <c r="AU956" s="178"/>
      <c r="AV956" s="178"/>
      <c r="AW956" s="178"/>
      <c r="AX956" s="178"/>
    </row>
    <row r="957" spans="1:50" ht="15.75" customHeight="1" x14ac:dyDescent="0.3">
      <c r="A957" s="13"/>
      <c r="B957" s="13"/>
      <c r="C957" s="13"/>
      <c r="E957" s="178"/>
      <c r="H957" s="178"/>
      <c r="J957" s="42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  <c r="AI957" s="178"/>
      <c r="AJ957" s="178"/>
      <c r="AK957" s="178"/>
      <c r="AL957" s="178"/>
      <c r="AM957" s="178"/>
      <c r="AN957" s="178"/>
      <c r="AO957" s="178"/>
      <c r="AP957" s="178"/>
      <c r="AQ957" s="178"/>
      <c r="AR957" s="178"/>
      <c r="AS957" s="178"/>
      <c r="AT957" s="178"/>
      <c r="AU957" s="178"/>
      <c r="AV957" s="178"/>
      <c r="AW957" s="178"/>
      <c r="AX957" s="178"/>
    </row>
    <row r="958" spans="1:50" ht="15.75" customHeight="1" x14ac:dyDescent="0.3">
      <c r="A958" s="13"/>
      <c r="B958" s="13"/>
      <c r="C958" s="13"/>
      <c r="E958" s="178"/>
      <c r="H958" s="178"/>
      <c r="J958" s="42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  <c r="AI958" s="178"/>
      <c r="AJ958" s="178"/>
      <c r="AK958" s="178"/>
      <c r="AL958" s="178"/>
      <c r="AM958" s="178"/>
      <c r="AN958" s="178"/>
      <c r="AO958" s="178"/>
      <c r="AP958" s="178"/>
      <c r="AQ958" s="178"/>
      <c r="AR958" s="178"/>
      <c r="AS958" s="178"/>
      <c r="AT958" s="178"/>
      <c r="AU958" s="178"/>
      <c r="AV958" s="178"/>
      <c r="AW958" s="178"/>
      <c r="AX958" s="178"/>
    </row>
    <row r="959" spans="1:50" ht="15.75" customHeight="1" x14ac:dyDescent="0.3">
      <c r="A959" s="13"/>
      <c r="B959" s="13"/>
      <c r="C959" s="13"/>
      <c r="E959" s="178"/>
      <c r="H959" s="178"/>
      <c r="J959" s="42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  <c r="AI959" s="178"/>
      <c r="AJ959" s="178"/>
      <c r="AK959" s="178"/>
      <c r="AL959" s="178"/>
      <c r="AM959" s="178"/>
      <c r="AN959" s="178"/>
      <c r="AO959" s="178"/>
      <c r="AP959" s="178"/>
      <c r="AQ959" s="178"/>
      <c r="AR959" s="178"/>
      <c r="AS959" s="178"/>
      <c r="AT959" s="178"/>
      <c r="AU959" s="178"/>
      <c r="AV959" s="178"/>
      <c r="AW959" s="178"/>
      <c r="AX959" s="178"/>
    </row>
    <row r="960" spans="1:50" ht="15.75" customHeight="1" x14ac:dyDescent="0.3">
      <c r="A960" s="13"/>
      <c r="B960" s="13"/>
      <c r="C960" s="13"/>
      <c r="E960" s="178"/>
      <c r="H960" s="178"/>
      <c r="J960" s="42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  <c r="AI960" s="178"/>
      <c r="AJ960" s="178"/>
      <c r="AK960" s="178"/>
      <c r="AL960" s="178"/>
      <c r="AM960" s="178"/>
      <c r="AN960" s="178"/>
      <c r="AO960" s="178"/>
      <c r="AP960" s="178"/>
      <c r="AQ960" s="178"/>
      <c r="AR960" s="178"/>
      <c r="AS960" s="178"/>
      <c r="AT960" s="178"/>
      <c r="AU960" s="178"/>
      <c r="AV960" s="178"/>
      <c r="AW960" s="178"/>
      <c r="AX960" s="178"/>
    </row>
    <row r="961" spans="1:50" ht="15.75" customHeight="1" x14ac:dyDescent="0.3">
      <c r="A961" s="13"/>
      <c r="B961" s="13"/>
      <c r="C961" s="13"/>
      <c r="E961" s="178"/>
      <c r="H961" s="178"/>
      <c r="J961" s="42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  <c r="AI961" s="178"/>
      <c r="AJ961" s="178"/>
      <c r="AK961" s="178"/>
      <c r="AL961" s="178"/>
      <c r="AM961" s="178"/>
      <c r="AN961" s="178"/>
      <c r="AO961" s="178"/>
      <c r="AP961" s="178"/>
      <c r="AQ961" s="178"/>
      <c r="AR961" s="178"/>
      <c r="AS961" s="178"/>
      <c r="AT961" s="178"/>
      <c r="AU961" s="178"/>
      <c r="AV961" s="178"/>
      <c r="AW961" s="178"/>
      <c r="AX961" s="178"/>
    </row>
    <row r="962" spans="1:50" ht="15.75" customHeight="1" x14ac:dyDescent="0.3">
      <c r="A962" s="13"/>
      <c r="B962" s="13"/>
      <c r="C962" s="13"/>
      <c r="E962" s="178"/>
      <c r="H962" s="178"/>
      <c r="J962" s="42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  <c r="AI962" s="178"/>
      <c r="AJ962" s="178"/>
      <c r="AK962" s="178"/>
      <c r="AL962" s="178"/>
      <c r="AM962" s="178"/>
      <c r="AN962" s="178"/>
      <c r="AO962" s="178"/>
      <c r="AP962" s="178"/>
      <c r="AQ962" s="178"/>
      <c r="AR962" s="178"/>
      <c r="AS962" s="178"/>
      <c r="AT962" s="178"/>
      <c r="AU962" s="178"/>
      <c r="AV962" s="178"/>
      <c r="AW962" s="178"/>
      <c r="AX962" s="178"/>
    </row>
    <row r="963" spans="1:50" ht="15.75" customHeight="1" x14ac:dyDescent="0.3">
      <c r="A963" s="13"/>
      <c r="B963" s="13"/>
      <c r="C963" s="13"/>
      <c r="E963" s="178"/>
      <c r="H963" s="178"/>
      <c r="J963" s="42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  <c r="AI963" s="178"/>
      <c r="AJ963" s="178"/>
      <c r="AK963" s="178"/>
      <c r="AL963" s="178"/>
      <c r="AM963" s="178"/>
      <c r="AN963" s="178"/>
      <c r="AO963" s="178"/>
      <c r="AP963" s="178"/>
      <c r="AQ963" s="178"/>
      <c r="AR963" s="178"/>
      <c r="AS963" s="178"/>
      <c r="AT963" s="178"/>
      <c r="AU963" s="178"/>
      <c r="AV963" s="178"/>
      <c r="AW963" s="178"/>
      <c r="AX963" s="178"/>
    </row>
    <row r="964" spans="1:50" ht="15.75" customHeight="1" x14ac:dyDescent="0.3">
      <c r="A964" s="13"/>
      <c r="B964" s="13"/>
      <c r="C964" s="13"/>
      <c r="E964" s="178"/>
      <c r="H964" s="178"/>
      <c r="J964" s="42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  <c r="AI964" s="178"/>
      <c r="AJ964" s="178"/>
      <c r="AK964" s="178"/>
      <c r="AL964" s="178"/>
      <c r="AM964" s="178"/>
      <c r="AN964" s="178"/>
      <c r="AO964" s="178"/>
      <c r="AP964" s="178"/>
      <c r="AQ964" s="178"/>
      <c r="AR964" s="178"/>
      <c r="AS964" s="178"/>
      <c r="AT964" s="178"/>
      <c r="AU964" s="178"/>
      <c r="AV964" s="178"/>
      <c r="AW964" s="178"/>
      <c r="AX964" s="178"/>
    </row>
    <row r="965" spans="1:50" ht="15.75" customHeight="1" x14ac:dyDescent="0.3">
      <c r="A965" s="13"/>
      <c r="B965" s="13"/>
      <c r="C965" s="13"/>
      <c r="E965" s="178"/>
      <c r="H965" s="178"/>
      <c r="J965" s="42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8"/>
      <c r="AQ965" s="178"/>
      <c r="AR965" s="178"/>
      <c r="AS965" s="178"/>
      <c r="AT965" s="178"/>
      <c r="AU965" s="178"/>
      <c r="AV965" s="178"/>
      <c r="AW965" s="178"/>
      <c r="AX965" s="178"/>
    </row>
    <row r="966" spans="1:50" ht="15.75" customHeight="1" x14ac:dyDescent="0.3">
      <c r="A966" s="13"/>
      <c r="B966" s="13"/>
      <c r="C966" s="13"/>
      <c r="E966" s="178"/>
      <c r="H966" s="178"/>
      <c r="J966" s="42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  <c r="AI966" s="178"/>
      <c r="AJ966" s="178"/>
      <c r="AK966" s="178"/>
      <c r="AL966" s="178"/>
      <c r="AM966" s="178"/>
      <c r="AN966" s="178"/>
      <c r="AO966" s="178"/>
      <c r="AP966" s="178"/>
      <c r="AQ966" s="178"/>
      <c r="AR966" s="178"/>
      <c r="AS966" s="178"/>
      <c r="AT966" s="178"/>
      <c r="AU966" s="178"/>
      <c r="AV966" s="178"/>
      <c r="AW966" s="178"/>
      <c r="AX966" s="178"/>
    </row>
    <row r="967" spans="1:50" ht="15.75" customHeight="1" x14ac:dyDescent="0.3">
      <c r="A967" s="13"/>
      <c r="B967" s="13"/>
      <c r="C967" s="13"/>
      <c r="E967" s="178"/>
      <c r="H967" s="178"/>
      <c r="J967" s="42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  <c r="AI967" s="178"/>
      <c r="AJ967" s="178"/>
      <c r="AK967" s="178"/>
      <c r="AL967" s="178"/>
      <c r="AM967" s="178"/>
      <c r="AN967" s="178"/>
      <c r="AO967" s="178"/>
      <c r="AP967" s="178"/>
      <c r="AQ967" s="178"/>
      <c r="AR967" s="178"/>
      <c r="AS967" s="178"/>
      <c r="AT967" s="178"/>
      <c r="AU967" s="178"/>
      <c r="AV967" s="178"/>
      <c r="AW967" s="178"/>
      <c r="AX967" s="178"/>
    </row>
    <row r="968" spans="1:50" ht="15.75" customHeight="1" x14ac:dyDescent="0.3">
      <c r="A968" s="13"/>
      <c r="B968" s="13"/>
      <c r="C968" s="13"/>
      <c r="E968" s="178"/>
      <c r="H968" s="178"/>
      <c r="J968" s="42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  <c r="AI968" s="178"/>
      <c r="AJ968" s="178"/>
      <c r="AK968" s="178"/>
      <c r="AL968" s="178"/>
      <c r="AM968" s="178"/>
      <c r="AN968" s="178"/>
      <c r="AO968" s="178"/>
      <c r="AP968" s="178"/>
      <c r="AQ968" s="178"/>
      <c r="AR968" s="178"/>
      <c r="AS968" s="178"/>
      <c r="AT968" s="178"/>
      <c r="AU968" s="178"/>
      <c r="AV968" s="178"/>
      <c r="AW968" s="178"/>
      <c r="AX968" s="178"/>
    </row>
    <row r="969" spans="1:50" ht="15.75" customHeight="1" x14ac:dyDescent="0.3">
      <c r="A969" s="13"/>
      <c r="B969" s="13"/>
      <c r="C969" s="13"/>
      <c r="E969" s="178"/>
      <c r="H969" s="178"/>
      <c r="J969" s="42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  <c r="AI969" s="178"/>
      <c r="AJ969" s="178"/>
      <c r="AK969" s="178"/>
      <c r="AL969" s="178"/>
      <c r="AM969" s="178"/>
      <c r="AN969" s="178"/>
      <c r="AO969" s="178"/>
      <c r="AP969" s="178"/>
      <c r="AQ969" s="178"/>
      <c r="AR969" s="178"/>
      <c r="AS969" s="178"/>
      <c r="AT969" s="178"/>
      <c r="AU969" s="178"/>
      <c r="AV969" s="178"/>
      <c r="AW969" s="178"/>
      <c r="AX969" s="178"/>
    </row>
    <row r="970" spans="1:50" ht="15.75" customHeight="1" x14ac:dyDescent="0.3">
      <c r="A970" s="13"/>
      <c r="B970" s="13"/>
      <c r="C970" s="13"/>
      <c r="E970" s="178"/>
      <c r="H970" s="178"/>
      <c r="J970" s="42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  <c r="AI970" s="178"/>
      <c r="AJ970" s="178"/>
      <c r="AK970" s="178"/>
      <c r="AL970" s="178"/>
      <c r="AM970" s="178"/>
      <c r="AN970" s="178"/>
      <c r="AO970" s="178"/>
      <c r="AP970" s="178"/>
      <c r="AQ970" s="178"/>
      <c r="AR970" s="178"/>
      <c r="AS970" s="178"/>
      <c r="AT970" s="178"/>
      <c r="AU970" s="178"/>
      <c r="AV970" s="178"/>
      <c r="AW970" s="178"/>
      <c r="AX970" s="178"/>
    </row>
    <row r="971" spans="1:50" ht="15.75" customHeight="1" x14ac:dyDescent="0.3">
      <c r="A971" s="13"/>
      <c r="B971" s="13"/>
      <c r="C971" s="13"/>
      <c r="E971" s="178"/>
      <c r="H971" s="178"/>
      <c r="J971" s="42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8"/>
      <c r="AQ971" s="178"/>
      <c r="AR971" s="178"/>
      <c r="AS971" s="178"/>
      <c r="AT971" s="178"/>
      <c r="AU971" s="178"/>
      <c r="AV971" s="178"/>
      <c r="AW971" s="178"/>
      <c r="AX971" s="178"/>
    </row>
    <row r="972" spans="1:50" ht="15.75" customHeight="1" x14ac:dyDescent="0.3">
      <c r="A972" s="13"/>
      <c r="B972" s="13"/>
      <c r="C972" s="13"/>
      <c r="E972" s="178"/>
      <c r="H972" s="178"/>
      <c r="J972" s="42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  <c r="AI972" s="178"/>
      <c r="AJ972" s="178"/>
      <c r="AK972" s="178"/>
      <c r="AL972" s="178"/>
      <c r="AM972" s="178"/>
      <c r="AN972" s="178"/>
      <c r="AO972" s="178"/>
      <c r="AP972" s="178"/>
      <c r="AQ972" s="178"/>
      <c r="AR972" s="178"/>
      <c r="AS972" s="178"/>
      <c r="AT972" s="178"/>
      <c r="AU972" s="178"/>
      <c r="AV972" s="178"/>
      <c r="AW972" s="178"/>
      <c r="AX972" s="178"/>
    </row>
    <row r="973" spans="1:50" ht="15.75" customHeight="1" x14ac:dyDescent="0.3">
      <c r="A973" s="13"/>
      <c r="B973" s="13"/>
      <c r="C973" s="13"/>
      <c r="E973" s="178"/>
      <c r="H973" s="178"/>
      <c r="J973" s="42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  <c r="AI973" s="178"/>
      <c r="AJ973" s="178"/>
      <c r="AK973" s="178"/>
      <c r="AL973" s="178"/>
      <c r="AM973" s="178"/>
      <c r="AN973" s="178"/>
      <c r="AO973" s="178"/>
      <c r="AP973" s="178"/>
      <c r="AQ973" s="178"/>
      <c r="AR973" s="178"/>
      <c r="AS973" s="178"/>
      <c r="AT973" s="178"/>
      <c r="AU973" s="178"/>
      <c r="AV973" s="178"/>
      <c r="AW973" s="178"/>
      <c r="AX973" s="178"/>
    </row>
    <row r="974" spans="1:50" ht="15.75" customHeight="1" x14ac:dyDescent="0.3">
      <c r="A974" s="13"/>
      <c r="B974" s="13"/>
      <c r="C974" s="13"/>
      <c r="E974" s="178"/>
      <c r="H974" s="178"/>
      <c r="J974" s="42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  <c r="AI974" s="178"/>
      <c r="AJ974" s="178"/>
      <c r="AK974" s="178"/>
      <c r="AL974" s="178"/>
      <c r="AM974" s="178"/>
      <c r="AN974" s="178"/>
      <c r="AO974" s="178"/>
      <c r="AP974" s="178"/>
      <c r="AQ974" s="178"/>
      <c r="AR974" s="178"/>
      <c r="AS974" s="178"/>
      <c r="AT974" s="178"/>
      <c r="AU974" s="178"/>
      <c r="AV974" s="178"/>
      <c r="AW974" s="178"/>
      <c r="AX974" s="178"/>
    </row>
    <row r="975" spans="1:50" ht="15.75" customHeight="1" x14ac:dyDescent="0.3">
      <c r="A975" s="13"/>
      <c r="B975" s="13"/>
      <c r="C975" s="13"/>
      <c r="E975" s="178"/>
      <c r="H975" s="178"/>
      <c r="J975" s="42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  <c r="AI975" s="178"/>
      <c r="AJ975" s="178"/>
      <c r="AK975" s="178"/>
      <c r="AL975" s="178"/>
      <c r="AM975" s="178"/>
      <c r="AN975" s="178"/>
      <c r="AO975" s="178"/>
      <c r="AP975" s="178"/>
      <c r="AQ975" s="178"/>
      <c r="AR975" s="178"/>
      <c r="AS975" s="178"/>
      <c r="AT975" s="178"/>
      <c r="AU975" s="178"/>
      <c r="AV975" s="178"/>
      <c r="AW975" s="178"/>
      <c r="AX975" s="178"/>
    </row>
    <row r="976" spans="1:50" ht="15.75" customHeight="1" x14ac:dyDescent="0.3">
      <c r="A976" s="13"/>
      <c r="B976" s="13"/>
      <c r="C976" s="13"/>
      <c r="E976" s="178"/>
      <c r="H976" s="178"/>
      <c r="J976" s="42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  <c r="AI976" s="178"/>
      <c r="AJ976" s="178"/>
      <c r="AK976" s="178"/>
      <c r="AL976" s="178"/>
      <c r="AM976" s="178"/>
      <c r="AN976" s="178"/>
      <c r="AO976" s="178"/>
      <c r="AP976" s="178"/>
      <c r="AQ976" s="178"/>
      <c r="AR976" s="178"/>
      <c r="AS976" s="178"/>
      <c r="AT976" s="178"/>
      <c r="AU976" s="178"/>
      <c r="AV976" s="178"/>
      <c r="AW976" s="178"/>
      <c r="AX976" s="178"/>
    </row>
    <row r="977" spans="1:50" ht="15.75" customHeight="1" x14ac:dyDescent="0.3">
      <c r="A977" s="13"/>
      <c r="B977" s="13"/>
      <c r="C977" s="13"/>
      <c r="E977" s="178"/>
      <c r="H977" s="178"/>
      <c r="J977" s="42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  <c r="AI977" s="178"/>
      <c r="AJ977" s="178"/>
      <c r="AK977" s="178"/>
      <c r="AL977" s="178"/>
      <c r="AM977" s="178"/>
      <c r="AN977" s="178"/>
      <c r="AO977" s="178"/>
      <c r="AP977" s="178"/>
      <c r="AQ977" s="178"/>
      <c r="AR977" s="178"/>
      <c r="AS977" s="178"/>
      <c r="AT977" s="178"/>
      <c r="AU977" s="178"/>
      <c r="AV977" s="178"/>
      <c r="AW977" s="178"/>
      <c r="AX977" s="178"/>
    </row>
    <row r="978" spans="1:50" ht="15.75" customHeight="1" x14ac:dyDescent="0.3">
      <c r="A978" s="13"/>
      <c r="B978" s="13"/>
      <c r="C978" s="13"/>
      <c r="E978" s="178"/>
      <c r="H978" s="178"/>
      <c r="J978" s="42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  <c r="AI978" s="178"/>
      <c r="AJ978" s="178"/>
      <c r="AK978" s="178"/>
      <c r="AL978" s="178"/>
      <c r="AM978" s="178"/>
      <c r="AN978" s="178"/>
      <c r="AO978" s="178"/>
      <c r="AP978" s="178"/>
      <c r="AQ978" s="178"/>
      <c r="AR978" s="178"/>
      <c r="AS978" s="178"/>
      <c r="AT978" s="178"/>
      <c r="AU978" s="178"/>
      <c r="AV978" s="178"/>
      <c r="AW978" s="178"/>
      <c r="AX978" s="178"/>
    </row>
    <row r="979" spans="1:50" ht="15.75" customHeight="1" x14ac:dyDescent="0.3">
      <c r="A979" s="13"/>
      <c r="B979" s="13"/>
      <c r="C979" s="13"/>
      <c r="E979" s="178"/>
      <c r="H979" s="178"/>
      <c r="J979" s="42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8"/>
      <c r="AQ979" s="178"/>
      <c r="AR979" s="178"/>
      <c r="AS979" s="178"/>
      <c r="AT979" s="178"/>
      <c r="AU979" s="178"/>
      <c r="AV979" s="178"/>
      <c r="AW979" s="178"/>
      <c r="AX979" s="178"/>
    </row>
    <row r="980" spans="1:50" ht="15.75" customHeight="1" x14ac:dyDescent="0.3">
      <c r="A980" s="13"/>
      <c r="B980" s="13"/>
      <c r="C980" s="13"/>
      <c r="E980" s="178"/>
      <c r="H980" s="178"/>
      <c r="J980" s="42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  <c r="AI980" s="178"/>
      <c r="AJ980" s="178"/>
      <c r="AK980" s="178"/>
      <c r="AL980" s="178"/>
      <c r="AM980" s="178"/>
      <c r="AN980" s="178"/>
      <c r="AO980" s="178"/>
      <c r="AP980" s="178"/>
      <c r="AQ980" s="178"/>
      <c r="AR980" s="178"/>
      <c r="AS980" s="178"/>
      <c r="AT980" s="178"/>
      <c r="AU980" s="178"/>
      <c r="AV980" s="178"/>
      <c r="AW980" s="178"/>
      <c r="AX980" s="178"/>
    </row>
    <row r="981" spans="1:50" ht="15.75" customHeight="1" x14ac:dyDescent="0.3">
      <c r="A981" s="13"/>
      <c r="B981" s="13"/>
      <c r="C981" s="13"/>
      <c r="E981" s="178"/>
      <c r="H981" s="178"/>
      <c r="J981" s="42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  <c r="AI981" s="178"/>
      <c r="AJ981" s="178"/>
      <c r="AK981" s="178"/>
      <c r="AL981" s="178"/>
      <c r="AM981" s="178"/>
      <c r="AN981" s="178"/>
      <c r="AO981" s="178"/>
      <c r="AP981" s="178"/>
      <c r="AQ981" s="178"/>
      <c r="AR981" s="178"/>
      <c r="AS981" s="178"/>
      <c r="AT981" s="178"/>
      <c r="AU981" s="178"/>
      <c r="AV981" s="178"/>
      <c r="AW981" s="178"/>
      <c r="AX981" s="178"/>
    </row>
    <row r="982" spans="1:50" ht="15.75" customHeight="1" x14ac:dyDescent="0.3">
      <c r="A982" s="13"/>
      <c r="B982" s="13"/>
      <c r="C982" s="13"/>
      <c r="E982" s="178"/>
      <c r="H982" s="178"/>
      <c r="J982" s="42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  <c r="AI982" s="178"/>
      <c r="AJ982" s="178"/>
      <c r="AK982" s="178"/>
      <c r="AL982" s="178"/>
      <c r="AM982" s="178"/>
      <c r="AN982" s="178"/>
      <c r="AO982" s="178"/>
      <c r="AP982" s="178"/>
      <c r="AQ982" s="178"/>
      <c r="AR982" s="178"/>
      <c r="AS982" s="178"/>
      <c r="AT982" s="178"/>
      <c r="AU982" s="178"/>
      <c r="AV982" s="178"/>
      <c r="AW982" s="178"/>
      <c r="AX982" s="178"/>
    </row>
    <row r="983" spans="1:50" ht="15.75" customHeight="1" x14ac:dyDescent="0.3">
      <c r="A983" s="13"/>
      <c r="B983" s="13"/>
      <c r="C983" s="13"/>
      <c r="E983" s="178"/>
      <c r="H983" s="178"/>
      <c r="J983" s="42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  <c r="AI983" s="178"/>
      <c r="AJ983" s="178"/>
      <c r="AK983" s="178"/>
      <c r="AL983" s="178"/>
      <c r="AM983" s="178"/>
      <c r="AN983" s="178"/>
      <c r="AO983" s="178"/>
      <c r="AP983" s="178"/>
      <c r="AQ983" s="178"/>
      <c r="AR983" s="178"/>
      <c r="AS983" s="178"/>
      <c r="AT983" s="178"/>
      <c r="AU983" s="178"/>
      <c r="AV983" s="178"/>
      <c r="AW983" s="178"/>
      <c r="AX983" s="178"/>
    </row>
    <row r="984" spans="1:50" ht="15.75" customHeight="1" x14ac:dyDescent="0.3">
      <c r="A984" s="13"/>
      <c r="B984" s="13"/>
      <c r="C984" s="13"/>
      <c r="E984" s="178"/>
      <c r="H984" s="178"/>
      <c r="J984" s="42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  <c r="AI984" s="178"/>
      <c r="AJ984" s="178"/>
      <c r="AK984" s="178"/>
      <c r="AL984" s="178"/>
      <c r="AM984" s="178"/>
      <c r="AN984" s="178"/>
      <c r="AO984" s="178"/>
      <c r="AP984" s="178"/>
      <c r="AQ984" s="178"/>
      <c r="AR984" s="178"/>
      <c r="AS984" s="178"/>
      <c r="AT984" s="178"/>
      <c r="AU984" s="178"/>
      <c r="AV984" s="178"/>
      <c r="AW984" s="178"/>
      <c r="AX984" s="178"/>
    </row>
    <row r="985" spans="1:50" ht="15.75" customHeight="1" x14ac:dyDescent="0.3">
      <c r="A985" s="13"/>
      <c r="B985" s="13"/>
      <c r="C985" s="13"/>
      <c r="E985" s="178"/>
      <c r="H985" s="178"/>
      <c r="J985" s="42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  <c r="AI985" s="178"/>
      <c r="AJ985" s="178"/>
      <c r="AK985" s="178"/>
      <c r="AL985" s="178"/>
      <c r="AM985" s="178"/>
      <c r="AN985" s="178"/>
      <c r="AO985" s="178"/>
      <c r="AP985" s="178"/>
      <c r="AQ985" s="178"/>
      <c r="AR985" s="178"/>
      <c r="AS985" s="178"/>
      <c r="AT985" s="178"/>
      <c r="AU985" s="178"/>
      <c r="AV985" s="178"/>
      <c r="AW985" s="178"/>
      <c r="AX985" s="178"/>
    </row>
    <row r="986" spans="1:50" ht="15.75" customHeight="1" x14ac:dyDescent="0.3">
      <c r="A986" s="13"/>
      <c r="B986" s="13"/>
      <c r="C986" s="13"/>
      <c r="E986" s="178"/>
      <c r="H986" s="178"/>
      <c r="J986" s="42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  <c r="AI986" s="178"/>
      <c r="AJ986" s="178"/>
      <c r="AK986" s="178"/>
      <c r="AL986" s="178"/>
      <c r="AM986" s="178"/>
      <c r="AN986" s="178"/>
      <c r="AO986" s="178"/>
      <c r="AP986" s="178"/>
      <c r="AQ986" s="178"/>
      <c r="AR986" s="178"/>
      <c r="AS986" s="178"/>
      <c r="AT986" s="178"/>
      <c r="AU986" s="178"/>
      <c r="AV986" s="178"/>
      <c r="AW986" s="178"/>
      <c r="AX986" s="178"/>
    </row>
    <row r="987" spans="1:50" ht="15.75" customHeight="1" x14ac:dyDescent="0.3">
      <c r="A987" s="13"/>
      <c r="B987" s="13"/>
      <c r="C987" s="13"/>
      <c r="E987" s="178"/>
      <c r="H987" s="178"/>
      <c r="J987" s="42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8"/>
      <c r="AQ987" s="178"/>
      <c r="AR987" s="178"/>
      <c r="AS987" s="178"/>
      <c r="AT987" s="178"/>
      <c r="AU987" s="178"/>
      <c r="AV987" s="178"/>
      <c r="AW987" s="178"/>
      <c r="AX987" s="178"/>
    </row>
    <row r="988" spans="1:50" ht="15.75" customHeight="1" x14ac:dyDescent="0.3">
      <c r="A988" s="13"/>
      <c r="B988" s="13"/>
      <c r="C988" s="13"/>
      <c r="E988" s="178"/>
      <c r="H988" s="178"/>
      <c r="J988" s="42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  <c r="AI988" s="178"/>
      <c r="AJ988" s="178"/>
      <c r="AK988" s="178"/>
      <c r="AL988" s="178"/>
      <c r="AM988" s="178"/>
      <c r="AN988" s="178"/>
      <c r="AO988" s="178"/>
      <c r="AP988" s="178"/>
      <c r="AQ988" s="178"/>
      <c r="AR988" s="178"/>
      <c r="AS988" s="178"/>
      <c r="AT988" s="178"/>
      <c r="AU988" s="178"/>
      <c r="AV988" s="178"/>
      <c r="AW988" s="178"/>
      <c r="AX988" s="178"/>
    </row>
    <row r="989" spans="1:50" ht="15.75" customHeight="1" x14ac:dyDescent="0.3">
      <c r="A989" s="13"/>
      <c r="B989" s="13"/>
      <c r="C989" s="13"/>
      <c r="E989" s="178"/>
      <c r="H989" s="178"/>
      <c r="J989" s="42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  <c r="AI989" s="178"/>
      <c r="AJ989" s="178"/>
      <c r="AK989" s="178"/>
      <c r="AL989" s="178"/>
      <c r="AM989" s="178"/>
      <c r="AN989" s="178"/>
      <c r="AO989" s="178"/>
      <c r="AP989" s="178"/>
      <c r="AQ989" s="178"/>
      <c r="AR989" s="178"/>
      <c r="AS989" s="178"/>
      <c r="AT989" s="178"/>
      <c r="AU989" s="178"/>
      <c r="AV989" s="178"/>
      <c r="AW989" s="178"/>
      <c r="AX989" s="178"/>
    </row>
    <row r="990" spans="1:50" ht="15.75" customHeight="1" x14ac:dyDescent="0.3">
      <c r="A990" s="13"/>
      <c r="B990" s="13"/>
      <c r="C990" s="13"/>
      <c r="E990" s="178"/>
      <c r="H990" s="178"/>
      <c r="J990" s="42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  <c r="AI990" s="178"/>
      <c r="AJ990" s="178"/>
      <c r="AK990" s="178"/>
      <c r="AL990" s="178"/>
      <c r="AM990" s="178"/>
      <c r="AN990" s="178"/>
      <c r="AO990" s="178"/>
      <c r="AP990" s="178"/>
      <c r="AQ990" s="178"/>
      <c r="AR990" s="178"/>
      <c r="AS990" s="178"/>
      <c r="AT990" s="178"/>
      <c r="AU990" s="178"/>
      <c r="AV990" s="178"/>
      <c r="AW990" s="178"/>
      <c r="AX990" s="178"/>
    </row>
    <row r="991" spans="1:50" ht="15.75" customHeight="1" x14ac:dyDescent="0.3">
      <c r="A991" s="13"/>
      <c r="B991" s="13"/>
      <c r="C991" s="13"/>
      <c r="E991" s="178"/>
      <c r="H991" s="178"/>
      <c r="J991" s="42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  <c r="AI991" s="178"/>
      <c r="AJ991" s="178"/>
      <c r="AK991" s="178"/>
      <c r="AL991" s="178"/>
      <c r="AM991" s="178"/>
      <c r="AN991" s="178"/>
      <c r="AO991" s="178"/>
      <c r="AP991" s="178"/>
      <c r="AQ991" s="178"/>
      <c r="AR991" s="178"/>
      <c r="AS991" s="178"/>
      <c r="AT991" s="178"/>
      <c r="AU991" s="178"/>
      <c r="AV991" s="178"/>
      <c r="AW991" s="178"/>
      <c r="AX991" s="178"/>
    </row>
    <row r="992" spans="1:50" ht="15.75" customHeight="1" x14ac:dyDescent="0.3">
      <c r="A992" s="13"/>
      <c r="B992" s="13"/>
      <c r="C992" s="13"/>
      <c r="E992" s="178"/>
      <c r="H992" s="178"/>
      <c r="J992" s="42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  <c r="AI992" s="178"/>
      <c r="AJ992" s="178"/>
      <c r="AK992" s="178"/>
      <c r="AL992" s="178"/>
      <c r="AM992" s="178"/>
      <c r="AN992" s="178"/>
      <c r="AO992" s="178"/>
      <c r="AP992" s="178"/>
      <c r="AQ992" s="178"/>
      <c r="AR992" s="178"/>
      <c r="AS992" s="178"/>
      <c r="AT992" s="178"/>
      <c r="AU992" s="178"/>
      <c r="AV992" s="178"/>
      <c r="AW992" s="178"/>
      <c r="AX992" s="178"/>
    </row>
    <row r="993" spans="1:50" ht="15.75" customHeight="1" x14ac:dyDescent="0.3">
      <c r="A993" s="13"/>
      <c r="B993" s="13"/>
      <c r="C993" s="13"/>
      <c r="E993" s="178"/>
      <c r="H993" s="178"/>
      <c r="J993" s="42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  <c r="AI993" s="178"/>
      <c r="AJ993" s="178"/>
      <c r="AK993" s="178"/>
      <c r="AL993" s="178"/>
      <c r="AM993" s="178"/>
      <c r="AN993" s="178"/>
      <c r="AO993" s="178"/>
      <c r="AP993" s="178"/>
      <c r="AQ993" s="178"/>
      <c r="AR993" s="178"/>
      <c r="AS993" s="178"/>
      <c r="AT993" s="178"/>
      <c r="AU993" s="178"/>
      <c r="AV993" s="178"/>
      <c r="AW993" s="178"/>
      <c r="AX993" s="178"/>
    </row>
    <row r="994" spans="1:50" ht="15.75" customHeight="1" x14ac:dyDescent="0.3">
      <c r="A994" s="13"/>
      <c r="B994" s="13"/>
      <c r="C994" s="13"/>
      <c r="E994" s="178"/>
      <c r="H994" s="178"/>
      <c r="J994" s="42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  <c r="AI994" s="178"/>
      <c r="AJ994" s="178"/>
      <c r="AK994" s="178"/>
      <c r="AL994" s="178"/>
      <c r="AM994" s="178"/>
      <c r="AN994" s="178"/>
      <c r="AO994" s="178"/>
      <c r="AP994" s="178"/>
      <c r="AQ994" s="178"/>
      <c r="AR994" s="178"/>
      <c r="AS994" s="178"/>
      <c r="AT994" s="178"/>
      <c r="AU994" s="178"/>
      <c r="AV994" s="178"/>
      <c r="AW994" s="178"/>
      <c r="AX994" s="178"/>
    </row>
    <row r="995" spans="1:50" ht="15.75" customHeight="1" x14ac:dyDescent="0.3">
      <c r="A995" s="13"/>
      <c r="B995" s="13"/>
      <c r="C995" s="13"/>
      <c r="E995" s="178"/>
      <c r="H995" s="178"/>
      <c r="J995" s="42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8"/>
      <c r="AQ995" s="178"/>
      <c r="AR995" s="178"/>
      <c r="AS995" s="178"/>
      <c r="AT995" s="178"/>
      <c r="AU995" s="178"/>
      <c r="AV995" s="178"/>
      <c r="AW995" s="178"/>
      <c r="AX995" s="178"/>
    </row>
    <row r="996" spans="1:50" ht="15.75" customHeight="1" x14ac:dyDescent="0.3">
      <c r="A996" s="13"/>
      <c r="B996" s="13"/>
      <c r="C996" s="13"/>
      <c r="E996" s="178"/>
      <c r="H996" s="178"/>
      <c r="J996" s="42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  <c r="AI996" s="178"/>
      <c r="AJ996" s="178"/>
      <c r="AK996" s="178"/>
      <c r="AL996" s="178"/>
      <c r="AM996" s="178"/>
      <c r="AN996" s="178"/>
      <c r="AO996" s="178"/>
      <c r="AP996" s="178"/>
      <c r="AQ996" s="178"/>
      <c r="AR996" s="178"/>
      <c r="AS996" s="178"/>
      <c r="AT996" s="178"/>
      <c r="AU996" s="178"/>
      <c r="AV996" s="178"/>
      <c r="AW996" s="178"/>
      <c r="AX996" s="178"/>
    </row>
    <row r="997" spans="1:50" ht="15.75" customHeight="1" x14ac:dyDescent="0.3">
      <c r="A997" s="13"/>
      <c r="B997" s="13"/>
      <c r="C997" s="13"/>
      <c r="E997" s="178"/>
      <c r="H997" s="178"/>
      <c r="J997" s="42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  <c r="AI997" s="178"/>
      <c r="AJ997" s="178"/>
      <c r="AK997" s="178"/>
      <c r="AL997" s="178"/>
      <c r="AM997" s="178"/>
      <c r="AN997" s="178"/>
      <c r="AO997" s="178"/>
      <c r="AP997" s="178"/>
      <c r="AQ997" s="178"/>
      <c r="AR997" s="178"/>
      <c r="AS997" s="178"/>
      <c r="AT997" s="178"/>
      <c r="AU997" s="178"/>
      <c r="AV997" s="178"/>
      <c r="AW997" s="178"/>
      <c r="AX997" s="178"/>
    </row>
    <row r="998" spans="1:50" ht="15.75" customHeight="1" x14ac:dyDescent="0.3">
      <c r="A998" s="13"/>
      <c r="B998" s="13"/>
      <c r="C998" s="13"/>
      <c r="E998" s="178"/>
      <c r="H998" s="178"/>
      <c r="J998" s="42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  <c r="AI998" s="178"/>
      <c r="AJ998" s="178"/>
      <c r="AK998" s="178"/>
      <c r="AL998" s="178"/>
      <c r="AM998" s="178"/>
      <c r="AN998" s="178"/>
      <c r="AO998" s="178"/>
      <c r="AP998" s="178"/>
      <c r="AQ998" s="178"/>
      <c r="AR998" s="178"/>
      <c r="AS998" s="178"/>
      <c r="AT998" s="178"/>
      <c r="AU998" s="178"/>
      <c r="AV998" s="178"/>
      <c r="AW998" s="178"/>
      <c r="AX998" s="178"/>
    </row>
    <row r="999" spans="1:50" ht="15.75" customHeight="1" x14ac:dyDescent="0.3">
      <c r="A999" s="13"/>
      <c r="B999" s="13"/>
      <c r="C999" s="13"/>
      <c r="E999" s="178"/>
      <c r="H999" s="178"/>
      <c r="J999" s="42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  <c r="AI999" s="178"/>
      <c r="AJ999" s="178"/>
      <c r="AK999" s="178"/>
      <c r="AL999" s="178"/>
      <c r="AM999" s="178"/>
      <c r="AN999" s="178"/>
      <c r="AO999" s="178"/>
      <c r="AP999" s="178"/>
      <c r="AQ999" s="178"/>
      <c r="AR999" s="178"/>
      <c r="AS999" s="178"/>
      <c r="AT999" s="178"/>
      <c r="AU999" s="178"/>
      <c r="AV999" s="178"/>
      <c r="AW999" s="178"/>
      <c r="AX999" s="178"/>
    </row>
    <row r="1000" spans="1:50" ht="15.75" customHeight="1" x14ac:dyDescent="0.3">
      <c r="A1000" s="13"/>
      <c r="B1000" s="13"/>
      <c r="C1000" s="13"/>
      <c r="E1000" s="178"/>
      <c r="H1000" s="178"/>
      <c r="J1000" s="42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78"/>
      <c r="AI1000" s="178"/>
      <c r="AJ1000" s="178"/>
      <c r="AK1000" s="178"/>
      <c r="AL1000" s="178"/>
      <c r="AM1000" s="178"/>
      <c r="AN1000" s="178"/>
      <c r="AO1000" s="178"/>
      <c r="AP1000" s="178"/>
      <c r="AQ1000" s="178"/>
      <c r="AR1000" s="178"/>
      <c r="AS1000" s="178"/>
      <c r="AT1000" s="178"/>
      <c r="AU1000" s="178"/>
      <c r="AV1000" s="178"/>
      <c r="AW1000" s="178"/>
      <c r="AX1000" s="178"/>
    </row>
    <row r="1001" spans="1:50" ht="15.75" customHeight="1" x14ac:dyDescent="0.3">
      <c r="A1001" s="13"/>
      <c r="B1001" s="13"/>
      <c r="C1001" s="13"/>
      <c r="E1001" s="178"/>
      <c r="H1001" s="178"/>
      <c r="J1001" s="42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78"/>
      <c r="AI1001" s="178"/>
      <c r="AJ1001" s="178"/>
      <c r="AK1001" s="178"/>
      <c r="AL1001" s="178"/>
      <c r="AM1001" s="178"/>
      <c r="AN1001" s="178"/>
      <c r="AO1001" s="178"/>
      <c r="AP1001" s="178"/>
      <c r="AQ1001" s="178"/>
      <c r="AR1001" s="178"/>
      <c r="AS1001" s="178"/>
      <c r="AT1001" s="178"/>
      <c r="AU1001" s="178"/>
      <c r="AV1001" s="178"/>
      <c r="AW1001" s="178"/>
      <c r="AX1001" s="178"/>
    </row>
    <row r="1002" spans="1:50" ht="15.75" customHeight="1" x14ac:dyDescent="0.3">
      <c r="A1002" s="13"/>
      <c r="B1002" s="13"/>
      <c r="C1002" s="13"/>
      <c r="E1002" s="178"/>
      <c r="H1002" s="178"/>
      <c r="J1002" s="42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78"/>
      <c r="AI1002" s="178"/>
      <c r="AJ1002" s="178"/>
      <c r="AK1002" s="178"/>
      <c r="AL1002" s="178"/>
      <c r="AM1002" s="178"/>
      <c r="AN1002" s="178"/>
      <c r="AO1002" s="178"/>
      <c r="AP1002" s="178"/>
      <c r="AQ1002" s="178"/>
      <c r="AR1002" s="178"/>
      <c r="AS1002" s="178"/>
      <c r="AT1002" s="178"/>
      <c r="AU1002" s="178"/>
      <c r="AV1002" s="178"/>
      <c r="AW1002" s="178"/>
      <c r="AX1002" s="178"/>
    </row>
    <row r="1003" spans="1:50" ht="15.75" customHeight="1" x14ac:dyDescent="0.3">
      <c r="A1003" s="13"/>
      <c r="B1003" s="13"/>
      <c r="C1003" s="13"/>
      <c r="E1003" s="178"/>
      <c r="H1003" s="178"/>
      <c r="J1003" s="42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78"/>
      <c r="AI1003" s="178"/>
      <c r="AJ1003" s="178"/>
      <c r="AK1003" s="178"/>
      <c r="AL1003" s="178"/>
      <c r="AM1003" s="178"/>
      <c r="AN1003" s="178"/>
      <c r="AO1003" s="178"/>
      <c r="AP1003" s="178"/>
      <c r="AQ1003" s="178"/>
      <c r="AR1003" s="178"/>
      <c r="AS1003" s="178"/>
      <c r="AT1003" s="178"/>
      <c r="AU1003" s="178"/>
      <c r="AV1003" s="178"/>
      <c r="AW1003" s="178"/>
      <c r="AX1003" s="178"/>
    </row>
    <row r="1004" spans="1:50" ht="15.75" customHeight="1" x14ac:dyDescent="0.3">
      <c r="A1004" s="13"/>
      <c r="B1004" s="13"/>
      <c r="C1004" s="13"/>
      <c r="E1004" s="178"/>
      <c r="H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78"/>
      <c r="AH1004" s="178"/>
      <c r="AI1004" s="178"/>
      <c r="AJ1004" s="178"/>
      <c r="AK1004" s="178"/>
      <c r="AL1004" s="178"/>
      <c r="AM1004" s="178"/>
      <c r="AN1004" s="178"/>
      <c r="AO1004" s="178"/>
      <c r="AP1004" s="178"/>
      <c r="AQ1004" s="178"/>
      <c r="AR1004" s="178"/>
      <c r="AS1004" s="178"/>
      <c r="AT1004" s="178"/>
      <c r="AU1004" s="178"/>
      <c r="AV1004" s="178"/>
      <c r="AW1004" s="178"/>
      <c r="AX1004" s="178"/>
    </row>
    <row r="1005" spans="1:50" ht="15.75" customHeight="1" x14ac:dyDescent="0.3">
      <c r="A1005" s="13"/>
      <c r="B1005" s="13"/>
      <c r="C1005" s="13"/>
      <c r="E1005" s="178"/>
      <c r="H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78"/>
      <c r="AH1005" s="178"/>
      <c r="AI1005" s="178"/>
      <c r="AJ1005" s="178"/>
      <c r="AK1005" s="178"/>
      <c r="AL1005" s="178"/>
      <c r="AM1005" s="178"/>
      <c r="AN1005" s="178"/>
      <c r="AO1005" s="178"/>
      <c r="AP1005" s="178"/>
      <c r="AQ1005" s="178"/>
      <c r="AR1005" s="178"/>
      <c r="AS1005" s="178"/>
      <c r="AT1005" s="178"/>
      <c r="AU1005" s="178"/>
      <c r="AV1005" s="178"/>
      <c r="AW1005" s="178"/>
      <c r="AX1005" s="178"/>
    </row>
    <row r="1006" spans="1:50" ht="15.75" customHeight="1" x14ac:dyDescent="0.3">
      <c r="A1006" s="13"/>
      <c r="B1006" s="13"/>
      <c r="C1006" s="13"/>
      <c r="E1006" s="178"/>
      <c r="H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78"/>
      <c r="AH1006" s="178"/>
      <c r="AI1006" s="178"/>
      <c r="AJ1006" s="178"/>
      <c r="AK1006" s="178"/>
      <c r="AL1006" s="178"/>
      <c r="AM1006" s="178"/>
      <c r="AN1006" s="178"/>
      <c r="AO1006" s="178"/>
      <c r="AP1006" s="178"/>
      <c r="AQ1006" s="178"/>
      <c r="AR1006" s="178"/>
      <c r="AS1006" s="178"/>
      <c r="AT1006" s="178"/>
      <c r="AU1006" s="178"/>
      <c r="AV1006" s="178"/>
      <c r="AW1006" s="178"/>
      <c r="AX1006" s="178"/>
    </row>
    <row r="1007" spans="1:50" ht="15.75" customHeight="1" x14ac:dyDescent="0.3">
      <c r="A1007" s="13"/>
      <c r="B1007" s="13"/>
      <c r="C1007" s="13"/>
      <c r="E1007" s="178"/>
      <c r="H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78"/>
      <c r="AH1007" s="178"/>
      <c r="AI1007" s="178"/>
      <c r="AJ1007" s="178"/>
      <c r="AK1007" s="178"/>
      <c r="AL1007" s="178"/>
      <c r="AM1007" s="178"/>
      <c r="AN1007" s="178"/>
      <c r="AO1007" s="178"/>
      <c r="AP1007" s="178"/>
      <c r="AQ1007" s="178"/>
      <c r="AR1007" s="178"/>
      <c r="AS1007" s="178"/>
      <c r="AT1007" s="178"/>
      <c r="AU1007" s="178"/>
      <c r="AV1007" s="178"/>
      <c r="AW1007" s="178"/>
      <c r="AX1007" s="178"/>
    </row>
    <row r="1008" spans="1:50" ht="15.75" customHeight="1" x14ac:dyDescent="0.3">
      <c r="A1008" s="13"/>
      <c r="B1008" s="13"/>
      <c r="C1008" s="13"/>
      <c r="E1008" s="178"/>
      <c r="H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78"/>
      <c r="AH1008" s="178"/>
      <c r="AI1008" s="178"/>
      <c r="AJ1008" s="178"/>
      <c r="AK1008" s="178"/>
      <c r="AL1008" s="178"/>
      <c r="AM1008" s="178"/>
      <c r="AN1008" s="178"/>
      <c r="AO1008" s="178"/>
      <c r="AP1008" s="178"/>
      <c r="AQ1008" s="178"/>
      <c r="AR1008" s="178"/>
      <c r="AS1008" s="178"/>
      <c r="AT1008" s="178"/>
      <c r="AU1008" s="178"/>
      <c r="AV1008" s="178"/>
      <c r="AW1008" s="178"/>
      <c r="AX1008" s="178"/>
    </row>
    <row r="1009" spans="1:50" ht="15.75" customHeight="1" x14ac:dyDescent="0.3">
      <c r="A1009" s="13"/>
      <c r="B1009" s="13"/>
      <c r="C1009" s="13"/>
      <c r="E1009" s="178"/>
      <c r="H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78"/>
      <c r="AH1009" s="178"/>
      <c r="AI1009" s="178"/>
      <c r="AJ1009" s="178"/>
      <c r="AK1009" s="178"/>
      <c r="AL1009" s="178"/>
      <c r="AM1009" s="178"/>
      <c r="AN1009" s="178"/>
      <c r="AO1009" s="178"/>
      <c r="AP1009" s="178"/>
      <c r="AQ1009" s="178"/>
      <c r="AR1009" s="178"/>
      <c r="AS1009" s="178"/>
      <c r="AT1009" s="178"/>
      <c r="AU1009" s="178"/>
      <c r="AV1009" s="178"/>
      <c r="AW1009" s="178"/>
      <c r="AX1009" s="178"/>
    </row>
    <row r="1010" spans="1:50" ht="15.75" customHeight="1" x14ac:dyDescent="0.3">
      <c r="A1010" s="13"/>
      <c r="B1010" s="13"/>
      <c r="C1010" s="13"/>
      <c r="E1010" s="178"/>
      <c r="H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78"/>
      <c r="AH1010" s="178"/>
      <c r="AI1010" s="178"/>
      <c r="AJ1010" s="178"/>
      <c r="AK1010" s="178"/>
      <c r="AL1010" s="178"/>
      <c r="AM1010" s="178"/>
      <c r="AN1010" s="178"/>
      <c r="AO1010" s="178"/>
      <c r="AP1010" s="178"/>
      <c r="AQ1010" s="178"/>
      <c r="AR1010" s="178"/>
      <c r="AS1010" s="178"/>
      <c r="AT1010" s="178"/>
      <c r="AU1010" s="178"/>
      <c r="AV1010" s="178"/>
      <c r="AW1010" s="178"/>
      <c r="AX1010" s="178"/>
    </row>
    <row r="1011" spans="1:50" ht="15.75" customHeight="1" x14ac:dyDescent="0.3">
      <c r="A1011" s="13"/>
      <c r="B1011" s="13"/>
      <c r="C1011" s="13"/>
      <c r="E1011" s="178"/>
      <c r="H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78"/>
      <c r="AH1011" s="178"/>
      <c r="AI1011" s="178"/>
      <c r="AJ1011" s="178"/>
      <c r="AK1011" s="178"/>
      <c r="AL1011" s="178"/>
      <c r="AM1011" s="178"/>
      <c r="AN1011" s="178"/>
      <c r="AO1011" s="178"/>
      <c r="AP1011" s="178"/>
      <c r="AQ1011" s="178"/>
      <c r="AR1011" s="178"/>
      <c r="AS1011" s="178"/>
      <c r="AT1011" s="178"/>
      <c r="AU1011" s="178"/>
      <c r="AV1011" s="178"/>
      <c r="AW1011" s="178"/>
      <c r="AX1011" s="178"/>
    </row>
    <row r="1012" spans="1:50" ht="15.75" customHeight="1" x14ac:dyDescent="0.3">
      <c r="A1012" s="13"/>
      <c r="B1012" s="13"/>
      <c r="C1012" s="13"/>
      <c r="E1012" s="178"/>
      <c r="H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78"/>
      <c r="AH1012" s="178"/>
      <c r="AI1012" s="178"/>
      <c r="AJ1012" s="178"/>
      <c r="AK1012" s="178"/>
      <c r="AL1012" s="178"/>
      <c r="AM1012" s="178"/>
      <c r="AN1012" s="178"/>
      <c r="AO1012" s="178"/>
      <c r="AP1012" s="178"/>
      <c r="AQ1012" s="178"/>
      <c r="AR1012" s="178"/>
      <c r="AS1012" s="178"/>
      <c r="AT1012" s="178"/>
      <c r="AU1012" s="178"/>
      <c r="AV1012" s="178"/>
      <c r="AW1012" s="178"/>
      <c r="AX1012" s="178"/>
    </row>
    <row r="1013" spans="1:50" ht="15.75" customHeight="1" x14ac:dyDescent="0.3">
      <c r="A1013" s="13"/>
      <c r="B1013" s="13"/>
      <c r="C1013" s="13"/>
      <c r="E1013" s="178"/>
      <c r="H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78"/>
      <c r="AH1013" s="178"/>
      <c r="AI1013" s="178"/>
      <c r="AJ1013" s="178"/>
      <c r="AK1013" s="178"/>
      <c r="AL1013" s="178"/>
      <c r="AM1013" s="178"/>
      <c r="AN1013" s="178"/>
      <c r="AO1013" s="178"/>
      <c r="AP1013" s="178"/>
      <c r="AQ1013" s="178"/>
      <c r="AR1013" s="178"/>
      <c r="AS1013" s="178"/>
      <c r="AT1013" s="178"/>
      <c r="AU1013" s="178"/>
      <c r="AV1013" s="178"/>
      <c r="AW1013" s="178"/>
      <c r="AX1013" s="178"/>
    </row>
    <row r="1014" spans="1:50" ht="15.75" customHeight="1" x14ac:dyDescent="0.3">
      <c r="A1014" s="13"/>
      <c r="B1014" s="13"/>
      <c r="C1014" s="13"/>
      <c r="E1014" s="178"/>
      <c r="H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78"/>
      <c r="AH1014" s="178"/>
      <c r="AI1014" s="178"/>
      <c r="AJ1014" s="178"/>
      <c r="AK1014" s="178"/>
      <c r="AL1014" s="178"/>
      <c r="AM1014" s="178"/>
      <c r="AN1014" s="178"/>
      <c r="AO1014" s="178"/>
      <c r="AP1014" s="178"/>
      <c r="AQ1014" s="178"/>
      <c r="AR1014" s="178"/>
      <c r="AS1014" s="178"/>
      <c r="AT1014" s="178"/>
      <c r="AU1014" s="178"/>
      <c r="AV1014" s="178"/>
      <c r="AW1014" s="178"/>
      <c r="AX1014" s="178"/>
    </row>
    <row r="1015" spans="1:50" ht="15.75" customHeight="1" x14ac:dyDescent="0.3">
      <c r="A1015" s="13"/>
      <c r="B1015" s="13"/>
      <c r="C1015" s="13"/>
      <c r="E1015" s="178"/>
      <c r="H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78"/>
      <c r="AH1015" s="178"/>
      <c r="AI1015" s="178"/>
      <c r="AJ1015" s="178"/>
      <c r="AK1015" s="178"/>
      <c r="AL1015" s="178"/>
      <c r="AM1015" s="178"/>
      <c r="AN1015" s="178"/>
      <c r="AO1015" s="178"/>
      <c r="AP1015" s="178"/>
      <c r="AQ1015" s="178"/>
      <c r="AR1015" s="178"/>
      <c r="AS1015" s="178"/>
      <c r="AT1015" s="178"/>
      <c r="AU1015" s="178"/>
      <c r="AV1015" s="178"/>
      <c r="AW1015" s="178"/>
      <c r="AX1015" s="178"/>
    </row>
    <row r="1016" spans="1:50" ht="15.75" customHeight="1" x14ac:dyDescent="0.3">
      <c r="A1016" s="13"/>
      <c r="B1016" s="13"/>
      <c r="C1016" s="13"/>
      <c r="E1016" s="178"/>
      <c r="H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78"/>
      <c r="AH1016" s="178"/>
      <c r="AI1016" s="178"/>
      <c r="AJ1016" s="178"/>
      <c r="AK1016" s="178"/>
      <c r="AL1016" s="178"/>
      <c r="AM1016" s="178"/>
      <c r="AN1016" s="178"/>
      <c r="AO1016" s="178"/>
      <c r="AP1016" s="178"/>
      <c r="AQ1016" s="178"/>
      <c r="AR1016" s="178"/>
      <c r="AS1016" s="178"/>
      <c r="AT1016" s="178"/>
      <c r="AU1016" s="178"/>
      <c r="AV1016" s="178"/>
      <c r="AW1016" s="178"/>
      <c r="AX1016" s="178"/>
    </row>
    <row r="1017" spans="1:50" ht="15.75" customHeight="1" x14ac:dyDescent="0.3">
      <c r="A1017" s="13"/>
      <c r="B1017" s="13"/>
      <c r="C1017" s="13"/>
      <c r="E1017" s="178"/>
      <c r="H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78"/>
      <c r="AH1017" s="178"/>
      <c r="AI1017" s="178"/>
      <c r="AJ1017" s="178"/>
      <c r="AK1017" s="178"/>
      <c r="AL1017" s="178"/>
      <c r="AM1017" s="178"/>
      <c r="AN1017" s="178"/>
      <c r="AO1017" s="178"/>
      <c r="AP1017" s="178"/>
      <c r="AQ1017" s="178"/>
      <c r="AR1017" s="178"/>
      <c r="AS1017" s="178"/>
      <c r="AT1017" s="178"/>
      <c r="AU1017" s="178"/>
      <c r="AV1017" s="178"/>
      <c r="AW1017" s="178"/>
      <c r="AX1017" s="178"/>
    </row>
    <row r="1018" spans="1:50" ht="15.75" customHeight="1" x14ac:dyDescent="0.3">
      <c r="A1018" s="13"/>
      <c r="B1018" s="13"/>
      <c r="C1018" s="13"/>
      <c r="E1018" s="178"/>
      <c r="H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78"/>
      <c r="AH1018" s="178"/>
      <c r="AI1018" s="178"/>
      <c r="AJ1018" s="178"/>
      <c r="AK1018" s="178"/>
      <c r="AL1018" s="178"/>
      <c r="AM1018" s="178"/>
      <c r="AN1018" s="178"/>
      <c r="AO1018" s="178"/>
      <c r="AP1018" s="178"/>
      <c r="AQ1018" s="178"/>
      <c r="AR1018" s="178"/>
      <c r="AS1018" s="178"/>
      <c r="AT1018" s="178"/>
      <c r="AU1018" s="178"/>
      <c r="AV1018" s="178"/>
      <c r="AW1018" s="178"/>
      <c r="AX1018" s="178"/>
    </row>
    <row r="1019" spans="1:50" ht="15.75" customHeight="1" x14ac:dyDescent="0.3">
      <c r="A1019" s="13"/>
      <c r="B1019" s="13"/>
      <c r="C1019" s="13"/>
      <c r="E1019" s="178"/>
      <c r="H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78"/>
      <c r="AH1019" s="178"/>
      <c r="AI1019" s="178"/>
      <c r="AJ1019" s="178"/>
      <c r="AK1019" s="178"/>
      <c r="AL1019" s="178"/>
      <c r="AM1019" s="178"/>
      <c r="AN1019" s="178"/>
      <c r="AO1019" s="178"/>
      <c r="AP1019" s="178"/>
      <c r="AQ1019" s="178"/>
      <c r="AR1019" s="178"/>
      <c r="AS1019" s="178"/>
      <c r="AT1019" s="178"/>
      <c r="AU1019" s="178"/>
      <c r="AV1019" s="178"/>
      <c r="AW1019" s="178"/>
      <c r="AX1019" s="178"/>
    </row>
    <row r="1020" spans="1:50" ht="15.75" customHeight="1" x14ac:dyDescent="0.3">
      <c r="A1020" s="13"/>
      <c r="B1020" s="13"/>
      <c r="C1020" s="13"/>
      <c r="E1020" s="178"/>
      <c r="H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78"/>
      <c r="AH1020" s="178"/>
      <c r="AI1020" s="178"/>
      <c r="AJ1020" s="178"/>
      <c r="AK1020" s="178"/>
      <c r="AL1020" s="178"/>
      <c r="AM1020" s="178"/>
      <c r="AN1020" s="178"/>
      <c r="AO1020" s="178"/>
      <c r="AP1020" s="178"/>
      <c r="AQ1020" s="178"/>
      <c r="AR1020" s="178"/>
      <c r="AS1020" s="178"/>
      <c r="AT1020" s="178"/>
      <c r="AU1020" s="178"/>
      <c r="AV1020" s="178"/>
      <c r="AW1020" s="178"/>
      <c r="AX1020" s="178"/>
    </row>
    <row r="1021" spans="1:50" ht="15.75" customHeight="1" x14ac:dyDescent="0.3">
      <c r="A1021" s="13"/>
      <c r="B1021" s="13"/>
      <c r="C1021" s="13"/>
      <c r="E1021" s="178"/>
      <c r="H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78"/>
      <c r="AH1021" s="178"/>
      <c r="AI1021" s="178"/>
      <c r="AJ1021" s="178"/>
      <c r="AK1021" s="178"/>
      <c r="AL1021" s="178"/>
      <c r="AM1021" s="178"/>
      <c r="AN1021" s="178"/>
      <c r="AO1021" s="178"/>
      <c r="AP1021" s="178"/>
      <c r="AQ1021" s="178"/>
      <c r="AR1021" s="178"/>
      <c r="AS1021" s="178"/>
      <c r="AT1021" s="178"/>
      <c r="AU1021" s="178"/>
      <c r="AV1021" s="178"/>
      <c r="AW1021" s="178"/>
      <c r="AX1021" s="178"/>
    </row>
    <row r="1022" spans="1:50" ht="15.75" customHeight="1" x14ac:dyDescent="0.3">
      <c r="A1022" s="13"/>
      <c r="B1022" s="13"/>
      <c r="C1022" s="13"/>
      <c r="E1022" s="178"/>
      <c r="H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78"/>
      <c r="AH1022" s="178"/>
      <c r="AI1022" s="178"/>
      <c r="AJ1022" s="178"/>
      <c r="AK1022" s="178"/>
      <c r="AL1022" s="178"/>
      <c r="AM1022" s="178"/>
      <c r="AN1022" s="178"/>
      <c r="AO1022" s="178"/>
      <c r="AP1022" s="178"/>
      <c r="AQ1022" s="178"/>
      <c r="AR1022" s="178"/>
      <c r="AS1022" s="178"/>
      <c r="AT1022" s="178"/>
      <c r="AU1022" s="178"/>
      <c r="AV1022" s="178"/>
      <c r="AW1022" s="178"/>
      <c r="AX1022" s="178"/>
    </row>
    <row r="1023" spans="1:50" ht="15.75" customHeight="1" x14ac:dyDescent="0.3">
      <c r="A1023" s="13"/>
      <c r="B1023" s="13"/>
      <c r="C1023" s="13"/>
      <c r="E1023" s="178"/>
      <c r="H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78"/>
      <c r="AH1023" s="178"/>
      <c r="AI1023" s="178"/>
      <c r="AJ1023" s="178"/>
      <c r="AK1023" s="178"/>
      <c r="AL1023" s="178"/>
      <c r="AM1023" s="178"/>
      <c r="AN1023" s="178"/>
      <c r="AO1023" s="178"/>
      <c r="AP1023" s="178"/>
      <c r="AQ1023" s="178"/>
      <c r="AR1023" s="178"/>
      <c r="AS1023" s="178"/>
      <c r="AT1023" s="178"/>
      <c r="AU1023" s="178"/>
      <c r="AV1023" s="178"/>
      <c r="AW1023" s="178"/>
      <c r="AX1023" s="178"/>
    </row>
    <row r="1024" spans="1:50" ht="15.75" customHeight="1" x14ac:dyDescent="0.3">
      <c r="A1024" s="13"/>
      <c r="B1024" s="13"/>
      <c r="C1024" s="13"/>
      <c r="E1024" s="178"/>
      <c r="H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78"/>
      <c r="AH1024" s="178"/>
      <c r="AI1024" s="178"/>
      <c r="AJ1024" s="178"/>
      <c r="AK1024" s="178"/>
      <c r="AL1024" s="178"/>
      <c r="AM1024" s="178"/>
      <c r="AN1024" s="178"/>
      <c r="AO1024" s="178"/>
      <c r="AP1024" s="178"/>
      <c r="AQ1024" s="178"/>
      <c r="AR1024" s="178"/>
      <c r="AS1024" s="178"/>
      <c r="AT1024" s="178"/>
      <c r="AU1024" s="178"/>
      <c r="AV1024" s="178"/>
      <c r="AW1024" s="178"/>
      <c r="AX1024" s="178"/>
    </row>
    <row r="1025" spans="1:50" ht="15.75" customHeight="1" x14ac:dyDescent="0.3">
      <c r="A1025" s="13"/>
      <c r="B1025" s="13"/>
      <c r="C1025" s="13"/>
      <c r="E1025" s="178"/>
      <c r="H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78"/>
      <c r="AH1025" s="178"/>
      <c r="AI1025" s="178"/>
      <c r="AJ1025" s="178"/>
      <c r="AK1025" s="178"/>
      <c r="AL1025" s="178"/>
      <c r="AM1025" s="178"/>
      <c r="AN1025" s="178"/>
      <c r="AO1025" s="178"/>
      <c r="AP1025" s="178"/>
      <c r="AQ1025" s="178"/>
      <c r="AR1025" s="178"/>
      <c r="AS1025" s="178"/>
      <c r="AT1025" s="178"/>
      <c r="AU1025" s="178"/>
      <c r="AV1025" s="178"/>
      <c r="AW1025" s="178"/>
      <c r="AX1025" s="178"/>
    </row>
    <row r="1026" spans="1:50" ht="15.75" customHeight="1" x14ac:dyDescent="0.3">
      <c r="A1026" s="13"/>
      <c r="B1026" s="13"/>
      <c r="C1026" s="13"/>
      <c r="E1026" s="178"/>
      <c r="H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78"/>
      <c r="AH1026" s="178"/>
      <c r="AI1026" s="178"/>
      <c r="AJ1026" s="178"/>
      <c r="AK1026" s="178"/>
      <c r="AL1026" s="178"/>
      <c r="AM1026" s="178"/>
      <c r="AN1026" s="178"/>
      <c r="AO1026" s="178"/>
      <c r="AP1026" s="178"/>
      <c r="AQ1026" s="178"/>
      <c r="AR1026" s="178"/>
      <c r="AS1026" s="178"/>
      <c r="AT1026" s="178"/>
      <c r="AU1026" s="178"/>
      <c r="AV1026" s="178"/>
      <c r="AW1026" s="178"/>
      <c r="AX1026" s="178"/>
    </row>
    <row r="1027" spans="1:50" ht="15.75" customHeight="1" x14ac:dyDescent="0.3">
      <c r="A1027" s="13"/>
      <c r="B1027" s="13"/>
      <c r="C1027" s="13"/>
      <c r="E1027" s="178"/>
      <c r="H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78"/>
      <c r="AH1027" s="178"/>
      <c r="AI1027" s="178"/>
      <c r="AJ1027" s="178"/>
      <c r="AK1027" s="178"/>
      <c r="AL1027" s="178"/>
      <c r="AM1027" s="178"/>
      <c r="AN1027" s="178"/>
      <c r="AO1027" s="178"/>
      <c r="AP1027" s="178"/>
      <c r="AQ1027" s="178"/>
      <c r="AR1027" s="178"/>
      <c r="AS1027" s="178"/>
      <c r="AT1027" s="178"/>
      <c r="AU1027" s="178"/>
      <c r="AV1027" s="178"/>
      <c r="AW1027" s="178"/>
      <c r="AX1027" s="178"/>
    </row>
    <row r="1028" spans="1:50" ht="15.75" customHeight="1" x14ac:dyDescent="0.3">
      <c r="A1028" s="13"/>
      <c r="B1028" s="13"/>
      <c r="C1028" s="13"/>
      <c r="E1028" s="178"/>
      <c r="H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78"/>
      <c r="AH1028" s="178"/>
      <c r="AI1028" s="178"/>
      <c r="AJ1028" s="178"/>
      <c r="AK1028" s="178"/>
      <c r="AL1028" s="178"/>
      <c r="AM1028" s="178"/>
      <c r="AN1028" s="178"/>
      <c r="AO1028" s="178"/>
      <c r="AP1028" s="178"/>
      <c r="AQ1028" s="178"/>
      <c r="AR1028" s="178"/>
      <c r="AS1028" s="178"/>
      <c r="AT1028" s="178"/>
      <c r="AU1028" s="178"/>
      <c r="AV1028" s="178"/>
      <c r="AW1028" s="178"/>
      <c r="AX1028" s="178"/>
    </row>
    <row r="1029" spans="1:50" ht="15.75" customHeight="1" x14ac:dyDescent="0.3">
      <c r="A1029" s="13"/>
      <c r="B1029" s="13"/>
      <c r="C1029" s="13"/>
      <c r="E1029" s="178"/>
      <c r="H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78"/>
      <c r="AH1029" s="178"/>
      <c r="AI1029" s="178"/>
      <c r="AJ1029" s="178"/>
      <c r="AK1029" s="178"/>
      <c r="AL1029" s="178"/>
      <c r="AM1029" s="178"/>
      <c r="AN1029" s="178"/>
      <c r="AO1029" s="178"/>
      <c r="AP1029" s="178"/>
      <c r="AQ1029" s="178"/>
      <c r="AR1029" s="178"/>
      <c r="AS1029" s="178"/>
      <c r="AT1029" s="178"/>
      <c r="AU1029" s="178"/>
      <c r="AV1029" s="178"/>
      <c r="AW1029" s="178"/>
      <c r="AX1029" s="178"/>
    </row>
    <row r="1030" spans="1:50" ht="15.75" customHeight="1" x14ac:dyDescent="0.3">
      <c r="A1030" s="13"/>
      <c r="B1030" s="13"/>
      <c r="C1030" s="13"/>
      <c r="E1030" s="178"/>
      <c r="H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78"/>
      <c r="AH1030" s="178"/>
      <c r="AI1030" s="178"/>
      <c r="AJ1030" s="178"/>
      <c r="AK1030" s="178"/>
      <c r="AL1030" s="178"/>
      <c r="AM1030" s="178"/>
      <c r="AN1030" s="178"/>
      <c r="AO1030" s="178"/>
      <c r="AP1030" s="178"/>
      <c r="AQ1030" s="178"/>
      <c r="AR1030" s="178"/>
      <c r="AS1030" s="178"/>
      <c r="AT1030" s="178"/>
      <c r="AU1030" s="178"/>
      <c r="AV1030" s="178"/>
      <c r="AW1030" s="178"/>
      <c r="AX1030" s="178"/>
    </row>
    <row r="1031" spans="1:50" ht="15.75" customHeight="1" x14ac:dyDescent="0.3">
      <c r="A1031" s="13"/>
      <c r="B1031" s="13"/>
      <c r="C1031" s="13"/>
      <c r="E1031" s="178"/>
      <c r="H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78"/>
      <c r="AH1031" s="178"/>
      <c r="AI1031" s="178"/>
      <c r="AJ1031" s="178"/>
      <c r="AK1031" s="178"/>
      <c r="AL1031" s="178"/>
      <c r="AM1031" s="178"/>
      <c r="AN1031" s="178"/>
      <c r="AO1031" s="178"/>
      <c r="AP1031" s="178"/>
      <c r="AQ1031" s="178"/>
      <c r="AR1031" s="178"/>
      <c r="AS1031" s="178"/>
      <c r="AT1031" s="178"/>
      <c r="AU1031" s="178"/>
      <c r="AV1031" s="178"/>
      <c r="AW1031" s="178"/>
      <c r="AX1031" s="178"/>
    </row>
    <row r="1032" spans="1:50" ht="15.75" customHeight="1" x14ac:dyDescent="0.3">
      <c r="A1032" s="13"/>
      <c r="B1032" s="13"/>
      <c r="C1032" s="13"/>
      <c r="E1032" s="178"/>
      <c r="H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78"/>
      <c r="AH1032" s="178"/>
      <c r="AI1032" s="178"/>
      <c r="AJ1032" s="178"/>
      <c r="AK1032" s="178"/>
      <c r="AL1032" s="178"/>
      <c r="AM1032" s="178"/>
      <c r="AN1032" s="178"/>
      <c r="AO1032" s="178"/>
      <c r="AP1032" s="178"/>
      <c r="AQ1032" s="178"/>
      <c r="AR1032" s="178"/>
      <c r="AS1032" s="178"/>
      <c r="AT1032" s="178"/>
      <c r="AU1032" s="178"/>
      <c r="AV1032" s="178"/>
      <c r="AW1032" s="178"/>
      <c r="AX1032" s="178"/>
    </row>
    <row r="1033" spans="1:50" ht="15.75" customHeight="1" x14ac:dyDescent="0.3">
      <c r="A1033" s="13"/>
      <c r="B1033" s="13"/>
      <c r="C1033" s="13"/>
      <c r="E1033" s="178"/>
      <c r="H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78"/>
      <c r="AH1033" s="178"/>
      <c r="AI1033" s="178"/>
      <c r="AJ1033" s="178"/>
      <c r="AK1033" s="178"/>
      <c r="AL1033" s="178"/>
      <c r="AM1033" s="178"/>
      <c r="AN1033" s="178"/>
      <c r="AO1033" s="178"/>
      <c r="AP1033" s="178"/>
      <c r="AQ1033" s="178"/>
      <c r="AR1033" s="178"/>
      <c r="AS1033" s="178"/>
      <c r="AT1033" s="178"/>
      <c r="AU1033" s="178"/>
      <c r="AV1033" s="178"/>
      <c r="AW1033" s="178"/>
      <c r="AX1033" s="178"/>
    </row>
    <row r="1034" spans="1:50" ht="15.75" customHeight="1" x14ac:dyDescent="0.3">
      <c r="A1034" s="13"/>
      <c r="B1034" s="13"/>
      <c r="C1034" s="13"/>
      <c r="E1034" s="178"/>
      <c r="H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78"/>
      <c r="AH1034" s="178"/>
      <c r="AI1034" s="178"/>
      <c r="AJ1034" s="178"/>
      <c r="AK1034" s="178"/>
      <c r="AL1034" s="178"/>
      <c r="AM1034" s="178"/>
      <c r="AN1034" s="178"/>
      <c r="AO1034" s="178"/>
      <c r="AP1034" s="178"/>
      <c r="AQ1034" s="178"/>
      <c r="AR1034" s="178"/>
      <c r="AS1034" s="178"/>
      <c r="AT1034" s="178"/>
      <c r="AU1034" s="178"/>
      <c r="AV1034" s="178"/>
      <c r="AW1034" s="178"/>
      <c r="AX1034" s="178"/>
    </row>
    <row r="1035" spans="1:50" ht="15.75" customHeight="1" x14ac:dyDescent="0.3">
      <c r="A1035" s="13"/>
      <c r="B1035" s="13"/>
      <c r="C1035" s="13"/>
      <c r="E1035" s="178"/>
      <c r="H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78"/>
      <c r="AH1035" s="178"/>
      <c r="AI1035" s="178"/>
      <c r="AJ1035" s="178"/>
      <c r="AK1035" s="178"/>
      <c r="AL1035" s="178"/>
      <c r="AM1035" s="178"/>
      <c r="AN1035" s="178"/>
      <c r="AO1035" s="178"/>
      <c r="AP1035" s="178"/>
      <c r="AQ1035" s="178"/>
      <c r="AR1035" s="178"/>
      <c r="AS1035" s="178"/>
      <c r="AT1035" s="178"/>
      <c r="AU1035" s="178"/>
      <c r="AV1035" s="178"/>
      <c r="AW1035" s="178"/>
      <c r="AX1035" s="178"/>
    </row>
    <row r="1036" spans="1:50" ht="15.75" customHeight="1" x14ac:dyDescent="0.3">
      <c r="A1036" s="13"/>
      <c r="B1036" s="13"/>
      <c r="C1036" s="13"/>
      <c r="E1036" s="178"/>
      <c r="H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78"/>
      <c r="AH1036" s="178"/>
      <c r="AI1036" s="178"/>
      <c r="AJ1036" s="178"/>
      <c r="AK1036" s="178"/>
      <c r="AL1036" s="178"/>
      <c r="AM1036" s="178"/>
      <c r="AN1036" s="178"/>
      <c r="AO1036" s="178"/>
      <c r="AP1036" s="178"/>
      <c r="AQ1036" s="178"/>
      <c r="AR1036" s="178"/>
      <c r="AS1036" s="178"/>
      <c r="AT1036" s="178"/>
      <c r="AU1036" s="178"/>
      <c r="AV1036" s="178"/>
      <c r="AW1036" s="178"/>
      <c r="AX1036" s="178"/>
    </row>
    <row r="1037" spans="1:50" ht="15.75" customHeight="1" x14ac:dyDescent="0.3">
      <c r="A1037" s="13"/>
      <c r="B1037" s="13"/>
      <c r="C1037" s="13"/>
      <c r="E1037" s="178"/>
      <c r="H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78"/>
      <c r="AH1037" s="178"/>
      <c r="AI1037" s="178"/>
      <c r="AJ1037" s="178"/>
      <c r="AK1037" s="178"/>
      <c r="AL1037" s="178"/>
      <c r="AM1037" s="178"/>
      <c r="AN1037" s="178"/>
      <c r="AO1037" s="178"/>
      <c r="AP1037" s="178"/>
      <c r="AQ1037" s="178"/>
      <c r="AR1037" s="178"/>
      <c r="AS1037" s="178"/>
      <c r="AT1037" s="178"/>
      <c r="AU1037" s="178"/>
      <c r="AV1037" s="178"/>
      <c r="AW1037" s="178"/>
      <c r="AX1037" s="178"/>
    </row>
    <row r="1038" spans="1:50" ht="15.75" customHeight="1" x14ac:dyDescent="0.3">
      <c r="A1038" s="13"/>
      <c r="B1038" s="13"/>
      <c r="C1038" s="13"/>
      <c r="E1038" s="178"/>
      <c r="H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78"/>
      <c r="AH1038" s="178"/>
      <c r="AI1038" s="178"/>
      <c r="AJ1038" s="178"/>
      <c r="AK1038" s="178"/>
      <c r="AL1038" s="178"/>
      <c r="AM1038" s="178"/>
      <c r="AN1038" s="178"/>
      <c r="AO1038" s="178"/>
      <c r="AP1038" s="178"/>
      <c r="AQ1038" s="178"/>
      <c r="AR1038" s="178"/>
      <c r="AS1038" s="178"/>
      <c r="AT1038" s="178"/>
      <c r="AU1038" s="178"/>
      <c r="AV1038" s="178"/>
      <c r="AW1038" s="178"/>
      <c r="AX1038" s="178"/>
    </row>
    <row r="1039" spans="1:50" ht="15.75" customHeight="1" x14ac:dyDescent="0.3">
      <c r="A1039" s="13"/>
      <c r="B1039" s="13"/>
      <c r="C1039" s="13"/>
      <c r="E1039" s="178"/>
      <c r="H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78"/>
      <c r="AH1039" s="178"/>
      <c r="AI1039" s="178"/>
      <c r="AJ1039" s="178"/>
      <c r="AK1039" s="178"/>
      <c r="AL1039" s="178"/>
      <c r="AM1039" s="178"/>
      <c r="AN1039" s="178"/>
      <c r="AO1039" s="178"/>
      <c r="AP1039" s="178"/>
      <c r="AQ1039" s="178"/>
      <c r="AR1039" s="178"/>
      <c r="AS1039" s="178"/>
      <c r="AT1039" s="178"/>
      <c r="AU1039" s="178"/>
      <c r="AV1039" s="178"/>
      <c r="AW1039" s="178"/>
      <c r="AX1039" s="178"/>
    </row>
    <row r="1040" spans="1:50" ht="15.75" customHeight="1" x14ac:dyDescent="0.3">
      <c r="A1040" s="13"/>
      <c r="B1040" s="13"/>
      <c r="C1040" s="13"/>
      <c r="E1040" s="178"/>
      <c r="H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78"/>
      <c r="AH1040" s="178"/>
      <c r="AI1040" s="178"/>
      <c r="AJ1040" s="178"/>
      <c r="AK1040" s="178"/>
      <c r="AL1040" s="178"/>
      <c r="AM1040" s="178"/>
      <c r="AN1040" s="178"/>
      <c r="AO1040" s="178"/>
      <c r="AP1040" s="178"/>
      <c r="AQ1040" s="178"/>
      <c r="AR1040" s="178"/>
      <c r="AS1040" s="178"/>
      <c r="AT1040" s="178"/>
      <c r="AU1040" s="178"/>
      <c r="AV1040" s="178"/>
      <c r="AW1040" s="178"/>
      <c r="AX1040" s="178"/>
    </row>
    <row r="1041" spans="1:50" ht="15.75" customHeight="1" x14ac:dyDescent="0.3">
      <c r="A1041" s="13"/>
      <c r="B1041" s="13"/>
      <c r="C1041" s="13"/>
      <c r="E1041" s="178"/>
      <c r="H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78"/>
      <c r="AH1041" s="178"/>
      <c r="AI1041" s="178"/>
      <c r="AJ1041" s="178"/>
      <c r="AK1041" s="178"/>
      <c r="AL1041" s="178"/>
      <c r="AM1041" s="178"/>
      <c r="AN1041" s="178"/>
      <c r="AO1041" s="178"/>
      <c r="AP1041" s="178"/>
      <c r="AQ1041" s="178"/>
      <c r="AR1041" s="178"/>
      <c r="AS1041" s="178"/>
      <c r="AT1041" s="178"/>
      <c r="AU1041" s="178"/>
      <c r="AV1041" s="178"/>
      <c r="AW1041" s="178"/>
      <c r="AX1041" s="178"/>
    </row>
    <row r="1042" spans="1:50" ht="15.75" customHeight="1" x14ac:dyDescent="0.3">
      <c r="A1042" s="13"/>
      <c r="B1042" s="13"/>
      <c r="C1042" s="13"/>
      <c r="E1042" s="178"/>
      <c r="H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78"/>
      <c r="AH1042" s="178"/>
      <c r="AI1042" s="178"/>
      <c r="AJ1042" s="178"/>
      <c r="AK1042" s="178"/>
      <c r="AL1042" s="178"/>
      <c r="AM1042" s="178"/>
      <c r="AN1042" s="178"/>
      <c r="AO1042" s="178"/>
      <c r="AP1042" s="178"/>
      <c r="AQ1042" s="178"/>
      <c r="AR1042" s="178"/>
      <c r="AS1042" s="178"/>
      <c r="AT1042" s="178"/>
      <c r="AU1042" s="178"/>
      <c r="AV1042" s="178"/>
      <c r="AW1042" s="178"/>
      <c r="AX1042" s="178"/>
    </row>
    <row r="1043" spans="1:50" ht="15.75" customHeight="1" x14ac:dyDescent="0.3">
      <c r="A1043" s="13"/>
      <c r="B1043" s="13"/>
      <c r="C1043" s="13"/>
      <c r="E1043" s="178"/>
      <c r="H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78"/>
      <c r="AH1043" s="178"/>
      <c r="AI1043" s="178"/>
      <c r="AJ1043" s="178"/>
      <c r="AK1043" s="178"/>
      <c r="AL1043" s="178"/>
      <c r="AM1043" s="178"/>
      <c r="AN1043" s="178"/>
      <c r="AO1043" s="178"/>
      <c r="AP1043" s="178"/>
      <c r="AQ1043" s="178"/>
      <c r="AR1043" s="178"/>
      <c r="AS1043" s="178"/>
      <c r="AT1043" s="178"/>
      <c r="AU1043" s="178"/>
      <c r="AV1043" s="178"/>
      <c r="AW1043" s="178"/>
      <c r="AX1043" s="178"/>
    </row>
    <row r="1044" spans="1:50" ht="15.75" customHeight="1" x14ac:dyDescent="0.3">
      <c r="A1044" s="13"/>
      <c r="B1044" s="13"/>
      <c r="C1044" s="13"/>
      <c r="E1044" s="178"/>
      <c r="H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78"/>
      <c r="AH1044" s="178"/>
      <c r="AI1044" s="178"/>
      <c r="AJ1044" s="178"/>
      <c r="AK1044" s="178"/>
      <c r="AL1044" s="178"/>
      <c r="AM1044" s="178"/>
      <c r="AN1044" s="178"/>
      <c r="AO1044" s="178"/>
      <c r="AP1044" s="178"/>
      <c r="AQ1044" s="178"/>
      <c r="AR1044" s="178"/>
      <c r="AS1044" s="178"/>
      <c r="AT1044" s="178"/>
      <c r="AU1044" s="178"/>
      <c r="AV1044" s="178"/>
      <c r="AW1044" s="178"/>
      <c r="AX1044" s="178"/>
    </row>
    <row r="1045" spans="1:50" ht="15.75" customHeight="1" x14ac:dyDescent="0.3">
      <c r="A1045" s="13"/>
      <c r="B1045" s="13"/>
      <c r="C1045" s="13"/>
      <c r="E1045" s="178"/>
      <c r="H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78"/>
      <c r="AH1045" s="178"/>
      <c r="AI1045" s="178"/>
      <c r="AJ1045" s="178"/>
      <c r="AK1045" s="178"/>
      <c r="AL1045" s="178"/>
      <c r="AM1045" s="178"/>
      <c r="AN1045" s="178"/>
      <c r="AO1045" s="178"/>
      <c r="AP1045" s="178"/>
      <c r="AQ1045" s="178"/>
      <c r="AR1045" s="178"/>
      <c r="AS1045" s="178"/>
      <c r="AT1045" s="178"/>
      <c r="AU1045" s="178"/>
      <c r="AV1045" s="178"/>
      <c r="AW1045" s="178"/>
      <c r="AX1045" s="178"/>
    </row>
    <row r="1046" spans="1:50" ht="15.75" customHeight="1" x14ac:dyDescent="0.3">
      <c r="A1046" s="13"/>
      <c r="B1046" s="13"/>
      <c r="C1046" s="13"/>
      <c r="E1046" s="178"/>
      <c r="H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78"/>
      <c r="AH1046" s="178"/>
      <c r="AI1046" s="178"/>
      <c r="AJ1046" s="178"/>
      <c r="AK1046" s="178"/>
      <c r="AL1046" s="178"/>
      <c r="AM1046" s="178"/>
      <c r="AN1046" s="178"/>
      <c r="AO1046" s="178"/>
      <c r="AP1046" s="178"/>
      <c r="AQ1046" s="178"/>
      <c r="AR1046" s="178"/>
      <c r="AS1046" s="178"/>
      <c r="AT1046" s="178"/>
      <c r="AU1046" s="178"/>
      <c r="AV1046" s="178"/>
      <c r="AW1046" s="178"/>
      <c r="AX1046" s="178"/>
    </row>
    <row r="1047" spans="1:50" ht="15.75" customHeight="1" x14ac:dyDescent="0.3">
      <c r="A1047" s="13"/>
      <c r="B1047" s="13"/>
      <c r="C1047" s="13"/>
      <c r="E1047" s="178"/>
      <c r="H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78"/>
      <c r="AH1047" s="178"/>
      <c r="AI1047" s="178"/>
      <c r="AJ1047" s="178"/>
      <c r="AK1047" s="178"/>
      <c r="AL1047" s="178"/>
      <c r="AM1047" s="178"/>
      <c r="AN1047" s="178"/>
      <c r="AO1047" s="178"/>
      <c r="AP1047" s="178"/>
      <c r="AQ1047" s="178"/>
      <c r="AR1047" s="178"/>
      <c r="AS1047" s="178"/>
      <c r="AT1047" s="178"/>
      <c r="AU1047" s="178"/>
      <c r="AV1047" s="178"/>
      <c r="AW1047" s="178"/>
      <c r="AX1047" s="178"/>
    </row>
    <row r="1048" spans="1:50" ht="15.75" customHeight="1" x14ac:dyDescent="0.3">
      <c r="A1048" s="13"/>
      <c r="B1048" s="13"/>
      <c r="C1048" s="13"/>
      <c r="E1048" s="178"/>
      <c r="H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78"/>
      <c r="AH1048" s="178"/>
      <c r="AI1048" s="178"/>
      <c r="AJ1048" s="178"/>
      <c r="AK1048" s="178"/>
      <c r="AL1048" s="178"/>
      <c r="AM1048" s="178"/>
      <c r="AN1048" s="178"/>
      <c r="AO1048" s="178"/>
      <c r="AP1048" s="178"/>
      <c r="AQ1048" s="178"/>
      <c r="AR1048" s="178"/>
      <c r="AS1048" s="178"/>
      <c r="AT1048" s="178"/>
      <c r="AU1048" s="178"/>
      <c r="AV1048" s="178"/>
      <c r="AW1048" s="178"/>
      <c r="AX1048" s="178"/>
    </row>
    <row r="1049" spans="1:50" ht="15.75" customHeight="1" x14ac:dyDescent="0.3">
      <c r="A1049" s="13"/>
      <c r="B1049" s="13"/>
      <c r="C1049" s="13"/>
      <c r="E1049" s="178"/>
      <c r="H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78"/>
      <c r="AH1049" s="178"/>
      <c r="AI1049" s="178"/>
      <c r="AJ1049" s="178"/>
      <c r="AK1049" s="178"/>
      <c r="AL1049" s="178"/>
      <c r="AM1049" s="178"/>
      <c r="AN1049" s="178"/>
      <c r="AO1049" s="178"/>
      <c r="AP1049" s="178"/>
      <c r="AQ1049" s="178"/>
      <c r="AR1049" s="178"/>
      <c r="AS1049" s="178"/>
      <c r="AT1049" s="178"/>
      <c r="AU1049" s="178"/>
      <c r="AV1049" s="178"/>
      <c r="AW1049" s="178"/>
      <c r="AX1049" s="178"/>
    </row>
    <row r="1050" spans="1:50" ht="15.75" customHeight="1" x14ac:dyDescent="0.3">
      <c r="A1050" s="13"/>
      <c r="B1050" s="13"/>
      <c r="C1050" s="13"/>
      <c r="E1050" s="178"/>
      <c r="H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78"/>
      <c r="AH1050" s="178"/>
      <c r="AI1050" s="178"/>
      <c r="AJ1050" s="178"/>
      <c r="AK1050" s="178"/>
      <c r="AL1050" s="178"/>
      <c r="AM1050" s="178"/>
      <c r="AN1050" s="178"/>
      <c r="AO1050" s="178"/>
      <c r="AP1050" s="178"/>
      <c r="AQ1050" s="178"/>
      <c r="AR1050" s="178"/>
      <c r="AS1050" s="178"/>
      <c r="AT1050" s="178"/>
      <c r="AU1050" s="178"/>
      <c r="AV1050" s="178"/>
      <c r="AW1050" s="178"/>
      <c r="AX1050" s="178"/>
    </row>
    <row r="1051" spans="1:50" ht="15.75" customHeight="1" x14ac:dyDescent="0.3">
      <c r="A1051" s="13"/>
      <c r="B1051" s="13"/>
      <c r="C1051" s="13"/>
      <c r="E1051" s="178"/>
      <c r="H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78"/>
      <c r="AH1051" s="178"/>
      <c r="AI1051" s="178"/>
      <c r="AJ1051" s="178"/>
      <c r="AK1051" s="178"/>
      <c r="AL1051" s="178"/>
      <c r="AM1051" s="178"/>
      <c r="AN1051" s="178"/>
      <c r="AO1051" s="178"/>
      <c r="AP1051" s="178"/>
      <c r="AQ1051" s="178"/>
      <c r="AR1051" s="178"/>
      <c r="AS1051" s="178"/>
      <c r="AT1051" s="178"/>
      <c r="AU1051" s="178"/>
      <c r="AV1051" s="178"/>
      <c r="AW1051" s="178"/>
      <c r="AX1051" s="178"/>
    </row>
    <row r="1052" spans="1:50" ht="15.75" customHeight="1" x14ac:dyDescent="0.3">
      <c r="A1052" s="13"/>
      <c r="B1052" s="13"/>
      <c r="C1052" s="13"/>
      <c r="E1052" s="178"/>
      <c r="H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78"/>
      <c r="AH1052" s="178"/>
      <c r="AI1052" s="178"/>
      <c r="AJ1052" s="178"/>
      <c r="AK1052" s="178"/>
      <c r="AL1052" s="178"/>
      <c r="AM1052" s="178"/>
      <c r="AN1052" s="178"/>
      <c r="AO1052" s="178"/>
      <c r="AP1052" s="178"/>
      <c r="AQ1052" s="178"/>
      <c r="AR1052" s="178"/>
      <c r="AS1052" s="178"/>
      <c r="AT1052" s="178"/>
      <c r="AU1052" s="178"/>
      <c r="AV1052" s="178"/>
      <c r="AW1052" s="178"/>
      <c r="AX1052" s="178"/>
    </row>
    <row r="1053" spans="1:50" ht="15.75" customHeight="1" x14ac:dyDescent="0.3">
      <c r="A1053" s="13"/>
      <c r="B1053" s="13"/>
      <c r="C1053" s="13"/>
      <c r="E1053" s="178"/>
      <c r="H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78"/>
      <c r="AH1053" s="178"/>
      <c r="AI1053" s="178"/>
      <c r="AJ1053" s="178"/>
      <c r="AK1053" s="178"/>
      <c r="AL1053" s="178"/>
      <c r="AM1053" s="178"/>
      <c r="AN1053" s="178"/>
      <c r="AO1053" s="178"/>
      <c r="AP1053" s="178"/>
      <c r="AQ1053" s="178"/>
      <c r="AR1053" s="178"/>
      <c r="AS1053" s="178"/>
      <c r="AT1053" s="178"/>
      <c r="AU1053" s="178"/>
      <c r="AV1053" s="178"/>
      <c r="AW1053" s="178"/>
      <c r="AX1053" s="178"/>
    </row>
    <row r="1054" spans="1:50" ht="15.75" customHeight="1" x14ac:dyDescent="0.3">
      <c r="A1054" s="13"/>
      <c r="B1054" s="13"/>
      <c r="C1054" s="13"/>
      <c r="E1054" s="178"/>
      <c r="H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78"/>
      <c r="AH1054" s="178"/>
      <c r="AI1054" s="178"/>
      <c r="AJ1054" s="178"/>
      <c r="AK1054" s="178"/>
      <c r="AL1054" s="178"/>
      <c r="AM1054" s="178"/>
      <c r="AN1054" s="178"/>
      <c r="AO1054" s="178"/>
      <c r="AP1054" s="178"/>
      <c r="AQ1054" s="178"/>
      <c r="AR1054" s="178"/>
      <c r="AS1054" s="178"/>
      <c r="AT1054" s="178"/>
      <c r="AU1054" s="178"/>
      <c r="AV1054" s="178"/>
      <c r="AW1054" s="178"/>
      <c r="AX1054" s="178"/>
    </row>
    <row r="1055" spans="1:50" ht="15.75" customHeight="1" x14ac:dyDescent="0.3">
      <c r="A1055" s="13"/>
      <c r="B1055" s="13"/>
      <c r="C1055" s="13"/>
      <c r="E1055" s="178"/>
      <c r="H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78"/>
      <c r="AH1055" s="178"/>
      <c r="AI1055" s="178"/>
      <c r="AJ1055" s="178"/>
      <c r="AK1055" s="178"/>
      <c r="AL1055" s="178"/>
      <c r="AM1055" s="178"/>
      <c r="AN1055" s="178"/>
      <c r="AO1055" s="178"/>
      <c r="AP1055" s="178"/>
      <c r="AQ1055" s="178"/>
      <c r="AR1055" s="178"/>
      <c r="AS1055" s="178"/>
      <c r="AT1055" s="178"/>
      <c r="AU1055" s="178"/>
      <c r="AV1055" s="178"/>
      <c r="AW1055" s="178"/>
      <c r="AX1055" s="178"/>
    </row>
    <row r="1056" spans="1:50" ht="15.75" customHeight="1" x14ac:dyDescent="0.3">
      <c r="A1056" s="13"/>
      <c r="B1056" s="13"/>
      <c r="C1056" s="13"/>
      <c r="E1056" s="178"/>
      <c r="H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78"/>
      <c r="AH1056" s="178"/>
      <c r="AI1056" s="178"/>
      <c r="AJ1056" s="178"/>
      <c r="AK1056" s="178"/>
      <c r="AL1056" s="178"/>
      <c r="AM1056" s="178"/>
      <c r="AN1056" s="178"/>
      <c r="AO1056" s="178"/>
      <c r="AP1056" s="178"/>
      <c r="AQ1056" s="178"/>
      <c r="AR1056" s="178"/>
      <c r="AS1056" s="178"/>
      <c r="AT1056" s="178"/>
      <c r="AU1056" s="178"/>
      <c r="AV1056" s="178"/>
      <c r="AW1056" s="178"/>
      <c r="AX1056" s="178"/>
    </row>
    <row r="1057" spans="1:50" ht="15.75" customHeight="1" x14ac:dyDescent="0.3">
      <c r="A1057" s="13"/>
      <c r="B1057" s="13"/>
      <c r="C1057" s="13"/>
      <c r="E1057" s="178"/>
      <c r="H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78"/>
      <c r="AH1057" s="178"/>
      <c r="AI1057" s="178"/>
      <c r="AJ1057" s="178"/>
      <c r="AK1057" s="178"/>
      <c r="AL1057" s="178"/>
      <c r="AM1057" s="178"/>
      <c r="AN1057" s="178"/>
      <c r="AO1057" s="178"/>
      <c r="AP1057" s="178"/>
      <c r="AQ1057" s="178"/>
      <c r="AR1057" s="178"/>
      <c r="AS1057" s="178"/>
      <c r="AT1057" s="178"/>
      <c r="AU1057" s="178"/>
      <c r="AV1057" s="178"/>
      <c r="AW1057" s="178"/>
      <c r="AX1057" s="178"/>
    </row>
    <row r="1058" spans="1:50" ht="15.75" customHeight="1" x14ac:dyDescent="0.3">
      <c r="A1058" s="13"/>
      <c r="B1058" s="13"/>
      <c r="C1058" s="13"/>
      <c r="E1058" s="178"/>
      <c r="H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78"/>
      <c r="AH1058" s="178"/>
      <c r="AI1058" s="178"/>
      <c r="AJ1058" s="178"/>
      <c r="AK1058" s="178"/>
      <c r="AL1058" s="178"/>
      <c r="AM1058" s="178"/>
      <c r="AN1058" s="178"/>
      <c r="AO1058" s="178"/>
      <c r="AP1058" s="178"/>
      <c r="AQ1058" s="178"/>
      <c r="AR1058" s="178"/>
      <c r="AS1058" s="178"/>
      <c r="AT1058" s="178"/>
      <c r="AU1058" s="178"/>
      <c r="AV1058" s="178"/>
      <c r="AW1058" s="178"/>
      <c r="AX1058" s="178"/>
    </row>
    <row r="1059" spans="1:50" ht="15.75" customHeight="1" x14ac:dyDescent="0.3">
      <c r="A1059" s="13"/>
      <c r="B1059" s="13"/>
      <c r="C1059" s="13"/>
      <c r="E1059" s="178"/>
      <c r="H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78"/>
      <c r="AH1059" s="178"/>
      <c r="AI1059" s="178"/>
      <c r="AJ1059" s="178"/>
      <c r="AK1059" s="178"/>
      <c r="AL1059" s="178"/>
      <c r="AM1059" s="178"/>
      <c r="AN1059" s="178"/>
      <c r="AO1059" s="178"/>
      <c r="AP1059" s="178"/>
      <c r="AQ1059" s="178"/>
      <c r="AR1059" s="178"/>
      <c r="AS1059" s="178"/>
      <c r="AT1059" s="178"/>
      <c r="AU1059" s="178"/>
      <c r="AV1059" s="178"/>
      <c r="AW1059" s="178"/>
      <c r="AX1059" s="178"/>
    </row>
    <row r="1060" spans="1:50" ht="15.75" customHeight="1" x14ac:dyDescent="0.3">
      <c r="A1060" s="13"/>
      <c r="B1060" s="13"/>
      <c r="C1060" s="13"/>
      <c r="E1060" s="178"/>
      <c r="H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78"/>
      <c r="AH1060" s="178"/>
      <c r="AI1060" s="178"/>
      <c r="AJ1060" s="178"/>
      <c r="AK1060" s="178"/>
      <c r="AL1060" s="178"/>
      <c r="AM1060" s="178"/>
      <c r="AN1060" s="178"/>
      <c r="AO1060" s="178"/>
      <c r="AP1060" s="178"/>
      <c r="AQ1060" s="178"/>
      <c r="AR1060" s="178"/>
      <c r="AS1060" s="178"/>
      <c r="AT1060" s="178"/>
      <c r="AU1060" s="178"/>
      <c r="AV1060" s="178"/>
      <c r="AW1060" s="178"/>
      <c r="AX1060" s="178"/>
    </row>
    <row r="1061" spans="1:50" ht="15.75" customHeight="1" x14ac:dyDescent="0.3">
      <c r="A1061" s="13"/>
      <c r="B1061" s="13"/>
      <c r="C1061" s="13"/>
      <c r="E1061" s="178"/>
      <c r="H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78"/>
      <c r="AH1061" s="178"/>
      <c r="AI1061" s="178"/>
      <c r="AJ1061" s="178"/>
      <c r="AK1061" s="178"/>
      <c r="AL1061" s="178"/>
      <c r="AM1061" s="178"/>
      <c r="AN1061" s="178"/>
      <c r="AO1061" s="178"/>
      <c r="AP1061" s="178"/>
      <c r="AQ1061" s="178"/>
      <c r="AR1061" s="178"/>
      <c r="AS1061" s="178"/>
      <c r="AT1061" s="178"/>
      <c r="AU1061" s="178"/>
      <c r="AV1061" s="178"/>
      <c r="AW1061" s="178"/>
      <c r="AX1061" s="178"/>
    </row>
    <row r="1062" spans="1:50" ht="15.75" customHeight="1" x14ac:dyDescent="0.3">
      <c r="A1062" s="13"/>
      <c r="B1062" s="13"/>
      <c r="C1062" s="13"/>
      <c r="E1062" s="178"/>
      <c r="H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78"/>
      <c r="AH1062" s="178"/>
      <c r="AI1062" s="178"/>
      <c r="AJ1062" s="178"/>
      <c r="AK1062" s="178"/>
      <c r="AL1062" s="178"/>
      <c r="AM1062" s="178"/>
      <c r="AN1062" s="178"/>
      <c r="AO1062" s="178"/>
      <c r="AP1062" s="178"/>
      <c r="AQ1062" s="178"/>
      <c r="AR1062" s="178"/>
      <c r="AS1062" s="178"/>
      <c r="AT1062" s="178"/>
      <c r="AU1062" s="178"/>
      <c r="AV1062" s="178"/>
      <c r="AW1062" s="178"/>
      <c r="AX1062" s="178"/>
    </row>
    <row r="1063" spans="1:50" ht="15.75" customHeight="1" x14ac:dyDescent="0.3">
      <c r="A1063" s="13"/>
      <c r="B1063" s="13"/>
      <c r="C1063" s="13"/>
      <c r="E1063" s="178"/>
      <c r="H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78"/>
      <c r="AH1063" s="178"/>
      <c r="AI1063" s="178"/>
      <c r="AJ1063" s="178"/>
      <c r="AK1063" s="178"/>
      <c r="AL1063" s="178"/>
      <c r="AM1063" s="178"/>
      <c r="AN1063" s="178"/>
      <c r="AO1063" s="178"/>
      <c r="AP1063" s="178"/>
      <c r="AQ1063" s="178"/>
      <c r="AR1063" s="178"/>
      <c r="AS1063" s="178"/>
      <c r="AT1063" s="178"/>
      <c r="AU1063" s="178"/>
      <c r="AV1063" s="178"/>
      <c r="AW1063" s="178"/>
      <c r="AX1063" s="178"/>
    </row>
    <row r="1064" spans="1:50" ht="15.75" customHeight="1" x14ac:dyDescent="0.3">
      <c r="A1064" s="13"/>
      <c r="B1064" s="13"/>
      <c r="C1064" s="13"/>
      <c r="E1064" s="178"/>
      <c r="H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78"/>
      <c r="AH1064" s="178"/>
      <c r="AI1064" s="178"/>
      <c r="AJ1064" s="178"/>
      <c r="AK1064" s="178"/>
      <c r="AL1064" s="178"/>
      <c r="AM1064" s="178"/>
      <c r="AN1064" s="178"/>
      <c r="AO1064" s="178"/>
      <c r="AP1064" s="178"/>
      <c r="AQ1064" s="178"/>
      <c r="AR1064" s="178"/>
      <c r="AS1064" s="178"/>
      <c r="AT1064" s="178"/>
      <c r="AU1064" s="178"/>
      <c r="AV1064" s="178"/>
      <c r="AW1064" s="178"/>
      <c r="AX1064" s="178"/>
    </row>
    <row r="1065" spans="1:50" ht="15.75" customHeight="1" x14ac:dyDescent="0.3">
      <c r="A1065" s="13"/>
      <c r="B1065" s="13"/>
      <c r="C1065" s="13"/>
      <c r="E1065" s="178"/>
      <c r="H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78"/>
      <c r="V1065" s="178"/>
      <c r="W1065" s="178"/>
      <c r="X1065" s="178"/>
      <c r="Y1065" s="178"/>
      <c r="Z1065" s="178"/>
      <c r="AA1065" s="178"/>
      <c r="AB1065" s="178"/>
      <c r="AC1065" s="178"/>
      <c r="AD1065" s="178"/>
      <c r="AE1065" s="178"/>
      <c r="AF1065" s="178"/>
      <c r="AG1065" s="178"/>
      <c r="AH1065" s="178"/>
      <c r="AI1065" s="178"/>
      <c r="AJ1065" s="178"/>
      <c r="AK1065" s="178"/>
      <c r="AL1065" s="178"/>
      <c r="AM1065" s="178"/>
      <c r="AN1065" s="178"/>
      <c r="AO1065" s="178"/>
      <c r="AP1065" s="178"/>
      <c r="AQ1065" s="178"/>
      <c r="AR1065" s="178"/>
      <c r="AS1065" s="178"/>
      <c r="AT1065" s="178"/>
      <c r="AU1065" s="178"/>
      <c r="AV1065" s="178"/>
      <c r="AW1065" s="178"/>
      <c r="AX1065" s="178"/>
    </row>
    <row r="1066" spans="1:50" ht="15.75" customHeight="1" x14ac:dyDescent="0.3">
      <c r="A1066" s="13"/>
      <c r="B1066" s="13"/>
      <c r="C1066" s="13"/>
      <c r="E1066" s="178"/>
      <c r="H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78"/>
      <c r="V1066" s="178"/>
      <c r="W1066" s="178"/>
      <c r="X1066" s="178"/>
      <c r="Y1066" s="178"/>
      <c r="Z1066" s="178"/>
      <c r="AA1066" s="178"/>
      <c r="AB1066" s="178"/>
      <c r="AC1066" s="178"/>
      <c r="AD1066" s="178"/>
      <c r="AE1066" s="178"/>
      <c r="AF1066" s="178"/>
      <c r="AG1066" s="178"/>
      <c r="AH1066" s="178"/>
      <c r="AI1066" s="178"/>
      <c r="AJ1066" s="178"/>
      <c r="AK1066" s="178"/>
      <c r="AL1066" s="178"/>
      <c r="AM1066" s="178"/>
      <c r="AN1066" s="178"/>
      <c r="AO1066" s="178"/>
      <c r="AP1066" s="178"/>
      <c r="AQ1066" s="178"/>
      <c r="AR1066" s="178"/>
      <c r="AS1066" s="178"/>
      <c r="AT1066" s="178"/>
      <c r="AU1066" s="178"/>
      <c r="AV1066" s="178"/>
      <c r="AW1066" s="178"/>
      <c r="AX1066" s="178"/>
    </row>
    <row r="1067" spans="1:50" ht="15.75" customHeight="1" x14ac:dyDescent="0.3">
      <c r="A1067" s="13"/>
      <c r="B1067" s="13"/>
      <c r="C1067" s="13"/>
      <c r="E1067" s="178"/>
      <c r="H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78"/>
      <c r="V1067" s="178"/>
      <c r="W1067" s="178"/>
      <c r="X1067" s="178"/>
      <c r="Y1067" s="178"/>
      <c r="Z1067" s="178"/>
      <c r="AA1067" s="178"/>
      <c r="AB1067" s="178"/>
      <c r="AC1067" s="178"/>
      <c r="AD1067" s="178"/>
      <c r="AE1067" s="178"/>
      <c r="AF1067" s="178"/>
      <c r="AG1067" s="178"/>
      <c r="AH1067" s="178"/>
      <c r="AI1067" s="178"/>
      <c r="AJ1067" s="178"/>
      <c r="AK1067" s="178"/>
      <c r="AL1067" s="178"/>
      <c r="AM1067" s="178"/>
      <c r="AN1067" s="178"/>
      <c r="AO1067" s="178"/>
      <c r="AP1067" s="178"/>
      <c r="AQ1067" s="178"/>
      <c r="AR1067" s="178"/>
      <c r="AS1067" s="178"/>
      <c r="AT1067" s="178"/>
      <c r="AU1067" s="178"/>
      <c r="AV1067" s="178"/>
      <c r="AW1067" s="178"/>
      <c r="AX1067" s="178"/>
    </row>
    <row r="1068" spans="1:50" ht="15.75" customHeight="1" x14ac:dyDescent="0.3">
      <c r="A1068" s="13"/>
      <c r="B1068" s="13"/>
      <c r="C1068" s="13"/>
      <c r="E1068" s="178"/>
      <c r="H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78"/>
      <c r="V1068" s="178"/>
      <c r="W1068" s="178"/>
      <c r="X1068" s="178"/>
      <c r="Y1068" s="178"/>
      <c r="Z1068" s="178"/>
      <c r="AA1068" s="178"/>
      <c r="AB1068" s="178"/>
      <c r="AC1068" s="178"/>
      <c r="AD1068" s="178"/>
      <c r="AE1068" s="178"/>
      <c r="AF1068" s="178"/>
      <c r="AG1068" s="178"/>
      <c r="AH1068" s="178"/>
      <c r="AI1068" s="178"/>
      <c r="AJ1068" s="178"/>
      <c r="AK1068" s="178"/>
      <c r="AL1068" s="178"/>
      <c r="AM1068" s="178"/>
      <c r="AN1068" s="178"/>
      <c r="AO1068" s="178"/>
      <c r="AP1068" s="178"/>
      <c r="AQ1068" s="178"/>
      <c r="AR1068" s="178"/>
      <c r="AS1068" s="178"/>
      <c r="AT1068" s="178"/>
      <c r="AU1068" s="178"/>
      <c r="AV1068" s="178"/>
      <c r="AW1068" s="178"/>
      <c r="AX1068" s="178"/>
    </row>
    <row r="1069" spans="1:50" ht="15.75" customHeight="1" x14ac:dyDescent="0.3">
      <c r="A1069" s="13"/>
      <c r="B1069" s="13"/>
      <c r="C1069" s="13"/>
      <c r="E1069" s="178"/>
      <c r="H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78"/>
      <c r="V1069" s="178"/>
      <c r="W1069" s="178"/>
      <c r="X1069" s="178"/>
      <c r="Y1069" s="178"/>
      <c r="Z1069" s="178"/>
      <c r="AA1069" s="178"/>
      <c r="AB1069" s="178"/>
      <c r="AC1069" s="178"/>
      <c r="AD1069" s="178"/>
      <c r="AE1069" s="178"/>
      <c r="AF1069" s="178"/>
      <c r="AG1069" s="178"/>
      <c r="AH1069" s="178"/>
      <c r="AI1069" s="178"/>
      <c r="AJ1069" s="178"/>
      <c r="AK1069" s="178"/>
      <c r="AL1069" s="178"/>
      <c r="AM1069" s="178"/>
      <c r="AN1069" s="178"/>
      <c r="AO1069" s="178"/>
      <c r="AP1069" s="178"/>
      <c r="AQ1069" s="178"/>
      <c r="AR1069" s="178"/>
      <c r="AS1069" s="178"/>
      <c r="AT1069" s="178"/>
      <c r="AU1069" s="178"/>
      <c r="AV1069" s="178"/>
      <c r="AW1069" s="178"/>
      <c r="AX1069" s="178"/>
    </row>
    <row r="1070" spans="1:50" ht="15.75" customHeight="1" x14ac:dyDescent="0.3">
      <c r="A1070" s="13"/>
      <c r="B1070" s="13"/>
      <c r="C1070" s="13"/>
      <c r="E1070" s="178"/>
      <c r="H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78"/>
      <c r="V1070" s="178"/>
      <c r="W1070" s="178"/>
      <c r="X1070" s="178"/>
      <c r="Y1070" s="178"/>
      <c r="Z1070" s="178"/>
      <c r="AA1070" s="178"/>
      <c r="AB1070" s="178"/>
      <c r="AC1070" s="178"/>
      <c r="AD1070" s="178"/>
      <c r="AE1070" s="178"/>
      <c r="AF1070" s="178"/>
      <c r="AG1070" s="178"/>
      <c r="AH1070" s="178"/>
      <c r="AI1070" s="178"/>
      <c r="AJ1070" s="178"/>
      <c r="AK1070" s="178"/>
      <c r="AL1070" s="178"/>
      <c r="AM1070" s="178"/>
      <c r="AN1070" s="178"/>
      <c r="AO1070" s="178"/>
      <c r="AP1070" s="178"/>
      <c r="AQ1070" s="178"/>
      <c r="AR1070" s="178"/>
      <c r="AS1070" s="178"/>
      <c r="AT1070" s="178"/>
      <c r="AU1070" s="178"/>
      <c r="AV1070" s="178"/>
      <c r="AW1070" s="178"/>
      <c r="AX1070" s="178"/>
    </row>
    <row r="1071" spans="1:50" ht="15.75" customHeight="1" x14ac:dyDescent="0.3">
      <c r="A1071" s="13"/>
      <c r="B1071" s="13"/>
      <c r="C1071" s="13"/>
      <c r="E1071" s="178"/>
      <c r="H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78"/>
      <c r="V1071" s="178"/>
      <c r="W1071" s="178"/>
      <c r="X1071" s="178"/>
      <c r="Y1071" s="178"/>
      <c r="Z1071" s="178"/>
      <c r="AA1071" s="178"/>
      <c r="AB1071" s="178"/>
      <c r="AC1071" s="178"/>
      <c r="AD1071" s="178"/>
      <c r="AE1071" s="178"/>
      <c r="AF1071" s="178"/>
      <c r="AG1071" s="178"/>
      <c r="AH1071" s="178"/>
      <c r="AI1071" s="178"/>
      <c r="AJ1071" s="178"/>
      <c r="AK1071" s="178"/>
      <c r="AL1071" s="178"/>
      <c r="AM1071" s="178"/>
      <c r="AN1071" s="178"/>
      <c r="AO1071" s="178"/>
      <c r="AP1071" s="178"/>
      <c r="AQ1071" s="178"/>
      <c r="AR1071" s="178"/>
      <c r="AS1071" s="178"/>
      <c r="AT1071" s="178"/>
      <c r="AU1071" s="178"/>
      <c r="AV1071" s="178"/>
      <c r="AW1071" s="178"/>
      <c r="AX1071" s="178"/>
    </row>
    <row r="1072" spans="1:50" ht="15.75" customHeight="1" x14ac:dyDescent="0.3">
      <c r="A1072" s="13"/>
      <c r="B1072" s="13"/>
      <c r="C1072" s="13"/>
      <c r="E1072" s="178"/>
      <c r="H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78"/>
      <c r="V1072" s="178"/>
      <c r="W1072" s="178"/>
      <c r="X1072" s="178"/>
      <c r="Y1072" s="178"/>
      <c r="Z1072" s="178"/>
      <c r="AA1072" s="178"/>
      <c r="AB1072" s="178"/>
      <c r="AC1072" s="178"/>
      <c r="AD1072" s="178"/>
      <c r="AE1072" s="178"/>
      <c r="AF1072" s="178"/>
      <c r="AG1072" s="178"/>
      <c r="AH1072" s="178"/>
      <c r="AI1072" s="178"/>
      <c r="AJ1072" s="178"/>
      <c r="AK1072" s="178"/>
      <c r="AL1072" s="178"/>
      <c r="AM1072" s="178"/>
      <c r="AN1072" s="178"/>
      <c r="AO1072" s="178"/>
      <c r="AP1072" s="178"/>
      <c r="AQ1072" s="178"/>
      <c r="AR1072" s="178"/>
      <c r="AS1072" s="178"/>
      <c r="AT1072" s="178"/>
      <c r="AU1072" s="178"/>
      <c r="AV1072" s="178"/>
      <c r="AW1072" s="178"/>
      <c r="AX1072" s="178"/>
    </row>
    <row r="1073" spans="1:50" ht="15.75" customHeight="1" x14ac:dyDescent="0.3">
      <c r="A1073" s="13"/>
      <c r="B1073" s="13"/>
      <c r="C1073" s="13"/>
      <c r="E1073" s="178"/>
      <c r="H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78"/>
      <c r="V1073" s="178"/>
      <c r="W1073" s="178"/>
      <c r="X1073" s="178"/>
      <c r="Y1073" s="178"/>
      <c r="Z1073" s="178"/>
      <c r="AA1073" s="178"/>
      <c r="AB1073" s="178"/>
      <c r="AC1073" s="178"/>
      <c r="AD1073" s="178"/>
      <c r="AE1073" s="178"/>
      <c r="AF1073" s="178"/>
      <c r="AG1073" s="178"/>
      <c r="AH1073" s="178"/>
      <c r="AI1073" s="178"/>
      <c r="AJ1073" s="178"/>
      <c r="AK1073" s="178"/>
      <c r="AL1073" s="178"/>
      <c r="AM1073" s="178"/>
      <c r="AN1073" s="178"/>
      <c r="AO1073" s="178"/>
      <c r="AP1073" s="178"/>
      <c r="AQ1073" s="178"/>
      <c r="AR1073" s="178"/>
      <c r="AS1073" s="178"/>
      <c r="AT1073" s="178"/>
      <c r="AU1073" s="178"/>
      <c r="AV1073" s="178"/>
      <c r="AW1073" s="178"/>
      <c r="AX1073" s="178"/>
    </row>
    <row r="1074" spans="1:50" ht="15.75" customHeight="1" x14ac:dyDescent="0.3">
      <c r="A1074" s="13"/>
      <c r="B1074" s="13"/>
      <c r="C1074" s="13"/>
      <c r="E1074" s="178"/>
      <c r="H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78"/>
      <c r="V1074" s="178"/>
      <c r="W1074" s="178"/>
      <c r="X1074" s="178"/>
      <c r="Y1074" s="178"/>
      <c r="Z1074" s="178"/>
      <c r="AA1074" s="178"/>
      <c r="AB1074" s="178"/>
      <c r="AC1074" s="178"/>
      <c r="AD1074" s="178"/>
      <c r="AE1074" s="178"/>
      <c r="AF1074" s="178"/>
      <c r="AG1074" s="178"/>
      <c r="AH1074" s="178"/>
      <c r="AI1074" s="178"/>
      <c r="AJ1074" s="178"/>
      <c r="AK1074" s="178"/>
      <c r="AL1074" s="178"/>
      <c r="AM1074" s="178"/>
      <c r="AN1074" s="178"/>
      <c r="AO1074" s="178"/>
      <c r="AP1074" s="178"/>
      <c r="AQ1074" s="178"/>
      <c r="AR1074" s="178"/>
      <c r="AS1074" s="178"/>
      <c r="AT1074" s="178"/>
      <c r="AU1074" s="178"/>
      <c r="AV1074" s="178"/>
      <c r="AW1074" s="178"/>
      <c r="AX1074" s="178"/>
    </row>
    <row r="1075" spans="1:50" ht="15.75" customHeight="1" x14ac:dyDescent="0.3">
      <c r="A1075" s="13"/>
      <c r="B1075" s="13"/>
      <c r="C1075" s="13"/>
      <c r="E1075" s="178"/>
      <c r="H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78"/>
      <c r="V1075" s="178"/>
      <c r="W1075" s="178"/>
      <c r="X1075" s="178"/>
      <c r="Y1075" s="178"/>
      <c r="Z1075" s="178"/>
      <c r="AA1075" s="178"/>
      <c r="AB1075" s="178"/>
      <c r="AC1075" s="178"/>
      <c r="AD1075" s="178"/>
      <c r="AE1075" s="178"/>
      <c r="AF1075" s="178"/>
      <c r="AG1075" s="178"/>
      <c r="AH1075" s="178"/>
      <c r="AI1075" s="178"/>
      <c r="AJ1075" s="178"/>
      <c r="AK1075" s="178"/>
      <c r="AL1075" s="178"/>
      <c r="AM1075" s="178"/>
      <c r="AN1075" s="178"/>
      <c r="AO1075" s="178"/>
      <c r="AP1075" s="178"/>
      <c r="AQ1075" s="178"/>
      <c r="AR1075" s="178"/>
      <c r="AS1075" s="178"/>
      <c r="AT1075" s="178"/>
      <c r="AU1075" s="178"/>
      <c r="AV1075" s="178"/>
      <c r="AW1075" s="178"/>
      <c r="AX1075" s="178"/>
    </row>
    <row r="1076" spans="1:50" ht="15.75" customHeight="1" x14ac:dyDescent="0.3">
      <c r="A1076" s="13"/>
      <c r="B1076" s="13"/>
      <c r="C1076" s="13"/>
      <c r="E1076" s="178"/>
      <c r="H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78"/>
      <c r="V1076" s="178"/>
      <c r="W1076" s="178"/>
      <c r="X1076" s="178"/>
      <c r="Y1076" s="178"/>
      <c r="Z1076" s="178"/>
      <c r="AA1076" s="178"/>
      <c r="AB1076" s="178"/>
      <c r="AC1076" s="178"/>
      <c r="AD1076" s="178"/>
      <c r="AE1076" s="178"/>
      <c r="AF1076" s="178"/>
      <c r="AG1076" s="178"/>
      <c r="AH1076" s="178"/>
      <c r="AI1076" s="178"/>
      <c r="AJ1076" s="178"/>
      <c r="AK1076" s="178"/>
      <c r="AL1076" s="178"/>
      <c r="AM1076" s="178"/>
      <c r="AN1076" s="178"/>
      <c r="AO1076" s="178"/>
      <c r="AP1076" s="178"/>
      <c r="AQ1076" s="178"/>
      <c r="AR1076" s="178"/>
      <c r="AS1076" s="178"/>
      <c r="AT1076" s="178"/>
      <c r="AU1076" s="178"/>
      <c r="AV1076" s="178"/>
      <c r="AW1076" s="178"/>
      <c r="AX1076" s="178"/>
    </row>
    <row r="1077" spans="1:50" ht="15.75" customHeight="1" x14ac:dyDescent="0.3">
      <c r="A1077" s="13"/>
      <c r="B1077" s="13"/>
      <c r="C1077" s="13"/>
      <c r="E1077" s="178"/>
      <c r="H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78"/>
      <c r="V1077" s="178"/>
      <c r="W1077" s="178"/>
      <c r="X1077" s="178"/>
      <c r="Y1077" s="178"/>
      <c r="Z1077" s="178"/>
      <c r="AA1077" s="178"/>
      <c r="AB1077" s="178"/>
      <c r="AC1077" s="178"/>
      <c r="AD1077" s="178"/>
      <c r="AE1077" s="178"/>
      <c r="AF1077" s="178"/>
      <c r="AG1077" s="178"/>
      <c r="AH1077" s="178"/>
      <c r="AI1077" s="178"/>
      <c r="AJ1077" s="178"/>
      <c r="AK1077" s="178"/>
      <c r="AL1077" s="178"/>
      <c r="AM1077" s="178"/>
      <c r="AN1077" s="178"/>
      <c r="AO1077" s="178"/>
      <c r="AP1077" s="178"/>
      <c r="AQ1077" s="178"/>
      <c r="AR1077" s="178"/>
      <c r="AS1077" s="178"/>
      <c r="AT1077" s="178"/>
      <c r="AU1077" s="178"/>
      <c r="AV1077" s="178"/>
      <c r="AW1077" s="178"/>
      <c r="AX1077" s="178"/>
    </row>
    <row r="1078" spans="1:50" ht="15.75" customHeight="1" x14ac:dyDescent="0.3">
      <c r="A1078" s="13"/>
      <c r="B1078" s="13"/>
      <c r="C1078" s="13"/>
      <c r="E1078" s="178"/>
      <c r="H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78"/>
      <c r="V1078" s="178"/>
      <c r="W1078" s="178"/>
      <c r="X1078" s="178"/>
      <c r="Y1078" s="178"/>
      <c r="Z1078" s="178"/>
      <c r="AA1078" s="178"/>
      <c r="AB1078" s="178"/>
      <c r="AC1078" s="178"/>
      <c r="AD1078" s="178"/>
      <c r="AE1078" s="178"/>
      <c r="AF1078" s="178"/>
      <c r="AG1078" s="178"/>
      <c r="AH1078" s="178"/>
      <c r="AI1078" s="178"/>
      <c r="AJ1078" s="178"/>
      <c r="AK1078" s="178"/>
      <c r="AL1078" s="178"/>
      <c r="AM1078" s="178"/>
      <c r="AN1078" s="178"/>
      <c r="AO1078" s="178"/>
      <c r="AP1078" s="178"/>
      <c r="AQ1078" s="178"/>
      <c r="AR1078" s="178"/>
      <c r="AS1078" s="178"/>
      <c r="AT1078" s="178"/>
      <c r="AU1078" s="178"/>
      <c r="AV1078" s="178"/>
      <c r="AW1078" s="178"/>
      <c r="AX1078" s="178"/>
    </row>
    <row r="1079" spans="1:50" ht="15.75" customHeight="1" x14ac:dyDescent="0.3">
      <c r="A1079" s="13"/>
      <c r="B1079" s="13"/>
      <c r="C1079" s="13"/>
      <c r="E1079" s="178"/>
      <c r="H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78"/>
      <c r="V1079" s="178"/>
      <c r="W1079" s="178"/>
      <c r="X1079" s="178"/>
      <c r="Y1079" s="178"/>
      <c r="Z1079" s="178"/>
      <c r="AA1079" s="178"/>
      <c r="AB1079" s="178"/>
      <c r="AC1079" s="178"/>
      <c r="AD1079" s="178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8"/>
      <c r="AQ1079" s="178"/>
      <c r="AR1079" s="178"/>
      <c r="AS1079" s="178"/>
      <c r="AT1079" s="178"/>
      <c r="AU1079" s="178"/>
      <c r="AV1079" s="178"/>
      <c r="AW1079" s="178"/>
      <c r="AX1079" s="178"/>
    </row>
    <row r="1080" spans="1:50" ht="15.75" customHeight="1" x14ac:dyDescent="0.3">
      <c r="A1080" s="13"/>
      <c r="B1080" s="13"/>
      <c r="C1080" s="13"/>
      <c r="E1080" s="178"/>
      <c r="H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78"/>
      <c r="V1080" s="178"/>
      <c r="W1080" s="178"/>
      <c r="X1080" s="178"/>
      <c r="Y1080" s="178"/>
      <c r="Z1080" s="178"/>
      <c r="AA1080" s="178"/>
      <c r="AB1080" s="178"/>
      <c r="AC1080" s="178"/>
      <c r="AD1080" s="178"/>
      <c r="AE1080" s="178"/>
      <c r="AF1080" s="178"/>
      <c r="AG1080" s="178"/>
      <c r="AH1080" s="178"/>
      <c r="AI1080" s="178"/>
      <c r="AJ1080" s="178"/>
      <c r="AK1080" s="178"/>
      <c r="AL1080" s="178"/>
      <c r="AM1080" s="178"/>
      <c r="AN1080" s="178"/>
      <c r="AO1080" s="178"/>
      <c r="AP1080" s="178"/>
      <c r="AQ1080" s="178"/>
      <c r="AR1080" s="178"/>
      <c r="AS1080" s="178"/>
      <c r="AT1080" s="178"/>
      <c r="AU1080" s="178"/>
      <c r="AV1080" s="178"/>
      <c r="AW1080" s="178"/>
      <c r="AX1080" s="178"/>
    </row>
    <row r="1081" spans="1:50" ht="15.75" customHeight="1" x14ac:dyDescent="0.3">
      <c r="A1081" s="13"/>
      <c r="B1081" s="13"/>
      <c r="C1081" s="13"/>
      <c r="E1081" s="178"/>
      <c r="H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78"/>
      <c r="V1081" s="178"/>
      <c r="W1081" s="178"/>
      <c r="X1081" s="178"/>
      <c r="Y1081" s="178"/>
      <c r="Z1081" s="178"/>
      <c r="AA1081" s="178"/>
      <c r="AB1081" s="178"/>
      <c r="AC1081" s="178"/>
      <c r="AD1081" s="178"/>
      <c r="AE1081" s="178"/>
      <c r="AF1081" s="178"/>
      <c r="AG1081" s="178"/>
      <c r="AH1081" s="178"/>
      <c r="AI1081" s="178"/>
      <c r="AJ1081" s="178"/>
      <c r="AK1081" s="178"/>
      <c r="AL1081" s="178"/>
      <c r="AM1081" s="178"/>
      <c r="AN1081" s="178"/>
      <c r="AO1081" s="178"/>
      <c r="AP1081" s="178"/>
      <c r="AQ1081" s="178"/>
      <c r="AR1081" s="178"/>
      <c r="AS1081" s="178"/>
      <c r="AT1081" s="178"/>
      <c r="AU1081" s="178"/>
      <c r="AV1081" s="178"/>
      <c r="AW1081" s="178"/>
      <c r="AX1081" s="178"/>
    </row>
    <row r="1082" spans="1:50" ht="15.75" customHeight="1" x14ac:dyDescent="0.3">
      <c r="A1082" s="13"/>
      <c r="B1082" s="13"/>
      <c r="C1082" s="13"/>
      <c r="E1082" s="178"/>
      <c r="H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78"/>
      <c r="V1082" s="178"/>
      <c r="W1082" s="178"/>
      <c r="X1082" s="178"/>
      <c r="Y1082" s="178"/>
      <c r="Z1082" s="178"/>
      <c r="AA1082" s="178"/>
      <c r="AB1082" s="178"/>
      <c r="AC1082" s="178"/>
      <c r="AD1082" s="178"/>
      <c r="AE1082" s="178"/>
      <c r="AF1082" s="178"/>
      <c r="AG1082" s="178"/>
      <c r="AH1082" s="178"/>
      <c r="AI1082" s="178"/>
      <c r="AJ1082" s="178"/>
      <c r="AK1082" s="178"/>
      <c r="AL1082" s="178"/>
      <c r="AM1082" s="178"/>
      <c r="AN1082" s="178"/>
      <c r="AO1082" s="178"/>
      <c r="AP1082" s="178"/>
      <c r="AQ1082" s="178"/>
      <c r="AR1082" s="178"/>
      <c r="AS1082" s="178"/>
      <c r="AT1082" s="178"/>
      <c r="AU1082" s="178"/>
      <c r="AV1082" s="178"/>
      <c r="AW1082" s="178"/>
      <c r="AX1082" s="178"/>
    </row>
    <row r="1083" spans="1:50" ht="15.75" customHeight="1" x14ac:dyDescent="0.3">
      <c r="A1083" s="13"/>
      <c r="B1083" s="13"/>
      <c r="C1083" s="13"/>
      <c r="E1083" s="178"/>
      <c r="H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78"/>
      <c r="V1083" s="178"/>
      <c r="W1083" s="178"/>
      <c r="X1083" s="178"/>
      <c r="Y1083" s="178"/>
      <c r="Z1083" s="178"/>
      <c r="AA1083" s="178"/>
      <c r="AB1083" s="178"/>
      <c r="AC1083" s="178"/>
      <c r="AD1083" s="178"/>
      <c r="AE1083" s="178"/>
      <c r="AF1083" s="178"/>
      <c r="AG1083" s="178"/>
      <c r="AH1083" s="178"/>
      <c r="AI1083" s="178"/>
      <c r="AJ1083" s="178"/>
      <c r="AK1083" s="178"/>
      <c r="AL1083" s="178"/>
      <c r="AM1083" s="178"/>
      <c r="AN1083" s="178"/>
      <c r="AO1083" s="178"/>
      <c r="AP1083" s="178"/>
      <c r="AQ1083" s="178"/>
      <c r="AR1083" s="178"/>
      <c r="AS1083" s="178"/>
      <c r="AT1083" s="178"/>
      <c r="AU1083" s="178"/>
      <c r="AV1083" s="178"/>
      <c r="AW1083" s="178"/>
      <c r="AX1083" s="178"/>
    </row>
    <row r="1084" spans="1:50" ht="15.75" customHeight="1" x14ac:dyDescent="0.3">
      <c r="A1084" s="13"/>
      <c r="B1084" s="13"/>
      <c r="C1084" s="13"/>
      <c r="E1084" s="178"/>
      <c r="H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78"/>
      <c r="V1084" s="178"/>
      <c r="W1084" s="178"/>
      <c r="X1084" s="178"/>
      <c r="Y1084" s="178"/>
      <c r="Z1084" s="178"/>
      <c r="AA1084" s="178"/>
      <c r="AB1084" s="178"/>
      <c r="AC1084" s="178"/>
      <c r="AD1084" s="178"/>
      <c r="AE1084" s="178"/>
      <c r="AF1084" s="178"/>
      <c r="AG1084" s="178"/>
      <c r="AH1084" s="178"/>
      <c r="AI1084" s="178"/>
      <c r="AJ1084" s="178"/>
      <c r="AK1084" s="178"/>
      <c r="AL1084" s="178"/>
      <c r="AM1084" s="178"/>
      <c r="AN1084" s="178"/>
      <c r="AO1084" s="178"/>
      <c r="AP1084" s="178"/>
      <c r="AQ1084" s="178"/>
      <c r="AR1084" s="178"/>
      <c r="AS1084" s="178"/>
      <c r="AT1084" s="178"/>
      <c r="AU1084" s="178"/>
      <c r="AV1084" s="178"/>
      <c r="AW1084" s="178"/>
      <c r="AX1084" s="178"/>
    </row>
    <row r="1085" spans="1:50" ht="15.75" customHeight="1" x14ac:dyDescent="0.3">
      <c r="A1085" s="13"/>
      <c r="B1085" s="13"/>
      <c r="C1085" s="13"/>
      <c r="E1085" s="178"/>
      <c r="H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78"/>
      <c r="V1085" s="178"/>
      <c r="W1085" s="178"/>
      <c r="X1085" s="178"/>
      <c r="Y1085" s="178"/>
      <c r="Z1085" s="178"/>
      <c r="AA1085" s="178"/>
      <c r="AB1085" s="178"/>
      <c r="AC1085" s="178"/>
      <c r="AD1085" s="178"/>
      <c r="AE1085" s="178"/>
      <c r="AF1085" s="178"/>
      <c r="AG1085" s="178"/>
      <c r="AH1085" s="178"/>
      <c r="AI1085" s="178"/>
      <c r="AJ1085" s="178"/>
      <c r="AK1085" s="178"/>
      <c r="AL1085" s="178"/>
      <c r="AM1085" s="178"/>
      <c r="AN1085" s="178"/>
      <c r="AO1085" s="178"/>
      <c r="AP1085" s="178"/>
      <c r="AQ1085" s="178"/>
      <c r="AR1085" s="178"/>
      <c r="AS1085" s="178"/>
      <c r="AT1085" s="178"/>
      <c r="AU1085" s="178"/>
      <c r="AV1085" s="178"/>
      <c r="AW1085" s="178"/>
      <c r="AX1085" s="178"/>
    </row>
    <row r="1086" spans="1:50" ht="15.75" customHeight="1" x14ac:dyDescent="0.3">
      <c r="A1086" s="13"/>
      <c r="B1086" s="13"/>
      <c r="C1086" s="13"/>
      <c r="E1086" s="178"/>
      <c r="H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78"/>
      <c r="V1086" s="178"/>
      <c r="W1086" s="178"/>
      <c r="X1086" s="178"/>
      <c r="Y1086" s="178"/>
      <c r="Z1086" s="178"/>
      <c r="AA1086" s="178"/>
      <c r="AB1086" s="178"/>
      <c r="AC1086" s="178"/>
      <c r="AD1086" s="178"/>
      <c r="AE1086" s="178"/>
      <c r="AF1086" s="178"/>
      <c r="AG1086" s="178"/>
      <c r="AH1086" s="178"/>
      <c r="AI1086" s="178"/>
      <c r="AJ1086" s="178"/>
      <c r="AK1086" s="178"/>
      <c r="AL1086" s="178"/>
      <c r="AM1086" s="178"/>
      <c r="AN1086" s="178"/>
      <c r="AO1086" s="178"/>
      <c r="AP1086" s="178"/>
      <c r="AQ1086" s="178"/>
      <c r="AR1086" s="178"/>
      <c r="AS1086" s="178"/>
      <c r="AT1086" s="178"/>
      <c r="AU1086" s="178"/>
      <c r="AV1086" s="178"/>
      <c r="AW1086" s="178"/>
      <c r="AX1086" s="178"/>
    </row>
    <row r="1087" spans="1:50" ht="15.75" customHeight="1" x14ac:dyDescent="0.3">
      <c r="A1087" s="13"/>
      <c r="B1087" s="13"/>
      <c r="C1087" s="13"/>
      <c r="E1087" s="178"/>
      <c r="H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78"/>
      <c r="V1087" s="178"/>
      <c r="W1087" s="178"/>
      <c r="X1087" s="178"/>
      <c r="Y1087" s="178"/>
      <c r="Z1087" s="178"/>
      <c r="AA1087" s="178"/>
      <c r="AB1087" s="178"/>
      <c r="AC1087" s="178"/>
      <c r="AD1087" s="178"/>
      <c r="AE1087" s="178"/>
      <c r="AF1087" s="178"/>
      <c r="AG1087" s="178"/>
      <c r="AH1087" s="178"/>
      <c r="AI1087" s="178"/>
      <c r="AJ1087" s="178"/>
      <c r="AK1087" s="178"/>
      <c r="AL1087" s="178"/>
      <c r="AM1087" s="178"/>
      <c r="AN1087" s="178"/>
      <c r="AO1087" s="178"/>
      <c r="AP1087" s="178"/>
      <c r="AQ1087" s="178"/>
      <c r="AR1087" s="178"/>
      <c r="AS1087" s="178"/>
      <c r="AT1087" s="178"/>
      <c r="AU1087" s="178"/>
      <c r="AV1087" s="178"/>
      <c r="AW1087" s="178"/>
      <c r="AX1087" s="178"/>
    </row>
    <row r="1088" spans="1:50" ht="15.75" customHeight="1" x14ac:dyDescent="0.3">
      <c r="A1088" s="13"/>
      <c r="B1088" s="13"/>
      <c r="C1088" s="13"/>
      <c r="E1088" s="178"/>
      <c r="H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78"/>
      <c r="V1088" s="178"/>
      <c r="W1088" s="178"/>
      <c r="X1088" s="178"/>
      <c r="Y1088" s="178"/>
      <c r="Z1088" s="178"/>
      <c r="AA1088" s="178"/>
      <c r="AB1088" s="178"/>
      <c r="AC1088" s="178"/>
      <c r="AD1088" s="178"/>
      <c r="AE1088" s="178"/>
      <c r="AF1088" s="178"/>
      <c r="AG1088" s="178"/>
      <c r="AH1088" s="178"/>
      <c r="AI1088" s="178"/>
      <c r="AJ1088" s="178"/>
      <c r="AK1088" s="178"/>
      <c r="AL1088" s="178"/>
      <c r="AM1088" s="178"/>
      <c r="AN1088" s="178"/>
      <c r="AO1088" s="178"/>
      <c r="AP1088" s="178"/>
      <c r="AQ1088" s="178"/>
      <c r="AR1088" s="178"/>
      <c r="AS1088" s="178"/>
      <c r="AT1088" s="178"/>
      <c r="AU1088" s="178"/>
      <c r="AV1088" s="178"/>
      <c r="AW1088" s="178"/>
      <c r="AX1088" s="178"/>
    </row>
    <row r="1089" spans="1:50" ht="15.75" customHeight="1" x14ac:dyDescent="0.3">
      <c r="A1089" s="13"/>
      <c r="B1089" s="13"/>
      <c r="C1089" s="13"/>
      <c r="E1089" s="178"/>
      <c r="H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78"/>
      <c r="V1089" s="178"/>
      <c r="W1089" s="178"/>
      <c r="X1089" s="178"/>
      <c r="Y1089" s="178"/>
      <c r="Z1089" s="178"/>
      <c r="AA1089" s="178"/>
      <c r="AB1089" s="178"/>
      <c r="AC1089" s="178"/>
      <c r="AD1089" s="178"/>
      <c r="AE1089" s="178"/>
      <c r="AF1089" s="178"/>
      <c r="AG1089" s="178"/>
      <c r="AH1089" s="178"/>
      <c r="AI1089" s="178"/>
      <c r="AJ1089" s="178"/>
      <c r="AK1089" s="178"/>
      <c r="AL1089" s="178"/>
      <c r="AM1089" s="178"/>
      <c r="AN1089" s="178"/>
      <c r="AO1089" s="178"/>
      <c r="AP1089" s="178"/>
      <c r="AQ1089" s="178"/>
      <c r="AR1089" s="178"/>
      <c r="AS1089" s="178"/>
      <c r="AT1089" s="178"/>
      <c r="AU1089" s="178"/>
      <c r="AV1089" s="178"/>
      <c r="AW1089" s="178"/>
      <c r="AX1089" s="178"/>
    </row>
    <row r="1090" spans="1:50" ht="15.75" customHeight="1" x14ac:dyDescent="0.3">
      <c r="A1090" s="13"/>
      <c r="B1090" s="13"/>
      <c r="C1090" s="13"/>
      <c r="E1090" s="178"/>
      <c r="H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78"/>
      <c r="V1090" s="178"/>
      <c r="W1090" s="178"/>
      <c r="X1090" s="178"/>
      <c r="Y1090" s="178"/>
      <c r="Z1090" s="178"/>
      <c r="AA1090" s="178"/>
      <c r="AB1090" s="178"/>
      <c r="AC1090" s="178"/>
      <c r="AD1090" s="178"/>
      <c r="AE1090" s="178"/>
      <c r="AF1090" s="178"/>
      <c r="AG1090" s="178"/>
      <c r="AH1090" s="178"/>
      <c r="AI1090" s="178"/>
      <c r="AJ1090" s="178"/>
      <c r="AK1090" s="178"/>
      <c r="AL1090" s="178"/>
      <c r="AM1090" s="178"/>
      <c r="AN1090" s="178"/>
      <c r="AO1090" s="178"/>
      <c r="AP1090" s="178"/>
      <c r="AQ1090" s="178"/>
      <c r="AR1090" s="178"/>
      <c r="AS1090" s="178"/>
      <c r="AT1090" s="178"/>
      <c r="AU1090" s="178"/>
      <c r="AV1090" s="178"/>
      <c r="AW1090" s="178"/>
      <c r="AX1090" s="178"/>
    </row>
    <row r="1091" spans="1:50" ht="15.75" customHeight="1" x14ac:dyDescent="0.3">
      <c r="A1091" s="13"/>
      <c r="B1091" s="13"/>
      <c r="C1091" s="13"/>
      <c r="E1091" s="178"/>
      <c r="H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78"/>
      <c r="V1091" s="178"/>
      <c r="W1091" s="178"/>
      <c r="X1091" s="178"/>
      <c r="Y1091" s="178"/>
      <c r="Z1091" s="178"/>
      <c r="AA1091" s="178"/>
      <c r="AB1091" s="178"/>
      <c r="AC1091" s="178"/>
      <c r="AD1091" s="178"/>
      <c r="AE1091" s="178"/>
      <c r="AF1091" s="178"/>
      <c r="AG1091" s="178"/>
      <c r="AH1091" s="178"/>
      <c r="AI1091" s="178"/>
      <c r="AJ1091" s="178"/>
      <c r="AK1091" s="178"/>
      <c r="AL1091" s="178"/>
      <c r="AM1091" s="178"/>
      <c r="AN1091" s="178"/>
      <c r="AO1091" s="178"/>
      <c r="AP1091" s="178"/>
      <c r="AQ1091" s="178"/>
      <c r="AR1091" s="178"/>
      <c r="AS1091" s="178"/>
      <c r="AT1091" s="178"/>
      <c r="AU1091" s="178"/>
      <c r="AV1091" s="178"/>
      <c r="AW1091" s="178"/>
      <c r="AX1091" s="178"/>
    </row>
    <row r="1092" spans="1:50" ht="15" customHeight="1" x14ac:dyDescent="0.3">
      <c r="A1092" s="13"/>
      <c r="B1092" s="13"/>
      <c r="C1092" s="13"/>
      <c r="E1092" s="178"/>
      <c r="H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78"/>
      <c r="V1092" s="178"/>
      <c r="W1092" s="178"/>
      <c r="X1092" s="178"/>
      <c r="Y1092" s="178"/>
      <c r="Z1092" s="178"/>
      <c r="AA1092" s="178"/>
      <c r="AB1092" s="178"/>
      <c r="AC1092" s="178"/>
      <c r="AD1092" s="178"/>
      <c r="AE1092" s="178"/>
      <c r="AF1092" s="178"/>
      <c r="AG1092" s="178"/>
      <c r="AH1092" s="178"/>
      <c r="AI1092" s="178"/>
      <c r="AJ1092" s="178"/>
      <c r="AK1092" s="178"/>
      <c r="AL1092" s="178"/>
      <c r="AM1092" s="178"/>
      <c r="AN1092" s="178"/>
      <c r="AO1092" s="178"/>
      <c r="AP1092" s="178"/>
      <c r="AQ1092" s="178"/>
      <c r="AR1092" s="178"/>
      <c r="AS1092" s="178"/>
      <c r="AT1092" s="178"/>
    </row>
    <row r="1093" spans="1:50" ht="15" customHeight="1" x14ac:dyDescent="0.3">
      <c r="A1093" s="13"/>
      <c r="B1093" s="13"/>
      <c r="C1093" s="13"/>
      <c r="E1093" s="178"/>
      <c r="H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78"/>
      <c r="V1093" s="178"/>
      <c r="W1093" s="178"/>
      <c r="X1093" s="178"/>
      <c r="Y1093" s="178"/>
      <c r="Z1093" s="178"/>
      <c r="AA1093" s="178"/>
      <c r="AB1093" s="178"/>
      <c r="AC1093" s="178"/>
      <c r="AD1093" s="178"/>
      <c r="AE1093" s="178"/>
      <c r="AF1093" s="178"/>
      <c r="AG1093" s="178"/>
      <c r="AH1093" s="178"/>
      <c r="AI1093" s="178"/>
      <c r="AJ1093" s="178"/>
      <c r="AK1093" s="178"/>
      <c r="AL1093" s="178"/>
      <c r="AM1093" s="178"/>
      <c r="AN1093" s="178"/>
      <c r="AO1093" s="178"/>
      <c r="AP1093" s="178"/>
      <c r="AQ1093" s="178"/>
      <c r="AR1093" s="178"/>
      <c r="AS1093" s="178"/>
      <c r="AT1093" s="178"/>
    </row>
    <row r="1094" spans="1:50" ht="15" customHeight="1" x14ac:dyDescent="0.3">
      <c r="A1094" s="13"/>
      <c r="B1094" s="13"/>
      <c r="C1094" s="13"/>
      <c r="E1094" s="178"/>
      <c r="H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78"/>
      <c r="V1094" s="178"/>
      <c r="W1094" s="178"/>
      <c r="X1094" s="178"/>
      <c r="Y1094" s="178"/>
      <c r="Z1094" s="178"/>
      <c r="AA1094" s="178"/>
      <c r="AB1094" s="178"/>
      <c r="AC1094" s="178"/>
      <c r="AD1094" s="178"/>
      <c r="AE1094" s="178"/>
      <c r="AF1094" s="178"/>
      <c r="AG1094" s="178"/>
      <c r="AH1094" s="178"/>
      <c r="AI1094" s="178"/>
      <c r="AJ1094" s="178"/>
      <c r="AK1094" s="178"/>
      <c r="AL1094" s="178"/>
      <c r="AM1094" s="178"/>
      <c r="AN1094" s="178"/>
      <c r="AO1094" s="178"/>
      <c r="AP1094" s="178"/>
      <c r="AQ1094" s="178"/>
      <c r="AR1094" s="178"/>
      <c r="AS1094" s="178"/>
      <c r="AT1094" s="178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M1089"/>
  <sheetViews>
    <sheetView showGridLines="0" zoomScale="80" zoomScaleNormal="80" workbookViewId="0">
      <pane xSplit="9" ySplit="8" topLeftCell="J35" activePane="bottomRight" state="frozen"/>
      <selection activeCell="G28" sqref="G28"/>
      <selection pane="topRight" activeCell="G28" sqref="G28"/>
      <selection pane="bottomLeft" activeCell="G28" sqref="G28"/>
      <selection pane="bottomRight" activeCell="L56" sqref="L56"/>
    </sheetView>
  </sheetViews>
  <sheetFormatPr defaultColWidth="0" defaultRowHeight="15" customHeight="1" outlineLevelRow="1" x14ac:dyDescent="0.3"/>
  <cols>
    <col min="1" max="3" width="1.07421875" customWidth="1"/>
    <col min="4" max="4" width="57.765625" customWidth="1"/>
    <col min="5" max="5" width="9.765625" customWidth="1"/>
    <col min="6" max="6" width="35" customWidth="1"/>
    <col min="7" max="7" width="18" customWidth="1"/>
    <col min="8" max="8" width="28" customWidth="1"/>
    <col min="9" max="9" width="16.4609375" customWidth="1"/>
    <col min="10" max="10" width="1" customWidth="1"/>
    <col min="11" max="14" width="14" customWidth="1"/>
    <col min="15" max="46" width="14.4609375" customWidth="1"/>
    <col min="47" max="65" width="0" hidden="1" customWidth="1"/>
    <col min="66" max="16384" width="14.4609375" hidden="1"/>
  </cols>
  <sheetData>
    <row r="1" spans="1:62" ht="15.75" customHeight="1" x14ac:dyDescent="0.3">
      <c r="A1" s="14"/>
      <c r="B1" s="14"/>
      <c r="C1" s="14"/>
      <c r="D1" s="84" t="s">
        <v>297</v>
      </c>
      <c r="E1" s="4"/>
      <c r="F1" s="4"/>
      <c r="G1" s="4"/>
      <c r="H1" s="4"/>
      <c r="I1" s="4"/>
      <c r="J1" s="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  <c r="AV1" s="5"/>
      <c r="AW1" s="5"/>
      <c r="AX1" s="5"/>
    </row>
    <row r="2" spans="1:62" ht="15.75" customHeight="1" x14ac:dyDescent="0.3">
      <c r="A2" s="13"/>
      <c r="B2" s="13"/>
      <c r="C2" s="13"/>
      <c r="D2" s="16"/>
      <c r="E2" s="16"/>
      <c r="F2" s="16"/>
      <c r="G2" s="16"/>
      <c r="H2" s="17"/>
      <c r="I2" s="16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62" ht="18" customHeight="1" x14ac:dyDescent="0.3">
      <c r="A3" s="19"/>
      <c r="B3" s="20"/>
      <c r="C3" s="20"/>
      <c r="D3" s="21" t="s">
        <v>11</v>
      </c>
      <c r="E3" s="22"/>
      <c r="F3" s="22"/>
      <c r="G3" s="22"/>
      <c r="H3" s="22"/>
      <c r="I3" s="22"/>
      <c r="J3" s="8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</row>
    <row r="4" spans="1:62" s="226" customFormat="1" ht="15.75" customHeight="1" thickBot="1" x14ac:dyDescent="0.35">
      <c r="A4" s="222"/>
      <c r="B4" s="222"/>
      <c r="C4" s="222"/>
      <c r="D4" s="345"/>
      <c r="E4" s="346" t="s">
        <v>12</v>
      </c>
      <c r="F4" s="346" t="s">
        <v>13</v>
      </c>
      <c r="G4" s="346" t="s">
        <v>14</v>
      </c>
      <c r="H4" s="346" t="s">
        <v>15</v>
      </c>
      <c r="I4" s="346" t="s">
        <v>16</v>
      </c>
      <c r="J4" s="27"/>
      <c r="K4" s="349">
        <f t="shared" ref="K4:AT4" si="0">YEAR(K5)</f>
        <v>2029</v>
      </c>
      <c r="L4" s="349">
        <f t="shared" si="0"/>
        <v>2029</v>
      </c>
      <c r="M4" s="349">
        <f t="shared" si="0"/>
        <v>2029</v>
      </c>
      <c r="N4" s="349">
        <f t="shared" si="0"/>
        <v>2029</v>
      </c>
      <c r="O4" s="349">
        <f t="shared" si="0"/>
        <v>2029</v>
      </c>
      <c r="P4" s="349">
        <f t="shared" si="0"/>
        <v>2029</v>
      </c>
      <c r="Q4" s="349">
        <f t="shared" si="0"/>
        <v>2029</v>
      </c>
      <c r="R4" s="349">
        <f t="shared" si="0"/>
        <v>2029</v>
      </c>
      <c r="S4" s="349">
        <f t="shared" si="0"/>
        <v>2029</v>
      </c>
      <c r="T4" s="349">
        <f t="shared" si="0"/>
        <v>2029</v>
      </c>
      <c r="U4" s="349">
        <f t="shared" si="0"/>
        <v>2029</v>
      </c>
      <c r="V4" s="349">
        <f t="shared" si="0"/>
        <v>2029</v>
      </c>
      <c r="W4" s="349">
        <f t="shared" si="0"/>
        <v>2030</v>
      </c>
      <c r="X4" s="349">
        <f t="shared" si="0"/>
        <v>2030</v>
      </c>
      <c r="Y4" s="349">
        <f t="shared" si="0"/>
        <v>2030</v>
      </c>
      <c r="Z4" s="349">
        <f t="shared" si="0"/>
        <v>2030</v>
      </c>
      <c r="AA4" s="349">
        <f t="shared" si="0"/>
        <v>2030</v>
      </c>
      <c r="AB4" s="349">
        <f t="shared" si="0"/>
        <v>2030</v>
      </c>
      <c r="AC4" s="349">
        <f t="shared" si="0"/>
        <v>2030</v>
      </c>
      <c r="AD4" s="349">
        <f t="shared" si="0"/>
        <v>2030</v>
      </c>
      <c r="AE4" s="349">
        <f t="shared" si="0"/>
        <v>2030</v>
      </c>
      <c r="AF4" s="349">
        <f t="shared" si="0"/>
        <v>2030</v>
      </c>
      <c r="AG4" s="349">
        <f t="shared" si="0"/>
        <v>2030</v>
      </c>
      <c r="AH4" s="349">
        <f t="shared" si="0"/>
        <v>2030</v>
      </c>
      <c r="AI4" s="349">
        <f t="shared" si="0"/>
        <v>2031</v>
      </c>
      <c r="AJ4" s="349">
        <f t="shared" si="0"/>
        <v>2031</v>
      </c>
      <c r="AK4" s="349">
        <f t="shared" si="0"/>
        <v>2031</v>
      </c>
      <c r="AL4" s="349">
        <f t="shared" si="0"/>
        <v>2031</v>
      </c>
      <c r="AM4" s="349">
        <f t="shared" si="0"/>
        <v>2031</v>
      </c>
      <c r="AN4" s="349">
        <f t="shared" si="0"/>
        <v>2031</v>
      </c>
      <c r="AO4" s="349">
        <f t="shared" si="0"/>
        <v>2031</v>
      </c>
      <c r="AP4" s="349">
        <f t="shared" si="0"/>
        <v>2031</v>
      </c>
      <c r="AQ4" s="349">
        <f t="shared" si="0"/>
        <v>2031</v>
      </c>
      <c r="AR4" s="349">
        <f t="shared" si="0"/>
        <v>2031</v>
      </c>
      <c r="AS4" s="349">
        <f t="shared" si="0"/>
        <v>2031</v>
      </c>
      <c r="AT4" s="349">
        <f t="shared" si="0"/>
        <v>2031</v>
      </c>
      <c r="AU4" s="349"/>
      <c r="AV4" s="345"/>
      <c r="AW4" s="345"/>
      <c r="AX4" s="345"/>
    </row>
    <row r="5" spans="1:62" ht="15.75" customHeight="1" x14ac:dyDescent="0.3">
      <c r="A5" s="13"/>
      <c r="B5" s="13"/>
      <c r="C5" s="13"/>
      <c r="D5" s="9" t="s">
        <v>17</v>
      </c>
      <c r="E5" s="8" t="s">
        <v>18</v>
      </c>
      <c r="F5" s="8"/>
      <c r="G5" s="30"/>
      <c r="H5" s="8"/>
      <c r="I5" s="32"/>
      <c r="J5" s="31"/>
      <c r="K5" s="323">
        <f>I6 + 1</f>
        <v>47119</v>
      </c>
      <c r="L5" s="323">
        <f xml:space="preserve"> K6 + 1</f>
        <v>47150</v>
      </c>
      <c r="M5" s="323">
        <f t="shared" ref="M5:AT5" si="1" xml:space="preserve"> L6 + 1</f>
        <v>47178</v>
      </c>
      <c r="N5" s="323">
        <f t="shared" si="1"/>
        <v>47209</v>
      </c>
      <c r="O5" s="323">
        <f t="shared" si="1"/>
        <v>47239</v>
      </c>
      <c r="P5" s="323">
        <f t="shared" si="1"/>
        <v>47270</v>
      </c>
      <c r="Q5" s="323">
        <f t="shared" si="1"/>
        <v>47300</v>
      </c>
      <c r="R5" s="323">
        <f t="shared" si="1"/>
        <v>47331</v>
      </c>
      <c r="S5" s="323">
        <f t="shared" si="1"/>
        <v>47362</v>
      </c>
      <c r="T5" s="323">
        <f t="shared" si="1"/>
        <v>47392</v>
      </c>
      <c r="U5" s="323">
        <f t="shared" si="1"/>
        <v>47423</v>
      </c>
      <c r="V5" s="323">
        <f t="shared" si="1"/>
        <v>47453</v>
      </c>
      <c r="W5" s="323">
        <f t="shared" si="1"/>
        <v>47484</v>
      </c>
      <c r="X5" s="323">
        <f t="shared" si="1"/>
        <v>47515</v>
      </c>
      <c r="Y5" s="323">
        <f t="shared" si="1"/>
        <v>47543</v>
      </c>
      <c r="Z5" s="323">
        <f t="shared" si="1"/>
        <v>47574</v>
      </c>
      <c r="AA5" s="323">
        <f t="shared" si="1"/>
        <v>47604</v>
      </c>
      <c r="AB5" s="323">
        <f t="shared" si="1"/>
        <v>47635</v>
      </c>
      <c r="AC5" s="323">
        <f t="shared" si="1"/>
        <v>47665</v>
      </c>
      <c r="AD5" s="323">
        <f t="shared" si="1"/>
        <v>47696</v>
      </c>
      <c r="AE5" s="323">
        <f t="shared" si="1"/>
        <v>47727</v>
      </c>
      <c r="AF5" s="323">
        <f t="shared" si="1"/>
        <v>47757</v>
      </c>
      <c r="AG5" s="323">
        <f t="shared" si="1"/>
        <v>47788</v>
      </c>
      <c r="AH5" s="323">
        <f t="shared" si="1"/>
        <v>47818</v>
      </c>
      <c r="AI5" s="323">
        <f t="shared" si="1"/>
        <v>47849</v>
      </c>
      <c r="AJ5" s="323">
        <f t="shared" si="1"/>
        <v>47880</v>
      </c>
      <c r="AK5" s="323">
        <f t="shared" si="1"/>
        <v>47908</v>
      </c>
      <c r="AL5" s="323">
        <f t="shared" si="1"/>
        <v>47939</v>
      </c>
      <c r="AM5" s="323">
        <f t="shared" si="1"/>
        <v>47969</v>
      </c>
      <c r="AN5" s="323">
        <f t="shared" si="1"/>
        <v>48000</v>
      </c>
      <c r="AO5" s="323">
        <f t="shared" si="1"/>
        <v>48030</v>
      </c>
      <c r="AP5" s="323">
        <f t="shared" si="1"/>
        <v>48061</v>
      </c>
      <c r="AQ5" s="323">
        <f t="shared" si="1"/>
        <v>48092</v>
      </c>
      <c r="AR5" s="323">
        <f t="shared" si="1"/>
        <v>48122</v>
      </c>
      <c r="AS5" s="323">
        <f t="shared" si="1"/>
        <v>48153</v>
      </c>
      <c r="AT5" s="323">
        <f t="shared" si="1"/>
        <v>48183</v>
      </c>
      <c r="AU5" s="32"/>
      <c r="AV5" s="9"/>
      <c r="AW5" s="9"/>
      <c r="AX5" s="9"/>
    </row>
    <row r="6" spans="1:62" ht="15.75" customHeight="1" x14ac:dyDescent="0.3">
      <c r="A6" s="13"/>
      <c r="B6" s="13"/>
      <c r="C6" s="13"/>
      <c r="D6" s="9" t="s">
        <v>20</v>
      </c>
      <c r="E6" s="8" t="s">
        <v>18</v>
      </c>
      <c r="F6" s="8"/>
      <c r="G6" s="30"/>
      <c r="H6" s="8"/>
      <c r="I6" s="93">
        <f>'Assumptions and inputs'!I8</f>
        <v>47118</v>
      </c>
      <c r="J6" s="33"/>
      <c r="K6" s="323">
        <f>EOMONTH(K5, 0)</f>
        <v>47149</v>
      </c>
      <c r="L6" s="323">
        <f t="shared" ref="L6:AT6" si="2">EOMONTH(L5, 0)</f>
        <v>47177</v>
      </c>
      <c r="M6" s="323">
        <f t="shared" si="2"/>
        <v>47208</v>
      </c>
      <c r="N6" s="323">
        <f t="shared" si="2"/>
        <v>47238</v>
      </c>
      <c r="O6" s="323">
        <f t="shared" si="2"/>
        <v>47269</v>
      </c>
      <c r="P6" s="323">
        <f t="shared" si="2"/>
        <v>47299</v>
      </c>
      <c r="Q6" s="323">
        <f t="shared" si="2"/>
        <v>47330</v>
      </c>
      <c r="R6" s="323">
        <f t="shared" si="2"/>
        <v>47361</v>
      </c>
      <c r="S6" s="323">
        <f t="shared" si="2"/>
        <v>47391</v>
      </c>
      <c r="T6" s="323">
        <f t="shared" si="2"/>
        <v>47422</v>
      </c>
      <c r="U6" s="323">
        <f t="shared" si="2"/>
        <v>47452</v>
      </c>
      <c r="V6" s="323">
        <f t="shared" si="2"/>
        <v>47483</v>
      </c>
      <c r="W6" s="323">
        <f t="shared" si="2"/>
        <v>47514</v>
      </c>
      <c r="X6" s="323">
        <f t="shared" si="2"/>
        <v>47542</v>
      </c>
      <c r="Y6" s="323">
        <f t="shared" si="2"/>
        <v>47573</v>
      </c>
      <c r="Z6" s="323">
        <f t="shared" si="2"/>
        <v>47603</v>
      </c>
      <c r="AA6" s="323">
        <f t="shared" si="2"/>
        <v>47634</v>
      </c>
      <c r="AB6" s="323">
        <f t="shared" si="2"/>
        <v>47664</v>
      </c>
      <c r="AC6" s="323">
        <f t="shared" si="2"/>
        <v>47695</v>
      </c>
      <c r="AD6" s="323">
        <f t="shared" si="2"/>
        <v>47726</v>
      </c>
      <c r="AE6" s="323">
        <f t="shared" si="2"/>
        <v>47756</v>
      </c>
      <c r="AF6" s="323">
        <f t="shared" si="2"/>
        <v>47787</v>
      </c>
      <c r="AG6" s="323">
        <f t="shared" si="2"/>
        <v>47817</v>
      </c>
      <c r="AH6" s="323">
        <f t="shared" si="2"/>
        <v>47848</v>
      </c>
      <c r="AI6" s="323">
        <f t="shared" si="2"/>
        <v>47879</v>
      </c>
      <c r="AJ6" s="323">
        <f t="shared" si="2"/>
        <v>47907</v>
      </c>
      <c r="AK6" s="323">
        <f t="shared" si="2"/>
        <v>47938</v>
      </c>
      <c r="AL6" s="323">
        <f t="shared" si="2"/>
        <v>47968</v>
      </c>
      <c r="AM6" s="323">
        <f t="shared" si="2"/>
        <v>47999</v>
      </c>
      <c r="AN6" s="323">
        <f t="shared" si="2"/>
        <v>48029</v>
      </c>
      <c r="AO6" s="323">
        <f t="shared" si="2"/>
        <v>48060</v>
      </c>
      <c r="AP6" s="323">
        <f t="shared" si="2"/>
        <v>48091</v>
      </c>
      <c r="AQ6" s="323">
        <f t="shared" si="2"/>
        <v>48121</v>
      </c>
      <c r="AR6" s="323">
        <f t="shared" si="2"/>
        <v>48152</v>
      </c>
      <c r="AS6" s="323">
        <f t="shared" si="2"/>
        <v>48182</v>
      </c>
      <c r="AT6" s="323">
        <f t="shared" si="2"/>
        <v>48213</v>
      </c>
      <c r="AU6" s="32"/>
      <c r="AV6" s="9"/>
      <c r="AW6" s="9"/>
      <c r="AX6" s="9"/>
    </row>
    <row r="7" spans="1:62" s="419" customFormat="1" ht="15.75" customHeight="1" x14ac:dyDescent="0.3">
      <c r="A7" s="233"/>
      <c r="B7" s="233"/>
      <c r="C7" s="233"/>
      <c r="D7" s="246" t="s">
        <v>21</v>
      </c>
      <c r="E7" s="218"/>
      <c r="F7" s="218"/>
      <c r="G7" s="450"/>
      <c r="H7" s="218"/>
      <c r="I7" s="218">
        <v>0</v>
      </c>
      <c r="J7" s="34"/>
      <c r="K7" s="337">
        <f>I7 + 1</f>
        <v>1</v>
      </c>
      <c r="L7" s="337">
        <f t="shared" ref="L7:AT7" si="3">K7 + 1</f>
        <v>2</v>
      </c>
      <c r="M7" s="337">
        <f t="shared" si="3"/>
        <v>3</v>
      </c>
      <c r="N7" s="337">
        <f t="shared" si="3"/>
        <v>4</v>
      </c>
      <c r="O7" s="90">
        <f t="shared" si="3"/>
        <v>5</v>
      </c>
      <c r="P7" s="90">
        <f t="shared" si="3"/>
        <v>6</v>
      </c>
      <c r="Q7" s="90">
        <f t="shared" si="3"/>
        <v>7</v>
      </c>
      <c r="R7" s="90">
        <f t="shared" si="3"/>
        <v>8</v>
      </c>
      <c r="S7" s="90">
        <f t="shared" si="3"/>
        <v>9</v>
      </c>
      <c r="T7" s="90">
        <f t="shared" si="3"/>
        <v>10</v>
      </c>
      <c r="U7" s="90">
        <f t="shared" si="3"/>
        <v>11</v>
      </c>
      <c r="V7" s="90">
        <f t="shared" si="3"/>
        <v>12</v>
      </c>
      <c r="W7" s="90">
        <f t="shared" si="3"/>
        <v>13</v>
      </c>
      <c r="X7" s="90">
        <f t="shared" si="3"/>
        <v>14</v>
      </c>
      <c r="Y7" s="90">
        <f t="shared" si="3"/>
        <v>15</v>
      </c>
      <c r="Z7" s="90">
        <f t="shared" si="3"/>
        <v>16</v>
      </c>
      <c r="AA7" s="90">
        <f t="shared" si="3"/>
        <v>17</v>
      </c>
      <c r="AB7" s="90">
        <f t="shared" si="3"/>
        <v>18</v>
      </c>
      <c r="AC7" s="90">
        <f t="shared" si="3"/>
        <v>19</v>
      </c>
      <c r="AD7" s="90">
        <f t="shared" si="3"/>
        <v>20</v>
      </c>
      <c r="AE7" s="90">
        <f t="shared" si="3"/>
        <v>21</v>
      </c>
      <c r="AF7" s="90">
        <f t="shared" si="3"/>
        <v>22</v>
      </c>
      <c r="AG7" s="90">
        <f t="shared" si="3"/>
        <v>23</v>
      </c>
      <c r="AH7" s="90">
        <f t="shared" si="3"/>
        <v>24</v>
      </c>
      <c r="AI7" s="90">
        <f t="shared" si="3"/>
        <v>25</v>
      </c>
      <c r="AJ7" s="90">
        <f t="shared" si="3"/>
        <v>26</v>
      </c>
      <c r="AK7" s="90">
        <f t="shared" si="3"/>
        <v>27</v>
      </c>
      <c r="AL7" s="90">
        <f t="shared" si="3"/>
        <v>28</v>
      </c>
      <c r="AM7" s="90">
        <f t="shared" si="3"/>
        <v>29</v>
      </c>
      <c r="AN7" s="90">
        <f t="shared" si="3"/>
        <v>30</v>
      </c>
      <c r="AO7" s="90">
        <f t="shared" si="3"/>
        <v>31</v>
      </c>
      <c r="AP7" s="90">
        <f t="shared" si="3"/>
        <v>32</v>
      </c>
      <c r="AQ7" s="90">
        <f t="shared" si="3"/>
        <v>33</v>
      </c>
      <c r="AR7" s="90">
        <f t="shared" si="3"/>
        <v>34</v>
      </c>
      <c r="AS7" s="90">
        <f t="shared" si="3"/>
        <v>35</v>
      </c>
      <c r="AT7" s="90">
        <f t="shared" si="3"/>
        <v>36</v>
      </c>
      <c r="AU7" s="237"/>
      <c r="AV7" s="246"/>
      <c r="AW7" s="246"/>
      <c r="AX7" s="246"/>
    </row>
    <row r="8" spans="1:62" s="459" customFormat="1" ht="15.75" customHeight="1" x14ac:dyDescent="0.3">
      <c r="A8" s="453"/>
      <c r="B8" s="453"/>
      <c r="C8" s="453"/>
      <c r="D8" s="454" t="s">
        <v>22</v>
      </c>
      <c r="E8" s="455"/>
      <c r="F8" s="456"/>
      <c r="G8" s="457"/>
      <c r="H8" s="455"/>
      <c r="I8" s="455"/>
      <c r="J8" s="7"/>
      <c r="K8" s="338">
        <f>(K6 - K5 + 1)/ (DATE(YEAR(K6), 12, 31) - DATE(YEAR(K6), 1, 1) + 1)</f>
        <v>8.4931506849315067E-2</v>
      </c>
      <c r="L8" s="338">
        <f t="shared" ref="L8:AT8" si="4">(L6 - L5 + 1)/ (DATE(YEAR(L6), 12, 31) - DATE(YEAR(L6), 1, 1) + 1)</f>
        <v>7.6712328767123292E-2</v>
      </c>
      <c r="M8" s="338">
        <f t="shared" si="4"/>
        <v>8.4931506849315067E-2</v>
      </c>
      <c r="N8" s="338">
        <f t="shared" si="4"/>
        <v>8.2191780821917804E-2</v>
      </c>
      <c r="O8" s="338">
        <f t="shared" si="4"/>
        <v>8.4931506849315067E-2</v>
      </c>
      <c r="P8" s="338">
        <f t="shared" si="4"/>
        <v>8.2191780821917804E-2</v>
      </c>
      <c r="Q8" s="338">
        <f t="shared" si="4"/>
        <v>8.4931506849315067E-2</v>
      </c>
      <c r="R8" s="338">
        <f t="shared" si="4"/>
        <v>8.4931506849315067E-2</v>
      </c>
      <c r="S8" s="338">
        <f t="shared" si="4"/>
        <v>8.2191780821917804E-2</v>
      </c>
      <c r="T8" s="338">
        <f t="shared" si="4"/>
        <v>8.4931506849315067E-2</v>
      </c>
      <c r="U8" s="338">
        <f t="shared" si="4"/>
        <v>8.2191780821917804E-2</v>
      </c>
      <c r="V8" s="338">
        <f t="shared" si="4"/>
        <v>8.4931506849315067E-2</v>
      </c>
      <c r="W8" s="338">
        <f t="shared" si="4"/>
        <v>8.4931506849315067E-2</v>
      </c>
      <c r="X8" s="338">
        <f t="shared" si="4"/>
        <v>7.6712328767123292E-2</v>
      </c>
      <c r="Y8" s="338">
        <f t="shared" si="4"/>
        <v>8.4931506849315067E-2</v>
      </c>
      <c r="Z8" s="338">
        <f t="shared" si="4"/>
        <v>8.2191780821917804E-2</v>
      </c>
      <c r="AA8" s="338">
        <f t="shared" si="4"/>
        <v>8.4931506849315067E-2</v>
      </c>
      <c r="AB8" s="338">
        <f t="shared" si="4"/>
        <v>8.2191780821917804E-2</v>
      </c>
      <c r="AC8" s="338">
        <f t="shared" si="4"/>
        <v>8.4931506849315067E-2</v>
      </c>
      <c r="AD8" s="338">
        <f t="shared" si="4"/>
        <v>8.4931506849315067E-2</v>
      </c>
      <c r="AE8" s="338">
        <f t="shared" si="4"/>
        <v>8.2191780821917804E-2</v>
      </c>
      <c r="AF8" s="338">
        <f t="shared" si="4"/>
        <v>8.4931506849315067E-2</v>
      </c>
      <c r="AG8" s="338">
        <f t="shared" si="4"/>
        <v>8.2191780821917804E-2</v>
      </c>
      <c r="AH8" s="338">
        <f t="shared" si="4"/>
        <v>8.4931506849315067E-2</v>
      </c>
      <c r="AI8" s="338">
        <f t="shared" si="4"/>
        <v>8.4931506849315067E-2</v>
      </c>
      <c r="AJ8" s="338">
        <f t="shared" si="4"/>
        <v>7.6712328767123292E-2</v>
      </c>
      <c r="AK8" s="338">
        <f t="shared" si="4"/>
        <v>8.4931506849315067E-2</v>
      </c>
      <c r="AL8" s="338">
        <f t="shared" si="4"/>
        <v>8.2191780821917804E-2</v>
      </c>
      <c r="AM8" s="338">
        <f t="shared" si="4"/>
        <v>8.4931506849315067E-2</v>
      </c>
      <c r="AN8" s="338">
        <f t="shared" si="4"/>
        <v>8.2191780821917804E-2</v>
      </c>
      <c r="AO8" s="338">
        <f t="shared" si="4"/>
        <v>8.4931506849315067E-2</v>
      </c>
      <c r="AP8" s="338">
        <f t="shared" si="4"/>
        <v>8.4931506849315067E-2</v>
      </c>
      <c r="AQ8" s="338">
        <f t="shared" si="4"/>
        <v>8.2191780821917804E-2</v>
      </c>
      <c r="AR8" s="338">
        <f t="shared" si="4"/>
        <v>8.4931506849315067E-2</v>
      </c>
      <c r="AS8" s="338">
        <f t="shared" si="4"/>
        <v>8.2191780821917804E-2</v>
      </c>
      <c r="AT8" s="338">
        <f t="shared" si="4"/>
        <v>8.4931506849315067E-2</v>
      </c>
      <c r="AU8" s="458"/>
      <c r="AV8" s="454"/>
      <c r="AW8" s="454"/>
      <c r="AX8" s="454"/>
    </row>
    <row r="9" spans="1:62" ht="15.75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9"/>
      <c r="AV9" s="9"/>
      <c r="AW9" s="9"/>
      <c r="AX9" s="9"/>
    </row>
    <row r="10" spans="1:62" ht="15.75" customHeight="1" x14ac:dyDescent="0.3">
      <c r="A10" s="13"/>
      <c r="B10" s="13"/>
      <c r="C10" s="13"/>
      <c r="D10" s="104" t="s">
        <v>174</v>
      </c>
      <c r="E10" s="105"/>
      <c r="F10" s="105"/>
      <c r="G10" s="106"/>
      <c r="H10" s="105"/>
      <c r="I10" s="105"/>
      <c r="J10" s="41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60"/>
      <c r="AW10" s="160"/>
      <c r="AX10" s="160"/>
      <c r="AY10" s="160"/>
    </row>
    <row r="11" spans="1:62" s="344" customFormat="1" ht="15.75" customHeight="1" outlineLevel="1" x14ac:dyDescent="0.3">
      <c r="A11" s="453"/>
      <c r="B11" s="453"/>
      <c r="C11" s="453"/>
      <c r="D11" s="491"/>
      <c r="E11" s="492"/>
      <c r="F11" s="492"/>
      <c r="G11" s="493"/>
      <c r="H11" s="492"/>
      <c r="I11" s="492"/>
      <c r="J11" s="494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5"/>
      <c r="AM11" s="495"/>
      <c r="AN11" s="495"/>
      <c r="AO11" s="495"/>
      <c r="AP11" s="495"/>
      <c r="AQ11" s="495"/>
      <c r="AR11" s="495"/>
      <c r="AS11" s="495"/>
      <c r="AT11" s="495"/>
      <c r="AU11" s="495"/>
      <c r="AV11" s="496"/>
      <c r="AW11" s="496"/>
      <c r="AX11" s="496"/>
      <c r="AY11" s="496"/>
    </row>
    <row r="12" spans="1:62" s="415" customFormat="1" ht="15.75" customHeight="1" outlineLevel="1" x14ac:dyDescent="0.3">
      <c r="A12" s="13"/>
      <c r="B12" s="406"/>
      <c r="C12" s="406"/>
      <c r="D12" s="407" t="str">
        <f>CF!D15</f>
        <v xml:space="preserve">Объем продаж и цены реализации </v>
      </c>
      <c r="E12" s="408"/>
      <c r="F12" s="409"/>
      <c r="G12" s="410"/>
      <c r="H12" s="408"/>
      <c r="I12" s="408"/>
      <c r="J12" s="7"/>
      <c r="K12" s="411"/>
      <c r="L12" s="411"/>
      <c r="M12" s="411"/>
      <c r="N12" s="411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412"/>
      <c r="AD12" s="412"/>
      <c r="AE12" s="412"/>
      <c r="AF12" s="412"/>
      <c r="AG12" s="412"/>
      <c r="AH12" s="412"/>
      <c r="AI12" s="412"/>
      <c r="AJ12" s="412"/>
      <c r="AK12" s="412"/>
      <c r="AL12" s="412"/>
      <c r="AM12" s="412"/>
      <c r="AN12" s="412"/>
      <c r="AO12" s="412"/>
      <c r="AP12" s="412"/>
      <c r="AQ12" s="412"/>
      <c r="AR12" s="412"/>
      <c r="AS12" s="412"/>
      <c r="AT12" s="412"/>
      <c r="AU12" s="413"/>
      <c r="AV12" s="414"/>
      <c r="AW12" s="414"/>
      <c r="AX12" s="414"/>
    </row>
    <row r="13" spans="1:62" ht="15.75" customHeight="1" outlineLevel="1" x14ac:dyDescent="0.3">
      <c r="A13" s="13"/>
      <c r="B13" s="13"/>
      <c r="C13" s="13"/>
      <c r="D13" s="278" t="str">
        <f>CF!D16</f>
        <v xml:space="preserve">Продажи </v>
      </c>
      <c r="E13" s="227" t="str">
        <f>CF!E16</f>
        <v>кг</v>
      </c>
      <c r="F13" s="227"/>
      <c r="G13" s="224"/>
      <c r="H13" s="227"/>
      <c r="I13" s="227"/>
      <c r="J13" s="36"/>
      <c r="K13" s="269">
        <f ca="1">CF!K16</f>
        <v>0</v>
      </c>
      <c r="L13" s="281">
        <f ca="1">CF!L16</f>
        <v>0</v>
      </c>
      <c r="M13" s="281">
        <f ca="1">CF!M16</f>
        <v>326027.39726027398</v>
      </c>
      <c r="N13" s="269">
        <f ca="1">CF!N16</f>
        <v>382191.78082191781</v>
      </c>
      <c r="O13" s="269">
        <f ca="1">CF!O16</f>
        <v>452054.79452054796</v>
      </c>
      <c r="P13" s="269">
        <f ca="1">CF!P16</f>
        <v>509589.04109589034</v>
      </c>
      <c r="Q13" s="269">
        <f ca="1">CF!Q16</f>
        <v>513698.63013698626</v>
      </c>
      <c r="R13" s="269">
        <f ca="1">CF!R16</f>
        <v>509589.04109589034</v>
      </c>
      <c r="S13" s="269">
        <f ca="1">CF!S16</f>
        <v>467123.28767123289</v>
      </c>
      <c r="T13" s="269">
        <f ca="1">CF!T16</f>
        <v>431506.84931506845</v>
      </c>
      <c r="U13" s="269">
        <f ca="1">CF!U16</f>
        <v>403424.65753424651</v>
      </c>
      <c r="V13" s="269">
        <f ca="1">CF!V16</f>
        <v>349315.06849315064</v>
      </c>
      <c r="W13" s="269">
        <f ca="1">CF!W16</f>
        <v>339726.0273972603</v>
      </c>
      <c r="X13" s="269">
        <f ca="1">CF!X16</f>
        <v>684760.27397260279</v>
      </c>
      <c r="Y13" s="269">
        <f ca="1">CF!Y16</f>
        <v>700958.90410958906</v>
      </c>
      <c r="Z13" s="269">
        <f ca="1">CF!Z16</f>
        <v>821712.32876712328</v>
      </c>
      <c r="AA13" s="269">
        <f ca="1">CF!AA16</f>
        <v>971917.80821917811</v>
      </c>
      <c r="AB13" s="269">
        <f ca="1">CF!AB16</f>
        <v>1095616.4383561644</v>
      </c>
      <c r="AC13" s="269">
        <f ca="1">CF!AC16</f>
        <v>1104452.0547945206</v>
      </c>
      <c r="AD13" s="269">
        <f ca="1">CF!AD16</f>
        <v>1095616.4383561644</v>
      </c>
      <c r="AE13" s="269">
        <f ca="1">CF!AE16</f>
        <v>1004315.0684931508</v>
      </c>
      <c r="AF13" s="269">
        <f ca="1">CF!AF16</f>
        <v>927739.72602739732</v>
      </c>
      <c r="AG13" s="269">
        <f ca="1">CF!AG16</f>
        <v>867363.01369863015</v>
      </c>
      <c r="AH13" s="269">
        <f ca="1">CF!AH16</f>
        <v>751027.39726027392</v>
      </c>
      <c r="AI13" s="269">
        <f ca="1">CF!AI16</f>
        <v>730410.95890410966</v>
      </c>
      <c r="AJ13" s="269">
        <f ca="1">CF!AJ16</f>
        <v>821712.32876712328</v>
      </c>
      <c r="AK13" s="269">
        <f ca="1">CF!AK16</f>
        <v>841150.68493150687</v>
      </c>
      <c r="AL13" s="269">
        <f ca="1">CF!AL16</f>
        <v>986054.79452054796</v>
      </c>
      <c r="AM13" s="269">
        <f ca="1">CF!AM16</f>
        <v>1166301.3698630137</v>
      </c>
      <c r="AN13" s="269">
        <f ca="1">CF!AN16</f>
        <v>1314739.7260273972</v>
      </c>
      <c r="AO13" s="269">
        <f ca="1">CF!AO16</f>
        <v>1325342.4657534247</v>
      </c>
      <c r="AP13" s="269">
        <f ca="1">CF!AP16</f>
        <v>1314739.7260273972</v>
      </c>
      <c r="AQ13" s="269">
        <f ca="1">CF!AQ16</f>
        <v>1205178.0821917809</v>
      </c>
      <c r="AR13" s="269">
        <f ca="1">CF!AR16</f>
        <v>1113287.6712328768</v>
      </c>
      <c r="AS13" s="269">
        <f ca="1">CF!AS16</f>
        <v>1040835.6164383561</v>
      </c>
      <c r="AT13" s="269">
        <f ca="1">CF!AT16</f>
        <v>901232.87671232875</v>
      </c>
      <c r="AU13" s="35"/>
      <c r="AV13" s="35"/>
      <c r="AW13" s="35"/>
      <c r="AX13" s="38"/>
      <c r="AY13" s="8"/>
      <c r="AZ13" s="8"/>
      <c r="BA13" s="8"/>
    </row>
    <row r="14" spans="1:62" ht="15.75" customHeight="1" outlineLevel="1" x14ac:dyDescent="0.3">
      <c r="A14" s="13"/>
      <c r="B14" s="13"/>
      <c r="C14" s="13"/>
      <c r="D14" s="278" t="str">
        <f>CF!D17</f>
        <v>Динамика цен (вкл. НДС)</v>
      </c>
      <c r="E14" s="227" t="str">
        <f>CF!E17</f>
        <v xml:space="preserve">руб </v>
      </c>
      <c r="F14" s="227"/>
      <c r="G14" s="224"/>
      <c r="H14" s="227"/>
      <c r="I14" s="225">
        <f>CF!I17</f>
        <v>247.81649048625792</v>
      </c>
      <c r="J14" s="36"/>
      <c r="K14" s="269">
        <f>CF!K17</f>
        <v>247.81649048625792</v>
      </c>
      <c r="L14" s="281">
        <f>CF!L17</f>
        <v>248.71250971739343</v>
      </c>
      <c r="M14" s="281">
        <f>CF!M17</f>
        <v>249.7118867944977</v>
      </c>
      <c r="N14" s="269">
        <f>CF!N17</f>
        <v>250.68176827698161</v>
      </c>
      <c r="O14" s="269">
        <f>CF!O17</f>
        <v>251.68905823255582</v>
      </c>
      <c r="P14" s="269">
        <f>CF!P17</f>
        <v>252.6666190529763</v>
      </c>
      <c r="Q14" s="269">
        <f>CF!Q17</f>
        <v>253.6818845396939</v>
      </c>
      <c r="R14" s="269">
        <f>CF!R17</f>
        <v>254.70122956811107</v>
      </c>
      <c r="S14" s="269">
        <f>CF!S17</f>
        <v>255.69048966820111</v>
      </c>
      <c r="T14" s="269">
        <f>CF!T17</f>
        <v>256.7179056775459</v>
      </c>
      <c r="U14" s="269">
        <f>CF!U17</f>
        <v>257.71499855179746</v>
      </c>
      <c r="V14" s="269">
        <f>CF!V17</f>
        <v>258.75054944656864</v>
      </c>
      <c r="W14" s="269">
        <f>CF!W17</f>
        <v>259.54494212947526</v>
      </c>
      <c r="X14" s="269">
        <f>CF!X17</f>
        <v>260.26198056730874</v>
      </c>
      <c r="Y14" s="269">
        <f>CF!Y17</f>
        <v>261.06101351020942</v>
      </c>
      <c r="Z14" s="269">
        <f>CF!Z17</f>
        <v>261.83574376821832</v>
      </c>
      <c r="AA14" s="269">
        <f>CF!AA17</f>
        <v>262.63960833746376</v>
      </c>
      <c r="AB14" s="269">
        <f>CF!AB17</f>
        <v>263.41902326730997</v>
      </c>
      <c r="AC14" s="269">
        <f>CF!AC17</f>
        <v>264.22774867898363</v>
      </c>
      <c r="AD14" s="269">
        <f>CF!AD17</f>
        <v>265.03895696673578</v>
      </c>
      <c r="AE14" s="269">
        <f>CF!AE17</f>
        <v>265.82549225499019</v>
      </c>
      <c r="AF14" s="269">
        <f>CF!AF17</f>
        <v>266.64160579147961</v>
      </c>
      <c r="AG14" s="269">
        <f>CF!AG17</f>
        <v>267.43289713472973</v>
      </c>
      <c r="AH14" s="269">
        <f>CF!AH17</f>
        <v>268.25394558122287</v>
      </c>
      <c r="AI14" s="269">
        <f>CF!AI17</f>
        <v>269.1200897446771</v>
      </c>
      <c r="AJ14" s="269">
        <f>CF!AJ17</f>
        <v>269.90201034910768</v>
      </c>
      <c r="AK14" s="269">
        <f>CF!AK17</f>
        <v>270.77347581986498</v>
      </c>
      <c r="AL14" s="269">
        <f>CF!AL17</f>
        <v>271.61856702524705</v>
      </c>
      <c r="AM14" s="269">
        <f>CF!AM17</f>
        <v>272.49557495146774</v>
      </c>
      <c r="AN14" s="269">
        <f>CF!AN17</f>
        <v>273.34604087395053</v>
      </c>
      <c r="AO14" s="269">
        <f>CF!AO17</f>
        <v>274.22862650523848</v>
      </c>
      <c r="AP14" s="269">
        <f>CF!AP17</f>
        <v>275.11406184817423</v>
      </c>
      <c r="AQ14" s="269">
        <f>CF!AQ17</f>
        <v>275.97270013776614</v>
      </c>
      <c r="AR14" s="269">
        <f>CF!AR17</f>
        <v>276.86376678351155</v>
      </c>
      <c r="AS14" s="269">
        <f>CF!AS17</f>
        <v>277.72786594865045</v>
      </c>
      <c r="AT14" s="269">
        <f>CF!AT17</f>
        <v>278.62459971187178</v>
      </c>
      <c r="AU14" s="35"/>
      <c r="AV14" s="35"/>
      <c r="AW14" s="35"/>
      <c r="AX14" s="38"/>
      <c r="AY14" s="8"/>
      <c r="AZ14" s="8"/>
      <c r="BA14" s="8"/>
    </row>
    <row r="15" spans="1:62" ht="15.75" customHeight="1" outlineLevel="1" x14ac:dyDescent="0.3">
      <c r="A15" s="13"/>
      <c r="B15" s="13"/>
      <c r="C15" s="13"/>
      <c r="D15" s="222"/>
      <c r="E15" s="227"/>
      <c r="F15" s="279"/>
      <c r="G15" s="224"/>
      <c r="H15" s="279"/>
      <c r="I15" s="279"/>
      <c r="J15" s="36"/>
      <c r="K15" s="269"/>
      <c r="L15" s="281"/>
      <c r="M15" s="281"/>
      <c r="N15" s="269"/>
      <c r="O15" s="269"/>
      <c r="P15" s="269"/>
      <c r="Q15" s="269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7"/>
      <c r="AV15" s="7"/>
      <c r="AW15" s="7"/>
      <c r="AX15" s="38"/>
      <c r="AY15" s="8"/>
      <c r="AZ15" s="8"/>
      <c r="BA15" s="8"/>
    </row>
    <row r="16" spans="1:62" s="415" customFormat="1" ht="15.75" customHeight="1" outlineLevel="1" x14ac:dyDescent="0.3">
      <c r="A16" s="13"/>
      <c r="B16" s="406"/>
      <c r="C16" s="406"/>
      <c r="D16" s="407" t="str">
        <f>CF!D19</f>
        <v xml:space="preserve">График производства </v>
      </c>
      <c r="E16" s="408"/>
      <c r="F16" s="409"/>
      <c r="G16" s="410"/>
      <c r="H16" s="408"/>
      <c r="I16" s="408"/>
      <c r="J16" s="36"/>
      <c r="K16" s="411"/>
      <c r="L16" s="411"/>
      <c r="M16" s="411"/>
      <c r="N16" s="411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12"/>
      <c r="AD16" s="412"/>
      <c r="AE16" s="412"/>
      <c r="AF16" s="412"/>
      <c r="AG16" s="412"/>
      <c r="AH16" s="412"/>
      <c r="AI16" s="412"/>
      <c r="AJ16" s="412"/>
      <c r="AK16" s="412"/>
      <c r="AL16" s="412"/>
      <c r="AM16" s="412"/>
      <c r="AN16" s="412"/>
      <c r="AO16" s="412"/>
      <c r="AP16" s="412"/>
      <c r="AQ16" s="412"/>
      <c r="AR16" s="412"/>
      <c r="AS16" s="412"/>
      <c r="AT16" s="412"/>
      <c r="AU16" s="413"/>
      <c r="AV16" s="414"/>
      <c r="AW16" s="414"/>
      <c r="AX16" s="414"/>
    </row>
    <row r="17" spans="1:62" ht="15.75" customHeight="1" outlineLevel="1" x14ac:dyDescent="0.3">
      <c r="A17" s="13"/>
      <c r="B17" s="13"/>
      <c r="C17" s="13"/>
      <c r="D17" s="223" t="str">
        <f>CF!D20</f>
        <v xml:space="preserve">Себестоимость </v>
      </c>
      <c r="E17" s="224" t="str">
        <f>CF!E20</f>
        <v>руб</v>
      </c>
      <c r="F17" s="280"/>
      <c r="G17" s="224"/>
      <c r="H17" s="224"/>
      <c r="I17" s="280"/>
      <c r="J17" s="36"/>
      <c r="K17" s="269">
        <f>CF!K20</f>
        <v>138.32000000000002</v>
      </c>
      <c r="L17" s="269">
        <f>CF!L20</f>
        <v>138.32000000000002</v>
      </c>
      <c r="M17" s="269">
        <f>CF!M20</f>
        <v>138.32000000000002</v>
      </c>
      <c r="N17" s="282">
        <f>CF!N20</f>
        <v>138.32000000000002</v>
      </c>
      <c r="O17" s="282">
        <f>CF!O20</f>
        <v>138.32000000000002</v>
      </c>
      <c r="P17" s="269">
        <f>CF!P20</f>
        <v>138.32000000000002</v>
      </c>
      <c r="Q17" s="269">
        <f>CF!Q20</f>
        <v>138.32000000000002</v>
      </c>
      <c r="R17" s="269">
        <f>CF!R20</f>
        <v>138.32000000000002</v>
      </c>
      <c r="S17" s="269">
        <f>CF!S20</f>
        <v>138.32000000000002</v>
      </c>
      <c r="T17" s="269">
        <f>CF!T20</f>
        <v>138.32000000000002</v>
      </c>
      <c r="U17" s="269">
        <f>CF!U20</f>
        <v>138.32000000000002</v>
      </c>
      <c r="V17" s="269">
        <f>CF!V20</f>
        <v>138.32000000000002</v>
      </c>
      <c r="W17" s="269">
        <f>CF!W20</f>
        <v>136.55488372093023</v>
      </c>
      <c r="X17" s="269">
        <f>CF!X20</f>
        <v>136.55488372093023</v>
      </c>
      <c r="Y17" s="269">
        <f>CF!Y20</f>
        <v>136.55488372093023</v>
      </c>
      <c r="Z17" s="269">
        <f>CF!Z20</f>
        <v>136.55488372093023</v>
      </c>
      <c r="AA17" s="269">
        <f>CF!AA20</f>
        <v>136.55488372093023</v>
      </c>
      <c r="AB17" s="269">
        <f>CF!AB20</f>
        <v>136.55488372093023</v>
      </c>
      <c r="AC17" s="269">
        <f>CF!AC20</f>
        <v>136.55488372093023</v>
      </c>
      <c r="AD17" s="269">
        <f>CF!AD20</f>
        <v>136.55488372093023</v>
      </c>
      <c r="AE17" s="269">
        <f>CF!AE20</f>
        <v>136.55488372093023</v>
      </c>
      <c r="AF17" s="269">
        <f>CF!AF20</f>
        <v>136.55488372093023</v>
      </c>
      <c r="AG17" s="269">
        <f>CF!AG20</f>
        <v>136.55488372093023</v>
      </c>
      <c r="AH17" s="269">
        <f>CF!AH20</f>
        <v>136.55488372093023</v>
      </c>
      <c r="AI17" s="269">
        <f>CF!AI20</f>
        <v>136.29906976744186</v>
      </c>
      <c r="AJ17" s="269">
        <f>CF!AJ20</f>
        <v>136.29906976744186</v>
      </c>
      <c r="AK17" s="269">
        <f>CF!AK20</f>
        <v>136.29906976744186</v>
      </c>
      <c r="AL17" s="269">
        <f>CF!AL20</f>
        <v>136.29906976744186</v>
      </c>
      <c r="AM17" s="269">
        <f>CF!AM20</f>
        <v>136.29906976744186</v>
      </c>
      <c r="AN17" s="269">
        <f>CF!AN20</f>
        <v>136.29906976744186</v>
      </c>
      <c r="AO17" s="269">
        <f>CF!AO20</f>
        <v>136.29906976744186</v>
      </c>
      <c r="AP17" s="269">
        <f>CF!AP20</f>
        <v>136.29906976744186</v>
      </c>
      <c r="AQ17" s="269">
        <f>CF!AQ20</f>
        <v>136.29906976744186</v>
      </c>
      <c r="AR17" s="269">
        <f>CF!AR20</f>
        <v>136.29906976744186</v>
      </c>
      <c r="AS17" s="269">
        <f>CF!AS20</f>
        <v>136.29906976744186</v>
      </c>
      <c r="AT17" s="269">
        <f>CF!AT20</f>
        <v>136.29906976744186</v>
      </c>
      <c r="AU17" s="35"/>
      <c r="AV17" s="35"/>
      <c r="AW17" s="35"/>
      <c r="AX17" s="38"/>
      <c r="AY17" s="8"/>
      <c r="AZ17" s="8"/>
      <c r="BA17" s="8"/>
    </row>
    <row r="18" spans="1:62" ht="15.75" customHeight="1" outlineLevel="1" x14ac:dyDescent="0.3">
      <c r="A18" s="13"/>
      <c r="B18" s="13"/>
      <c r="C18" s="13"/>
      <c r="D18" s="223" t="str">
        <f>CF!D21</f>
        <v xml:space="preserve">Себестоимость с учетом инфляции </v>
      </c>
      <c r="E18" s="224" t="str">
        <f>CF!E21</f>
        <v>руб</v>
      </c>
      <c r="F18" s="280"/>
      <c r="G18" s="224"/>
      <c r="H18" s="280"/>
      <c r="I18" s="280"/>
      <c r="J18" s="7"/>
      <c r="K18" s="269">
        <f>CF!K21</f>
        <v>138.32000000000002</v>
      </c>
      <c r="L18" s="269">
        <f>CF!L21</f>
        <v>139.37792482510471</v>
      </c>
      <c r="M18" s="269">
        <f>CF!M21</f>
        <v>139.9379734663365</v>
      </c>
      <c r="N18" s="269">
        <f>CF!N21</f>
        <v>140.48149284342173</v>
      </c>
      <c r="O18" s="269">
        <f>CF!O21</f>
        <v>141.04597584375264</v>
      </c>
      <c r="P18" s="269">
        <f>CF!P21</f>
        <v>141.59379870435322</v>
      </c>
      <c r="Q18" s="269">
        <f>CF!Q21</f>
        <v>142.16275117419897</v>
      </c>
      <c r="R18" s="269">
        <f>CF!R21</f>
        <v>142.73398980993551</v>
      </c>
      <c r="S18" s="269">
        <f>CF!S21</f>
        <v>143.28836892025649</v>
      </c>
      <c r="T18" s="269">
        <f>CF!T21</f>
        <v>143.86413051534984</v>
      </c>
      <c r="U18" s="269">
        <f>CF!U21</f>
        <v>144.42289909449769</v>
      </c>
      <c r="V18" s="269">
        <f>CF!V21</f>
        <v>145.00321946088371</v>
      </c>
      <c r="W18" s="269">
        <f>CF!W21</f>
        <v>143.59231282149591</v>
      </c>
      <c r="X18" s="269">
        <f>CF!X21</f>
        <v>143.98901177785262</v>
      </c>
      <c r="Y18" s="269">
        <f>CF!Y21</f>
        <v>144.43107390146909</v>
      </c>
      <c r="Z18" s="269">
        <f>CF!Z21</f>
        <v>144.85969065141444</v>
      </c>
      <c r="AA18" s="269">
        <f>CF!AA21</f>
        <v>145.30442585506032</v>
      </c>
      <c r="AB18" s="269">
        <f>CF!AB21</f>
        <v>145.73563438297833</v>
      </c>
      <c r="AC18" s="269">
        <f>CF!AC21</f>
        <v>146.18305883034748</v>
      </c>
      <c r="AD18" s="269">
        <f>CF!AD21</f>
        <v>146.63185692004473</v>
      </c>
      <c r="AE18" s="269">
        <f>CF!AE21</f>
        <v>147.06700476083691</v>
      </c>
      <c r="AF18" s="269">
        <f>CF!AF21</f>
        <v>147.51851666188941</v>
      </c>
      <c r="AG18" s="269">
        <f>CF!AG21</f>
        <v>147.95629577313187</v>
      </c>
      <c r="AH18" s="269">
        <f>CF!AH21</f>
        <v>148.41053789552942</v>
      </c>
      <c r="AI18" s="269">
        <f>CF!AI21</f>
        <v>148.61080772915162</v>
      </c>
      <c r="AJ18" s="269">
        <f>CF!AJ21</f>
        <v>149.04259211475707</v>
      </c>
      <c r="AK18" s="269">
        <f>CF!AK21</f>
        <v>149.52382407198547</v>
      </c>
      <c r="AL18" s="269">
        <f>CF!AL21</f>
        <v>149.9904918958398</v>
      </c>
      <c r="AM18" s="269">
        <f>CF!AM21</f>
        <v>150.47478445246082</v>
      </c>
      <c r="AN18" s="269">
        <f>CF!AN21</f>
        <v>150.94442024890469</v>
      </c>
      <c r="AO18" s="269">
        <f>CF!AO21</f>
        <v>151.43179287010247</v>
      </c>
      <c r="AP18" s="269">
        <f>CF!AP21</f>
        <v>151.92073913060074</v>
      </c>
      <c r="AQ18" s="269">
        <f>CF!AQ21</f>
        <v>152.39488778997617</v>
      </c>
      <c r="AR18" s="269">
        <f>CF!AR21</f>
        <v>152.88694371226114</v>
      </c>
      <c r="AS18" s="269">
        <f>CF!AS21</f>
        <v>153.36410792178262</v>
      </c>
      <c r="AT18" s="269">
        <f>CF!AT21</f>
        <v>153.85929328307154</v>
      </c>
      <c r="AU18" s="35"/>
      <c r="AV18" s="35"/>
      <c r="AW18" s="35"/>
      <c r="AX18" s="38"/>
      <c r="AY18" s="8"/>
      <c r="AZ18" s="8"/>
      <c r="BA18" s="8"/>
    </row>
    <row r="19" spans="1:62" s="618" customFormat="1" ht="15.75" customHeight="1" outlineLevel="1" x14ac:dyDescent="0.3">
      <c r="A19" s="609"/>
      <c r="B19" s="609"/>
      <c r="C19" s="609"/>
      <c r="D19" s="610" t="str">
        <f>CF!D22</f>
        <v xml:space="preserve">График производства </v>
      </c>
      <c r="E19" s="611" t="str">
        <f>CF!E22</f>
        <v>кг</v>
      </c>
      <c r="F19" s="612" t="s">
        <v>383</v>
      </c>
      <c r="G19" s="611"/>
      <c r="H19" s="613"/>
      <c r="I19" s="613"/>
      <c r="J19" s="614"/>
      <c r="K19" s="615">
        <f>CF!K22</f>
        <v>0</v>
      </c>
      <c r="L19" s="615">
        <f>CF!L22</f>
        <v>326027.39726027398</v>
      </c>
      <c r="M19" s="615">
        <f>CF!M22</f>
        <v>382191.78082191781</v>
      </c>
      <c r="N19" s="615">
        <f>CF!N22</f>
        <v>452054.79452054796</v>
      </c>
      <c r="O19" s="615">
        <f>CF!O22</f>
        <v>509589.04109589034</v>
      </c>
      <c r="P19" s="615">
        <f>CF!P22</f>
        <v>513698.63013698626</v>
      </c>
      <c r="Q19" s="615">
        <f>CF!Q22</f>
        <v>509589.04109589034</v>
      </c>
      <c r="R19" s="615">
        <f>CF!R22</f>
        <v>467123.28767123289</v>
      </c>
      <c r="S19" s="615">
        <f>CF!S22</f>
        <v>431506.84931506845</v>
      </c>
      <c r="T19" s="615">
        <f>CF!T22</f>
        <v>403424.65753424651</v>
      </c>
      <c r="U19" s="615">
        <f>CF!U22</f>
        <v>349315.06849315064</v>
      </c>
      <c r="V19" s="615">
        <f>CF!V22</f>
        <v>339726.0273972603</v>
      </c>
      <c r="W19" s="615">
        <f>CF!W22</f>
        <v>684760.27397260279</v>
      </c>
      <c r="X19" s="615">
        <f>CF!X22</f>
        <v>700958.90410958906</v>
      </c>
      <c r="Y19" s="615">
        <f>CF!Y22</f>
        <v>821712.32876712328</v>
      </c>
      <c r="Z19" s="615">
        <f>CF!Z22</f>
        <v>971917.80821917811</v>
      </c>
      <c r="AA19" s="615">
        <f>CF!AA22</f>
        <v>1095616.4383561644</v>
      </c>
      <c r="AB19" s="615">
        <f>CF!AB22</f>
        <v>1104452.0547945206</v>
      </c>
      <c r="AC19" s="615">
        <f>CF!AC22</f>
        <v>1095616.4383561644</v>
      </c>
      <c r="AD19" s="615">
        <f>CF!AD22</f>
        <v>1004315.0684931508</v>
      </c>
      <c r="AE19" s="615">
        <f>CF!AE22</f>
        <v>927739.72602739732</v>
      </c>
      <c r="AF19" s="615">
        <f>CF!AF22</f>
        <v>867363.01369863015</v>
      </c>
      <c r="AG19" s="615">
        <f>CF!AG22</f>
        <v>751027.39726027392</v>
      </c>
      <c r="AH19" s="615">
        <f>CF!AH22</f>
        <v>730410.95890410966</v>
      </c>
      <c r="AI19" s="615">
        <f>CF!AI22</f>
        <v>821712.32876712328</v>
      </c>
      <c r="AJ19" s="615">
        <f>CF!AJ22</f>
        <v>841150.68493150687</v>
      </c>
      <c r="AK19" s="615">
        <f>CF!AK22</f>
        <v>986054.79452054796</v>
      </c>
      <c r="AL19" s="615">
        <f>CF!AL22</f>
        <v>1166301.3698630137</v>
      </c>
      <c r="AM19" s="615">
        <f>CF!AM22</f>
        <v>1314739.7260273972</v>
      </c>
      <c r="AN19" s="615">
        <f>CF!AN22</f>
        <v>1325342.4657534247</v>
      </c>
      <c r="AO19" s="615">
        <f>CF!AO22</f>
        <v>1314739.7260273972</v>
      </c>
      <c r="AP19" s="615">
        <f>CF!AP22</f>
        <v>1205178.0821917809</v>
      </c>
      <c r="AQ19" s="615">
        <f>CF!AQ22</f>
        <v>1113287.6712328768</v>
      </c>
      <c r="AR19" s="615">
        <f>CF!AR22</f>
        <v>1040835.6164383561</v>
      </c>
      <c r="AS19" s="615">
        <f>CF!AS22</f>
        <v>901232.87671232875</v>
      </c>
      <c r="AT19" s="615">
        <f>CF!AT22</f>
        <v>876493.15068493155</v>
      </c>
      <c r="AU19" s="616"/>
      <c r="AV19" s="616"/>
      <c r="AW19" s="616"/>
      <c r="AX19" s="617"/>
      <c r="AY19" s="611"/>
      <c r="AZ19" s="611"/>
      <c r="BA19" s="611"/>
    </row>
    <row r="20" spans="1:62" ht="15.75" customHeight="1" outlineLevel="1" x14ac:dyDescent="0.3">
      <c r="A20" s="13"/>
      <c r="B20" s="13"/>
      <c r="C20" s="13"/>
      <c r="D20" s="223"/>
      <c r="E20" s="224"/>
      <c r="F20" s="37"/>
      <c r="G20" s="231"/>
      <c r="H20" s="224"/>
      <c r="I20" s="224"/>
      <c r="J20" s="7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46"/>
      <c r="AV20" s="246"/>
      <c r="AW20" s="246"/>
      <c r="AX20" s="246"/>
    </row>
    <row r="21" spans="1:62" ht="15.75" customHeight="1" outlineLevel="1" x14ac:dyDescent="0.3">
      <c r="A21" s="13"/>
      <c r="B21" s="13"/>
      <c r="C21" s="13"/>
      <c r="D21" s="13" t="str">
        <f>'Assumptions and inputs'!D21</f>
        <v>Налог на прибыль</v>
      </c>
      <c r="E21" s="42" t="str">
        <f>'Assumptions and inputs'!E21</f>
        <v>%</v>
      </c>
      <c r="F21" s="37"/>
      <c r="G21" s="13"/>
      <c r="H21" s="49">
        <f>'Assumptions and inputs'!H21</f>
        <v>0.2</v>
      </c>
      <c r="I21" s="13"/>
      <c r="J21" s="7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6"/>
      <c r="AV21" s="6"/>
      <c r="AW21" s="6"/>
      <c r="AX21" s="6"/>
    </row>
    <row r="22" spans="1:62" ht="15.75" customHeight="1" outlineLevel="1" x14ac:dyDescent="0.3">
      <c r="A22" s="13"/>
      <c r="B22" s="13"/>
      <c r="C22" s="13"/>
      <c r="D22" s="13" t="str">
        <f>'Assumptions and inputs'!D22</f>
        <v>НДС</v>
      </c>
      <c r="E22" s="42" t="str">
        <f>'Assumptions and inputs'!E22</f>
        <v>%</v>
      </c>
      <c r="F22" s="13"/>
      <c r="G22" s="13"/>
      <c r="H22" s="49">
        <f>'Assumptions and inputs'!H22</f>
        <v>0.2</v>
      </c>
      <c r="I22" s="13"/>
      <c r="J22" s="47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6"/>
      <c r="AV22" s="6"/>
      <c r="AW22" s="6"/>
      <c r="AX22" s="6"/>
    </row>
    <row r="23" spans="1:62" ht="15.75" customHeight="1" x14ac:dyDescent="0.3">
      <c r="A23" s="13"/>
      <c r="B23" s="13"/>
      <c r="C23" s="13"/>
      <c r="D23" s="6"/>
      <c r="E23" s="7"/>
      <c r="F23" s="69"/>
      <c r="G23" s="40"/>
      <c r="H23" s="69"/>
      <c r="I23" s="69"/>
      <c r="J23" s="47"/>
      <c r="K23" s="35"/>
      <c r="L23" s="45"/>
      <c r="M23" s="45"/>
      <c r="N23" s="4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6"/>
      <c r="AV23" s="6"/>
      <c r="AW23" s="6"/>
      <c r="AX23" s="6"/>
    </row>
    <row r="24" spans="1:62" ht="15.75" customHeight="1" x14ac:dyDescent="0.3">
      <c r="A24" s="13"/>
      <c r="B24" s="13"/>
      <c r="C24" s="13"/>
      <c r="D24" s="104" t="s">
        <v>314</v>
      </c>
      <c r="E24" s="105"/>
      <c r="F24" s="105"/>
      <c r="G24" s="106"/>
      <c r="H24" s="105"/>
      <c r="I24" s="105"/>
      <c r="J24" s="41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60"/>
      <c r="AW24" s="160"/>
      <c r="AX24" s="160"/>
      <c r="AY24" s="160"/>
    </row>
    <row r="25" spans="1:62" s="344" customFormat="1" ht="15.75" customHeight="1" outlineLevel="1" x14ac:dyDescent="0.3">
      <c r="A25" s="453"/>
      <c r="B25" s="453"/>
      <c r="C25" s="453"/>
      <c r="D25" s="491"/>
      <c r="E25" s="492"/>
      <c r="F25" s="492"/>
      <c r="G25" s="493"/>
      <c r="H25" s="492"/>
      <c r="I25" s="492"/>
      <c r="J25" s="494"/>
      <c r="K25" s="495"/>
      <c r="L25" s="495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Y25" s="495"/>
      <c r="Z25" s="495"/>
      <c r="AA25" s="495"/>
      <c r="AB25" s="495"/>
      <c r="AC25" s="495"/>
      <c r="AD25" s="495"/>
      <c r="AE25" s="495"/>
      <c r="AF25" s="495"/>
      <c r="AG25" s="495"/>
      <c r="AH25" s="495"/>
      <c r="AI25" s="495"/>
      <c r="AJ25" s="495"/>
      <c r="AK25" s="495"/>
      <c r="AL25" s="495"/>
      <c r="AM25" s="495"/>
      <c r="AN25" s="495"/>
      <c r="AO25" s="495"/>
      <c r="AP25" s="495"/>
      <c r="AQ25" s="495"/>
      <c r="AR25" s="495"/>
      <c r="AS25" s="495"/>
      <c r="AT25" s="495"/>
      <c r="AU25" s="495"/>
      <c r="AV25" s="496"/>
      <c r="AW25" s="496"/>
      <c r="AX25" s="496"/>
      <c r="AY25" s="496"/>
    </row>
    <row r="26" spans="1:62" s="429" customFormat="1" ht="15.75" customHeight="1" outlineLevel="1" x14ac:dyDescent="0.3">
      <c r="A26" s="13"/>
      <c r="B26" s="406"/>
      <c r="C26" s="422" t="s">
        <v>153</v>
      </c>
      <c r="E26" s="423"/>
      <c r="F26" s="424"/>
      <c r="G26" s="425"/>
      <c r="H26" s="423"/>
      <c r="I26" s="423"/>
      <c r="J26" s="47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  <c r="AT26" s="426"/>
      <c r="AU26" s="427"/>
      <c r="AV26" s="427"/>
      <c r="AW26" s="427"/>
      <c r="AX26" s="427"/>
      <c r="AY26" s="428"/>
      <c r="AZ26" s="428"/>
      <c r="BA26" s="428"/>
      <c r="BB26" s="428"/>
      <c r="BC26" s="428"/>
      <c r="BD26" s="428"/>
      <c r="BE26" s="428"/>
      <c r="BF26" s="428"/>
      <c r="BG26" s="428"/>
      <c r="BH26" s="428"/>
      <c r="BI26" s="428"/>
      <c r="BJ26" s="428"/>
    </row>
    <row r="27" spans="1:62" s="459" customFormat="1" ht="15.75" customHeight="1" outlineLevel="1" x14ac:dyDescent="0.3">
      <c r="A27" s="453"/>
      <c r="B27" s="453"/>
      <c r="C27" s="467" t="s">
        <v>154</v>
      </c>
      <c r="E27" s="468" t="s">
        <v>63</v>
      </c>
      <c r="F27" s="37" t="s">
        <v>384</v>
      </c>
      <c r="G27" s="470"/>
      <c r="H27" s="469"/>
      <c r="I27" s="469"/>
      <c r="J27" s="49"/>
      <c r="K27" s="430">
        <f ca="1">CF!K32/(1+$H$22)</f>
        <v>0</v>
      </c>
      <c r="L27" s="430">
        <f ca="1">CF!L32/(1+$H$22)</f>
        <v>0</v>
      </c>
      <c r="M27" s="430">
        <f ca="1">CF!M32/(1+$H$22)</f>
        <v>67844097.097135231</v>
      </c>
      <c r="N27" s="430">
        <f ca="1">CF!N32/(1+$H$22)</f>
        <v>79840426.197805792</v>
      </c>
      <c r="O27" s="430">
        <f ca="1">CF!O32/(1+$H$22)</f>
        <v>94814371.251990214</v>
      </c>
      <c r="P27" s="430">
        <f ca="1">CF!P32/(1+$H$22)</f>
        <v>107296783.43345568</v>
      </c>
      <c r="Q27" s="430">
        <f ca="1">CF!Q32/(1+$H$22)</f>
        <v>108596697.14884156</v>
      </c>
      <c r="R27" s="430">
        <f ca="1">CF!R32/(1+$H$22)</f>
        <v>108160796.11796497</v>
      </c>
      <c r="S27" s="430">
        <f ca="1">CF!S32/(1+$H$22)</f>
        <v>99532485.133397937</v>
      </c>
      <c r="T27" s="430">
        <f ca="1">CF!T32/(1+$H$22)</f>
        <v>92312945.534733966</v>
      </c>
      <c r="U27" s="430">
        <f ca="1">CF!U32/(1+$H$22)</f>
        <v>86640487.526831448</v>
      </c>
      <c r="V27" s="430">
        <f ca="1">CF!V32/(1+$H$22)</f>
        <v>75321221.585473746</v>
      </c>
      <c r="W27" s="430">
        <f ca="1">CF!W32/(1+$H$22)</f>
        <v>73478476.76724872</v>
      </c>
      <c r="X27" s="430">
        <f ca="1">CF!X32/(1+$H$22)</f>
        <v>148514220.93160212</v>
      </c>
      <c r="Y27" s="430">
        <f ca="1">CF!Y32/(1+$H$22)</f>
        <v>152494201.61321253</v>
      </c>
      <c r="Z27" s="430">
        <f ca="1">CF!Z32/(1+$H$22)</f>
        <v>179294715.63854539</v>
      </c>
      <c r="AA27" s="430">
        <f ca="1">CF!AA32/(1+$H$22)</f>
        <v>212720093.73907596</v>
      </c>
      <c r="AB27" s="430">
        <f ca="1">CF!AB32/(1+$H$22)</f>
        <v>240505176.72282478</v>
      </c>
      <c r="AC27" s="430">
        <f ca="1">CF!AC32/(1+$H$22)</f>
        <v>243189066.63519472</v>
      </c>
      <c r="AD27" s="430">
        <f ca="1">CF!AD32/(1+$H$22)</f>
        <v>241984198.38127315</v>
      </c>
      <c r="AE27" s="430">
        <f ca="1">CF!AE32/(1+$H$22)</f>
        <v>222477122.88441333</v>
      </c>
      <c r="AF27" s="430">
        <f ca="1">CF!AF32/(1+$H$22)</f>
        <v>206145008.58707714</v>
      </c>
      <c r="AG27" s="430">
        <f ca="1">CF!AG32/(1+$H$22)</f>
        <v>193301169.68411246</v>
      </c>
      <c r="AH27" s="430">
        <f ca="1">CF!AH32/(1+$H$22)</f>
        <v>167888385.46222082</v>
      </c>
      <c r="AI27" s="430">
        <f ca="1">CF!AI32/(1+$H$22)</f>
        <v>163806885.67564139</v>
      </c>
      <c r="AJ27" s="430">
        <f ca="1">CF!AJ32/(1+$H$22)</f>
        <v>184818174.55241126</v>
      </c>
      <c r="AK27" s="430">
        <f ca="1">CF!AK32/(1+$H$22)</f>
        <v>189801078.87263688</v>
      </c>
      <c r="AL27" s="430">
        <f ca="1">CF!AL32/(1+$H$22)</f>
        <v>223192325.24670473</v>
      </c>
      <c r="AM27" s="430">
        <f ca="1">CF!AM32/(1+$H$22)</f>
        <v>264843301.95625529</v>
      </c>
      <c r="AN27" s="430">
        <f ca="1">CF!AN32/(1+$H$22)</f>
        <v>299482415.74107623</v>
      </c>
      <c r="AO27" s="430">
        <f ca="1">CF!AO32/(1+$H$22)</f>
        <v>302872370.02718979</v>
      </c>
      <c r="AP27" s="430">
        <f ca="1">CF!AP32/(1+$H$22)</f>
        <v>301419488.58379418</v>
      </c>
      <c r="AQ27" s="430">
        <f ca="1">CF!AQ32/(1+$H$22)</f>
        <v>277163541.24110037</v>
      </c>
      <c r="AR27" s="430">
        <f ca="1">CF!AR32/(1+$H$22)</f>
        <v>256857515.14264822</v>
      </c>
      <c r="AS27" s="430">
        <f ca="1">CF!AS32/(1+$H$22)</f>
        <v>240890878.79731059</v>
      </c>
      <c r="AT27" s="430">
        <f ca="1">CF!AT32/(1+$H$22)</f>
        <v>209254707.93429276</v>
      </c>
      <c r="AU27" s="467"/>
      <c r="AV27" s="467"/>
      <c r="AW27" s="467"/>
      <c r="AX27" s="467"/>
    </row>
    <row r="28" spans="1:62" s="459" customFormat="1" ht="15.75" customHeight="1" outlineLevel="1" x14ac:dyDescent="0.3">
      <c r="A28" s="453"/>
      <c r="B28" s="453"/>
      <c r="C28" s="467" t="s">
        <v>155</v>
      </c>
      <c r="E28" s="468"/>
      <c r="F28" s="37"/>
      <c r="G28" s="470"/>
      <c r="H28" s="469"/>
      <c r="I28" s="469"/>
      <c r="J28" s="52"/>
      <c r="K28" s="430">
        <f t="shared" ref="K28:AT28" ca="1" si="5">SUM(K29:K31)</f>
        <v>0</v>
      </c>
      <c r="L28" s="430">
        <f t="shared" ca="1" si="5"/>
        <v>0</v>
      </c>
      <c r="M28" s="430">
        <f t="shared" ca="1" si="5"/>
        <v>54980701.996872954</v>
      </c>
      <c r="N28" s="430">
        <f t="shared" ca="1" si="5"/>
        <v>64702499.8180755</v>
      </c>
      <c r="O28" s="430">
        <f t="shared" ca="1" si="5"/>
        <v>76837350.836329028</v>
      </c>
      <c r="P28" s="430">
        <f t="shared" ca="1" si="5"/>
        <v>86953069.280760482</v>
      </c>
      <c r="Q28" s="430">
        <f t="shared" ca="1" si="5"/>
        <v>88006516.399453104</v>
      </c>
      <c r="R28" s="430">
        <f t="shared" ca="1" si="5"/>
        <v>87653263.195354253</v>
      </c>
      <c r="S28" s="430">
        <f t="shared" ca="1" si="5"/>
        <v>80660899.595915079</v>
      </c>
      <c r="T28" s="430">
        <f t="shared" ca="1" si="5"/>
        <v>74810201.123792171</v>
      </c>
      <c r="U28" s="430">
        <f t="shared" ca="1" si="5"/>
        <v>70213254.054458499</v>
      </c>
      <c r="V28" s="430">
        <f t="shared" ca="1" si="5"/>
        <v>61040146.677790061</v>
      </c>
      <c r="W28" s="430">
        <f t="shared" ca="1" si="5"/>
        <v>59021324.191505097</v>
      </c>
      <c r="X28" s="430">
        <f t="shared" ca="1" si="5"/>
        <v>119293517.86127278</v>
      </c>
      <c r="Y28" s="430">
        <f t="shared" ca="1" si="5"/>
        <v>122490423.13775717</v>
      </c>
      <c r="Z28" s="430">
        <f t="shared" ca="1" si="5"/>
        <v>144017840.36768538</v>
      </c>
      <c r="AA28" s="430">
        <f t="shared" ca="1" si="5"/>
        <v>170866656.01943257</v>
      </c>
      <c r="AB28" s="430">
        <f t="shared" ca="1" si="5"/>
        <v>193184924.7509186</v>
      </c>
      <c r="AC28" s="430">
        <f t="shared" ca="1" si="5"/>
        <v>195340749.74323663</v>
      </c>
      <c r="AD28" s="430">
        <f t="shared" ca="1" si="5"/>
        <v>194372943.61889338</v>
      </c>
      <c r="AE28" s="430">
        <f t="shared" ca="1" si="5"/>
        <v>178703954.85398871</v>
      </c>
      <c r="AF28" s="430">
        <f t="shared" ca="1" si="5"/>
        <v>165585242.33999375</v>
      </c>
      <c r="AG28" s="430">
        <f t="shared" ca="1" si="5"/>
        <v>155268474.58558607</v>
      </c>
      <c r="AH28" s="430">
        <f t="shared" ca="1" si="5"/>
        <v>134855746.36695248</v>
      </c>
      <c r="AI28" s="430">
        <f t="shared" ca="1" si="5"/>
        <v>131407523.56638028</v>
      </c>
      <c r="AJ28" s="430">
        <f t="shared" ca="1" si="5"/>
        <v>148262989.84819075</v>
      </c>
      <c r="AK28" s="430">
        <f t="shared" ca="1" si="5"/>
        <v>152260325.57793316</v>
      </c>
      <c r="AL28" s="430">
        <f t="shared" ca="1" si="5"/>
        <v>179047117.70033306</v>
      </c>
      <c r="AM28" s="430">
        <f t="shared" ca="1" si="5"/>
        <v>212459948.18635279</v>
      </c>
      <c r="AN28" s="430">
        <f t="shared" ca="1" si="5"/>
        <v>240247792.03811011</v>
      </c>
      <c r="AO28" s="430">
        <f t="shared" ca="1" si="5"/>
        <v>242967247.30340037</v>
      </c>
      <c r="AP28" s="430">
        <f t="shared" ca="1" si="5"/>
        <v>241801731.26465333</v>
      </c>
      <c r="AQ28" s="430">
        <f t="shared" ca="1" si="5"/>
        <v>222343367.47907105</v>
      </c>
      <c r="AR28" s="430">
        <f t="shared" ca="1" si="5"/>
        <v>206053670.05844134</v>
      </c>
      <c r="AS28" s="430">
        <f t="shared" ca="1" si="5"/>
        <v>193245074.53956696</v>
      </c>
      <c r="AT28" s="430">
        <f t="shared" ca="1" si="5"/>
        <v>167866221.56226358</v>
      </c>
      <c r="AU28" s="467"/>
      <c r="AV28" s="467"/>
      <c r="AW28" s="467"/>
      <c r="AX28" s="467"/>
    </row>
    <row r="29" spans="1:62" ht="15.75" customHeight="1" outlineLevel="1" x14ac:dyDescent="0.3">
      <c r="A29" s="13"/>
      <c r="B29" s="13"/>
      <c r="C29" s="13"/>
      <c r="D29" s="6" t="s">
        <v>156</v>
      </c>
      <c r="E29" s="7" t="s">
        <v>63</v>
      </c>
      <c r="F29" s="37" t="s">
        <v>384</v>
      </c>
      <c r="G29" s="40"/>
      <c r="H29" s="69"/>
      <c r="I29" s="69"/>
      <c r="J29" s="52"/>
      <c r="K29" s="36">
        <f t="shared" ref="K29:AT29" ca="1" si="6">K18*K13/(1+$H$22)</f>
        <v>0</v>
      </c>
      <c r="L29" s="36">
        <f t="shared" ca="1" si="6"/>
        <v>0</v>
      </c>
      <c r="M29" s="36">
        <f ca="1">M18*M13/(1+$H$22)</f>
        <v>38019677.722589143</v>
      </c>
      <c r="N29" s="36">
        <f t="shared" ca="1" si="6"/>
        <v>44742393.268624052</v>
      </c>
      <c r="O29" s="36">
        <f t="shared" ca="1" si="6"/>
        <v>53133758.023331478</v>
      </c>
      <c r="P29" s="36">
        <f t="shared" ca="1" si="6"/>
        <v>60128873.42239657</v>
      </c>
      <c r="Q29" s="36">
        <f t="shared" ca="1" si="6"/>
        <v>60857342.112242706</v>
      </c>
      <c r="R29" s="36">
        <f t="shared" ca="1" si="6"/>
        <v>60613064.165863015</v>
      </c>
      <c r="S29" s="36">
        <f t="shared" ca="1" si="6"/>
        <v>55777778.312565602</v>
      </c>
      <c r="T29" s="36">
        <f t="shared" ca="1" si="6"/>
        <v>51731964.740108676</v>
      </c>
      <c r="U29" s="36">
        <f t="shared" ca="1" si="6"/>
        <v>48553132.172750644</v>
      </c>
      <c r="V29" s="36">
        <f t="shared" ca="1" si="6"/>
        <v>42209841.281421624</v>
      </c>
      <c r="W29" s="36">
        <f t="shared" ca="1" si="6"/>
        <v>40651704.999692917</v>
      </c>
      <c r="X29" s="36">
        <f t="shared" ca="1" si="6"/>
        <v>82164962.628372252</v>
      </c>
      <c r="Y29" s="36">
        <f t="shared" ca="1" si="6"/>
        <v>84366872.734454036</v>
      </c>
      <c r="Z29" s="36">
        <f t="shared" ca="1" si="6"/>
        <v>99194161.458049029</v>
      </c>
      <c r="AA29" s="36">
        <f t="shared" ca="1" si="6"/>
        <v>117686632.58466358</v>
      </c>
      <c r="AB29" s="36">
        <f t="shared" ca="1" si="6"/>
        <v>133058630.57021241</v>
      </c>
      <c r="AC29" s="36">
        <f t="shared" ca="1" si="6"/>
        <v>134543483.08443797</v>
      </c>
      <c r="AD29" s="36">
        <f t="shared" ca="1" si="6"/>
        <v>133876894.0235751</v>
      </c>
      <c r="AE29" s="36">
        <f t="shared" ca="1" si="6"/>
        <v>123084674.13288537</v>
      </c>
      <c r="AF29" s="36">
        <f t="shared" ca="1" si="6"/>
        <v>114048990.19322446</v>
      </c>
      <c r="AG29" s="36">
        <f t="shared" ca="1" si="6"/>
        <v>106943182.16455796</v>
      </c>
      <c r="AH29" s="36">
        <f t="shared" ca="1" si="6"/>
        <v>92883650.001397267</v>
      </c>
      <c r="AI29" s="36">
        <f t="shared" ca="1" si="6"/>
        <v>90455802.147469923</v>
      </c>
      <c r="AJ29" s="36">
        <f t="shared" ca="1" si="6"/>
        <v>102058446.21008794</v>
      </c>
      <c r="AK29" s="36">
        <f t="shared" ca="1" si="6"/>
        <v>104810055.85977393</v>
      </c>
      <c r="AL29" s="36">
        <f t="shared" ca="1" si="6"/>
        <v>123249036.38865685</v>
      </c>
      <c r="AM29" s="36">
        <f t="shared" ca="1" si="6"/>
        <v>146249122.69728899</v>
      </c>
      <c r="AN29" s="36">
        <f t="shared" ca="1" si="6"/>
        <v>165377188.10284105</v>
      </c>
      <c r="AO29" s="36">
        <f t="shared" ca="1" si="6"/>
        <v>167249154.7966029</v>
      </c>
      <c r="AP29" s="36">
        <f t="shared" ca="1" si="6"/>
        <v>166446859.11870477</v>
      </c>
      <c r="AQ29" s="36">
        <f t="shared" ca="1" si="6"/>
        <v>153052482.16879594</v>
      </c>
      <c r="AR29" s="36">
        <f t="shared" ca="1" si="6"/>
        <v>141839291.27277929</v>
      </c>
      <c r="AS29" s="36">
        <f t="shared" ca="1" si="6"/>
        <v>133022354.84023932</v>
      </c>
      <c r="AT29" s="36">
        <f t="shared" ca="1" si="6"/>
        <v>115552544.57869038</v>
      </c>
      <c r="AU29" s="6"/>
      <c r="AV29" s="6"/>
      <c r="AW29" s="6"/>
      <c r="AX29" s="6"/>
    </row>
    <row r="30" spans="1:62" ht="15.75" customHeight="1" outlineLevel="1" x14ac:dyDescent="0.3">
      <c r="A30" s="13"/>
      <c r="B30" s="13"/>
      <c r="C30" s="13"/>
      <c r="D30" s="6" t="str">
        <f>'Assumptions and inputs'!D88</f>
        <v>Маркетинг</v>
      </c>
      <c r="E30" s="7" t="s">
        <v>63</v>
      </c>
      <c r="F30" s="69"/>
      <c r="G30" s="40"/>
      <c r="H30" s="49">
        <f>'Assumptions and inputs'!H88</f>
        <v>0.15</v>
      </c>
      <c r="I30" s="69"/>
      <c r="J30" s="52"/>
      <c r="K30" s="36">
        <f t="shared" ref="K30:AT30" ca="1" si="7">K27*$H$30</f>
        <v>0</v>
      </c>
      <c r="L30" s="36">
        <f t="shared" ca="1" si="7"/>
        <v>0</v>
      </c>
      <c r="M30" s="36">
        <f t="shared" ca="1" si="7"/>
        <v>10176614.564570284</v>
      </c>
      <c r="N30" s="36">
        <f t="shared" ca="1" si="7"/>
        <v>11976063.929670868</v>
      </c>
      <c r="O30" s="36">
        <f t="shared" ca="1" si="7"/>
        <v>14222155.687798532</v>
      </c>
      <c r="P30" s="36">
        <f t="shared" ca="1" si="7"/>
        <v>16094517.515018351</v>
      </c>
      <c r="Q30" s="36">
        <f t="shared" ca="1" si="7"/>
        <v>16289504.572326234</v>
      </c>
      <c r="R30" s="36">
        <f t="shared" ca="1" si="7"/>
        <v>16224119.417694744</v>
      </c>
      <c r="S30" s="36">
        <f t="shared" ca="1" si="7"/>
        <v>14929872.770009691</v>
      </c>
      <c r="T30" s="36">
        <f t="shared" ca="1" si="7"/>
        <v>13846941.830210095</v>
      </c>
      <c r="U30" s="36">
        <f t="shared" ca="1" si="7"/>
        <v>12996073.129024716</v>
      </c>
      <c r="V30" s="36">
        <f t="shared" ca="1" si="7"/>
        <v>11298183.237821061</v>
      </c>
      <c r="W30" s="36">
        <f t="shared" ca="1" si="7"/>
        <v>11021771.515087308</v>
      </c>
      <c r="X30" s="36">
        <f t="shared" ca="1" si="7"/>
        <v>22277133.139740318</v>
      </c>
      <c r="Y30" s="36">
        <f t="shared" ca="1" si="7"/>
        <v>22874130.241981879</v>
      </c>
      <c r="Z30" s="36">
        <f t="shared" ca="1" si="7"/>
        <v>26894207.345781807</v>
      </c>
      <c r="AA30" s="36">
        <f t="shared" ca="1" si="7"/>
        <v>31908014.060861394</v>
      </c>
      <c r="AB30" s="36">
        <f t="shared" ca="1" si="7"/>
        <v>36075776.508423716</v>
      </c>
      <c r="AC30" s="36">
        <f t="shared" ca="1" si="7"/>
        <v>36478359.995279208</v>
      </c>
      <c r="AD30" s="36">
        <f t="shared" ca="1" si="7"/>
        <v>36297629.757190973</v>
      </c>
      <c r="AE30" s="36">
        <f t="shared" ca="1" si="7"/>
        <v>33371568.432661999</v>
      </c>
      <c r="AF30" s="36">
        <f t="shared" ca="1" si="7"/>
        <v>30921751.28806157</v>
      </c>
      <c r="AG30" s="36">
        <f t="shared" ca="1" si="7"/>
        <v>28995175.452616867</v>
      </c>
      <c r="AH30" s="36">
        <f t="shared" ca="1" si="7"/>
        <v>25183257.819333121</v>
      </c>
      <c r="AI30" s="36">
        <f t="shared" ca="1" si="7"/>
        <v>24571032.851346206</v>
      </c>
      <c r="AJ30" s="36">
        <f t="shared" ca="1" si="7"/>
        <v>27722726.182861689</v>
      </c>
      <c r="AK30" s="36">
        <f t="shared" ca="1" si="7"/>
        <v>28470161.830895532</v>
      </c>
      <c r="AL30" s="36">
        <f t="shared" ca="1" si="7"/>
        <v>33478848.787005708</v>
      </c>
      <c r="AM30" s="36">
        <f t="shared" ca="1" si="7"/>
        <v>39726495.293438293</v>
      </c>
      <c r="AN30" s="36">
        <f t="shared" ca="1" si="7"/>
        <v>44922362.361161433</v>
      </c>
      <c r="AO30" s="36">
        <f t="shared" ca="1" si="7"/>
        <v>45430855.50407847</v>
      </c>
      <c r="AP30" s="36">
        <f t="shared" ca="1" si="7"/>
        <v>45212923.287569128</v>
      </c>
      <c r="AQ30" s="36">
        <f t="shared" ca="1" si="7"/>
        <v>41574531.186165057</v>
      </c>
      <c r="AR30" s="36">
        <f t="shared" ca="1" si="7"/>
        <v>38528627.271397233</v>
      </c>
      <c r="AS30" s="36">
        <f t="shared" ca="1" si="7"/>
        <v>36133631.819596589</v>
      </c>
      <c r="AT30" s="36">
        <f t="shared" ca="1" si="7"/>
        <v>31388206.190143913</v>
      </c>
      <c r="AU30" s="6"/>
      <c r="AV30" s="6"/>
      <c r="AW30" s="6"/>
      <c r="AX30" s="6"/>
    </row>
    <row r="31" spans="1:62" ht="15.75" customHeight="1" outlineLevel="1" x14ac:dyDescent="0.3">
      <c r="A31" s="13"/>
      <c r="B31" s="13"/>
      <c r="C31" s="13"/>
      <c r="D31" s="6" t="str">
        <f>'Assumptions and inputs'!D89</f>
        <v>АУП и непредвиденные затраты</v>
      </c>
      <c r="E31" s="7" t="s">
        <v>63</v>
      </c>
      <c r="F31" s="69"/>
      <c r="G31" s="40"/>
      <c r="H31" s="49">
        <f>'Assumptions and inputs'!H89</f>
        <v>0.1</v>
      </c>
      <c r="I31" s="69"/>
      <c r="J31" s="7"/>
      <c r="K31" s="36">
        <f t="shared" ref="K31:AT31" ca="1" si="8">K27*$H$31</f>
        <v>0</v>
      </c>
      <c r="L31" s="36">
        <f t="shared" ca="1" si="8"/>
        <v>0</v>
      </c>
      <c r="M31" s="36">
        <f t="shared" ca="1" si="8"/>
        <v>6784409.7097135233</v>
      </c>
      <c r="N31" s="36">
        <f t="shared" ca="1" si="8"/>
        <v>7984042.6197805796</v>
      </c>
      <c r="O31" s="36">
        <f t="shared" ca="1" si="8"/>
        <v>9481437.1251990218</v>
      </c>
      <c r="P31" s="36">
        <f t="shared" ca="1" si="8"/>
        <v>10729678.343345568</v>
      </c>
      <c r="Q31" s="36">
        <f t="shared" ca="1" si="8"/>
        <v>10859669.714884156</v>
      </c>
      <c r="R31" s="36">
        <f t="shared" ca="1" si="8"/>
        <v>10816079.611796498</v>
      </c>
      <c r="S31" s="36">
        <f t="shared" ca="1" si="8"/>
        <v>9953248.5133397933</v>
      </c>
      <c r="T31" s="36">
        <f t="shared" ca="1" si="8"/>
        <v>9231294.5534733962</v>
      </c>
      <c r="U31" s="36">
        <f t="shared" ca="1" si="8"/>
        <v>8664048.7526831459</v>
      </c>
      <c r="V31" s="36">
        <f t="shared" ca="1" si="8"/>
        <v>7532122.1585473754</v>
      </c>
      <c r="W31" s="36">
        <f t="shared" ca="1" si="8"/>
        <v>7347847.6767248726</v>
      </c>
      <c r="X31" s="36">
        <f t="shared" ca="1" si="8"/>
        <v>14851422.093160212</v>
      </c>
      <c r="Y31" s="36">
        <f t="shared" ca="1" si="8"/>
        <v>15249420.161321253</v>
      </c>
      <c r="Z31" s="36">
        <f t="shared" ca="1" si="8"/>
        <v>17929471.563854542</v>
      </c>
      <c r="AA31" s="36">
        <f t="shared" ca="1" si="8"/>
        <v>21272009.373907596</v>
      </c>
      <c r="AB31" s="36">
        <f t="shared" ca="1" si="8"/>
        <v>24050517.67228248</v>
      </c>
      <c r="AC31" s="36">
        <f t="shared" ca="1" si="8"/>
        <v>24318906.663519472</v>
      </c>
      <c r="AD31" s="36">
        <f t="shared" ca="1" si="8"/>
        <v>24198419.838127315</v>
      </c>
      <c r="AE31" s="36">
        <f t="shared" ca="1" si="8"/>
        <v>22247712.288441334</v>
      </c>
      <c r="AF31" s="36">
        <f t="shared" ca="1" si="8"/>
        <v>20614500.858707715</v>
      </c>
      <c r="AG31" s="36">
        <f t="shared" ca="1" si="8"/>
        <v>19330116.968411248</v>
      </c>
      <c r="AH31" s="36">
        <f t="shared" ca="1" si="8"/>
        <v>16788838.546222083</v>
      </c>
      <c r="AI31" s="36">
        <f t="shared" ca="1" si="8"/>
        <v>16380688.567564139</v>
      </c>
      <c r="AJ31" s="36">
        <f t="shared" ca="1" si="8"/>
        <v>18481817.455241125</v>
      </c>
      <c r="AK31" s="36">
        <f t="shared" ca="1" si="8"/>
        <v>18980107.887263689</v>
      </c>
      <c r="AL31" s="36">
        <f t="shared" ca="1" si="8"/>
        <v>22319232.524670474</v>
      </c>
      <c r="AM31" s="36">
        <f t="shared" ca="1" si="8"/>
        <v>26484330.195625529</v>
      </c>
      <c r="AN31" s="36">
        <f t="shared" ca="1" si="8"/>
        <v>29948241.574107625</v>
      </c>
      <c r="AO31" s="36">
        <f t="shared" ca="1" si="8"/>
        <v>30287237.002718981</v>
      </c>
      <c r="AP31" s="36">
        <f t="shared" ca="1" si="8"/>
        <v>30141948.85837942</v>
      </c>
      <c r="AQ31" s="36">
        <f t="shared" ca="1" si="8"/>
        <v>27716354.124110039</v>
      </c>
      <c r="AR31" s="36">
        <f t="shared" ca="1" si="8"/>
        <v>25685751.514264822</v>
      </c>
      <c r="AS31" s="36">
        <f t="shared" ca="1" si="8"/>
        <v>24089087.879731059</v>
      </c>
      <c r="AT31" s="36">
        <f t="shared" ca="1" si="8"/>
        <v>20925470.793429278</v>
      </c>
      <c r="AU31" s="6"/>
      <c r="AV31" s="6"/>
      <c r="AW31" s="6"/>
      <c r="AX31" s="6"/>
    </row>
    <row r="32" spans="1:62" s="419" customFormat="1" ht="15.75" customHeight="1" outlineLevel="1" x14ac:dyDescent="0.3">
      <c r="A32" s="233"/>
      <c r="B32" s="233"/>
      <c r="C32" s="420" t="s">
        <v>160</v>
      </c>
      <c r="E32" s="218" t="s">
        <v>63</v>
      </c>
      <c r="F32" s="466"/>
      <c r="G32" s="277"/>
      <c r="H32" s="466"/>
      <c r="I32" s="466"/>
      <c r="J32" s="7"/>
      <c r="K32" s="417">
        <f t="shared" ref="K32:AT32" ca="1" si="9">K27-K28</f>
        <v>0</v>
      </c>
      <c r="L32" s="417">
        <f t="shared" ca="1" si="9"/>
        <v>0</v>
      </c>
      <c r="M32" s="417">
        <f t="shared" ca="1" si="9"/>
        <v>12863395.100262277</v>
      </c>
      <c r="N32" s="417">
        <f t="shared" ca="1" si="9"/>
        <v>15137926.379730292</v>
      </c>
      <c r="O32" s="417">
        <f t="shared" ca="1" si="9"/>
        <v>17977020.415661186</v>
      </c>
      <c r="P32" s="417">
        <f t="shared" ca="1" si="9"/>
        <v>20343714.152695194</v>
      </c>
      <c r="Q32" s="417">
        <f t="shared" ca="1" si="9"/>
        <v>20590180.749388456</v>
      </c>
      <c r="R32" s="417">
        <f t="shared" ca="1" si="9"/>
        <v>20507532.922610715</v>
      </c>
      <c r="S32" s="417">
        <f t="shared" ca="1" si="9"/>
        <v>18871585.537482858</v>
      </c>
      <c r="T32" s="417">
        <f t="shared" ca="1" si="9"/>
        <v>17502744.410941795</v>
      </c>
      <c r="U32" s="417">
        <f t="shared" ca="1" si="9"/>
        <v>16427233.472372949</v>
      </c>
      <c r="V32" s="417">
        <f t="shared" ca="1" si="9"/>
        <v>14281074.907683685</v>
      </c>
      <c r="W32" s="417">
        <f t="shared" ca="1" si="9"/>
        <v>14457152.575743623</v>
      </c>
      <c r="X32" s="417">
        <f t="shared" ca="1" si="9"/>
        <v>29220703.070329338</v>
      </c>
      <c r="Y32" s="417">
        <f t="shared" ca="1" si="9"/>
        <v>30003778.475455359</v>
      </c>
      <c r="Z32" s="417">
        <f t="shared" ca="1" si="9"/>
        <v>35276875.270860016</v>
      </c>
      <c r="AA32" s="417">
        <f t="shared" ca="1" si="9"/>
        <v>41853437.719643384</v>
      </c>
      <c r="AB32" s="417">
        <f t="shared" ca="1" si="9"/>
        <v>47320251.971906185</v>
      </c>
      <c r="AC32" s="417">
        <f t="shared" ca="1" si="9"/>
        <v>47848316.891958088</v>
      </c>
      <c r="AD32" s="417">
        <f t="shared" ca="1" si="9"/>
        <v>47611254.762379766</v>
      </c>
      <c r="AE32" s="417">
        <f t="shared" ca="1" si="9"/>
        <v>43773168.030424625</v>
      </c>
      <c r="AF32" s="417">
        <f t="shared" ca="1" si="9"/>
        <v>40559766.247083396</v>
      </c>
      <c r="AG32" s="417">
        <f t="shared" ca="1" si="9"/>
        <v>38032695.098526388</v>
      </c>
      <c r="AH32" s="417">
        <f t="shared" ca="1" si="9"/>
        <v>33032639.095268339</v>
      </c>
      <c r="AI32" s="417">
        <f t="shared" ca="1" si="9"/>
        <v>32399362.10926111</v>
      </c>
      <c r="AJ32" s="417">
        <f t="shared" ca="1" si="9"/>
        <v>36555184.704220504</v>
      </c>
      <c r="AK32" s="417">
        <f t="shared" ca="1" si="9"/>
        <v>37540753.294703722</v>
      </c>
      <c r="AL32" s="417">
        <f t="shared" ca="1" si="9"/>
        <v>44145207.546371669</v>
      </c>
      <c r="AM32" s="417">
        <f t="shared" ca="1" si="9"/>
        <v>52383353.769902498</v>
      </c>
      <c r="AN32" s="417">
        <f t="shared" ca="1" si="9"/>
        <v>59234623.702966124</v>
      </c>
      <c r="AO32" s="417">
        <f t="shared" ca="1" si="9"/>
        <v>59905122.723789424</v>
      </c>
      <c r="AP32" s="417">
        <f t="shared" ca="1" si="9"/>
        <v>59617757.319140851</v>
      </c>
      <c r="AQ32" s="417">
        <f t="shared" ca="1" si="9"/>
        <v>54820173.76202932</v>
      </c>
      <c r="AR32" s="417">
        <f t="shared" ca="1" si="9"/>
        <v>50803845.084206879</v>
      </c>
      <c r="AS32" s="417">
        <f t="shared" ca="1" si="9"/>
        <v>47645804.257743627</v>
      </c>
      <c r="AT32" s="417">
        <f t="shared" ca="1" si="9"/>
        <v>41388486.372029185</v>
      </c>
      <c r="AU32" s="246"/>
      <c r="AV32" s="246"/>
      <c r="AW32" s="246"/>
      <c r="AX32" s="246"/>
    </row>
    <row r="33" spans="1:62" ht="15.75" customHeight="1" outlineLevel="1" x14ac:dyDescent="0.3">
      <c r="A33" s="13"/>
      <c r="B33" s="13"/>
      <c r="C33" s="13"/>
      <c r="D33" s="9" t="s">
        <v>162</v>
      </c>
      <c r="E33" s="8" t="s">
        <v>63</v>
      </c>
      <c r="F33" s="184"/>
      <c r="G33" s="40"/>
      <c r="H33" s="184"/>
      <c r="I33" s="184"/>
      <c r="J33" s="47"/>
      <c r="K33" s="36">
        <f>'Assumptions and inputs'!K94</f>
        <v>10375000</v>
      </c>
      <c r="L33" s="36">
        <f>'Assumptions and inputs'!L94</f>
        <v>10375000</v>
      </c>
      <c r="M33" s="36">
        <f>'Assumptions and inputs'!M94</f>
        <v>10375000</v>
      </c>
      <c r="N33" s="36">
        <f>'Assumptions and inputs'!N94</f>
        <v>10375000</v>
      </c>
      <c r="O33" s="36">
        <f>'Assumptions and inputs'!O94</f>
        <v>10375000</v>
      </c>
      <c r="P33" s="36">
        <f>'Assumptions and inputs'!P94</f>
        <v>10375000</v>
      </c>
      <c r="Q33" s="36">
        <f>'Assumptions and inputs'!Q94</f>
        <v>10375000</v>
      </c>
      <c r="R33" s="36">
        <f>'Assumptions and inputs'!R94</f>
        <v>10375000</v>
      </c>
      <c r="S33" s="36">
        <f>'Assumptions and inputs'!S94</f>
        <v>10375000</v>
      </c>
      <c r="T33" s="36">
        <f>'Assumptions and inputs'!T94</f>
        <v>10375000</v>
      </c>
      <c r="U33" s="36">
        <f>'Assumptions and inputs'!U94</f>
        <v>10375000</v>
      </c>
      <c r="V33" s="36">
        <f>'Assumptions and inputs'!V94</f>
        <v>10375000</v>
      </c>
      <c r="W33" s="36">
        <f>'Assumptions and inputs'!W94</f>
        <v>10375000</v>
      </c>
      <c r="X33" s="36">
        <f>'Assumptions and inputs'!X94</f>
        <v>10375000</v>
      </c>
      <c r="Y33" s="36">
        <f>'Assumptions and inputs'!Y94</f>
        <v>10375000</v>
      </c>
      <c r="Z33" s="36">
        <f>'Assumptions and inputs'!Z94</f>
        <v>10375000</v>
      </c>
      <c r="AA33" s="36">
        <f>'Assumptions and inputs'!AA94</f>
        <v>10375000</v>
      </c>
      <c r="AB33" s="36">
        <f>'Assumptions and inputs'!AB94</f>
        <v>10375000</v>
      </c>
      <c r="AC33" s="36">
        <f>'Assumptions and inputs'!AC94</f>
        <v>10375000</v>
      </c>
      <c r="AD33" s="36">
        <f>'Assumptions and inputs'!AD94</f>
        <v>10375000</v>
      </c>
      <c r="AE33" s="36">
        <f>'Assumptions and inputs'!AE94</f>
        <v>10375000</v>
      </c>
      <c r="AF33" s="36">
        <f>'Assumptions and inputs'!AF94</f>
        <v>10375000</v>
      </c>
      <c r="AG33" s="36">
        <f>'Assumptions and inputs'!AG94</f>
        <v>10375000</v>
      </c>
      <c r="AH33" s="36">
        <f>'Assumptions and inputs'!AH94</f>
        <v>10375000</v>
      </c>
      <c r="AI33" s="36">
        <f>'Assumptions and inputs'!AI94</f>
        <v>10375000</v>
      </c>
      <c r="AJ33" s="36">
        <f>'Assumptions and inputs'!AJ94</f>
        <v>10375000</v>
      </c>
      <c r="AK33" s="36">
        <f>'Assumptions and inputs'!AK94</f>
        <v>10375000</v>
      </c>
      <c r="AL33" s="36">
        <f>'Assumptions and inputs'!AL94</f>
        <v>10375000</v>
      </c>
      <c r="AM33" s="36">
        <f>'Assumptions and inputs'!AM94</f>
        <v>10375000</v>
      </c>
      <c r="AN33" s="36">
        <f>'Assumptions and inputs'!AN94</f>
        <v>10375000</v>
      </c>
      <c r="AO33" s="36">
        <f>'Assumptions and inputs'!AO94</f>
        <v>10375000</v>
      </c>
      <c r="AP33" s="36">
        <f>'Assumptions and inputs'!AP94</f>
        <v>10375000</v>
      </c>
      <c r="AQ33" s="36">
        <f>'Assumptions and inputs'!AQ94</f>
        <v>10375000</v>
      </c>
      <c r="AR33" s="36">
        <f>'Assumptions and inputs'!AR94</f>
        <v>10375000</v>
      </c>
      <c r="AS33" s="36">
        <f>'Assumptions and inputs'!AS94</f>
        <v>10375000</v>
      </c>
      <c r="AT33" s="36">
        <f>'Assumptions and inputs'!AT94</f>
        <v>10375000</v>
      </c>
      <c r="AU33" s="9"/>
      <c r="AV33" s="9"/>
      <c r="AW33" s="9"/>
      <c r="AX33" s="9"/>
    </row>
    <row r="34" spans="1:62" s="459" customFormat="1" ht="15.75" customHeight="1" outlineLevel="1" x14ac:dyDescent="0.3">
      <c r="A34" s="453"/>
      <c r="B34" s="453"/>
      <c r="C34" s="461" t="s">
        <v>165</v>
      </c>
      <c r="E34" s="462" t="s">
        <v>63</v>
      </c>
      <c r="F34" s="463"/>
      <c r="G34" s="464"/>
      <c r="H34" s="463"/>
      <c r="I34" s="463"/>
      <c r="J34" s="47"/>
      <c r="K34" s="465">
        <f t="shared" ref="K34:AT34" ca="1" si="10">K32-K33</f>
        <v>-10375000</v>
      </c>
      <c r="L34" s="465">
        <f t="shared" ca="1" si="10"/>
        <v>-10375000</v>
      </c>
      <c r="M34" s="465">
        <f t="shared" ca="1" si="10"/>
        <v>2488395.1002622768</v>
      </c>
      <c r="N34" s="465">
        <f t="shared" ca="1" si="10"/>
        <v>4762926.3797302917</v>
      </c>
      <c r="O34" s="465">
        <f t="shared" ca="1" si="10"/>
        <v>7602020.415661186</v>
      </c>
      <c r="P34" s="465">
        <f t="shared" ca="1" si="10"/>
        <v>9968714.1526951939</v>
      </c>
      <c r="Q34" s="465">
        <f t="shared" ca="1" si="10"/>
        <v>10215180.749388456</v>
      </c>
      <c r="R34" s="465">
        <f t="shared" ca="1" si="10"/>
        <v>10132532.922610715</v>
      </c>
      <c r="S34" s="465">
        <f t="shared" ca="1" si="10"/>
        <v>8496585.5374828577</v>
      </c>
      <c r="T34" s="465">
        <f t="shared" ca="1" si="10"/>
        <v>7127744.4109417945</v>
      </c>
      <c r="U34" s="465">
        <f t="shared" ca="1" si="10"/>
        <v>6052233.4723729491</v>
      </c>
      <c r="V34" s="465">
        <f t="shared" ca="1" si="10"/>
        <v>3906074.9076836854</v>
      </c>
      <c r="W34" s="465">
        <f t="shared" ca="1" si="10"/>
        <v>4082152.5757436231</v>
      </c>
      <c r="X34" s="465">
        <f t="shared" ca="1" si="10"/>
        <v>18845703.070329338</v>
      </c>
      <c r="Y34" s="465">
        <f t="shared" ca="1" si="10"/>
        <v>19628778.475455359</v>
      </c>
      <c r="Z34" s="465">
        <f t="shared" ca="1" si="10"/>
        <v>24901875.270860016</v>
      </c>
      <c r="AA34" s="465">
        <f t="shared" ca="1" si="10"/>
        <v>31478437.719643384</v>
      </c>
      <c r="AB34" s="465">
        <f t="shared" ca="1" si="10"/>
        <v>36945251.971906185</v>
      </c>
      <c r="AC34" s="465">
        <f t="shared" ca="1" si="10"/>
        <v>37473316.891958088</v>
      </c>
      <c r="AD34" s="465">
        <f t="shared" ca="1" si="10"/>
        <v>37236254.762379766</v>
      </c>
      <c r="AE34" s="465">
        <f t="shared" ca="1" si="10"/>
        <v>33398168.030424625</v>
      </c>
      <c r="AF34" s="465">
        <f t="shared" ca="1" si="10"/>
        <v>30184766.247083396</v>
      </c>
      <c r="AG34" s="465">
        <f t="shared" ca="1" si="10"/>
        <v>27657695.098526388</v>
      </c>
      <c r="AH34" s="465">
        <f t="shared" ca="1" si="10"/>
        <v>22657639.095268339</v>
      </c>
      <c r="AI34" s="465">
        <f t="shared" ca="1" si="10"/>
        <v>22024362.10926111</v>
      </c>
      <c r="AJ34" s="465">
        <f t="shared" ca="1" si="10"/>
        <v>26180184.704220504</v>
      </c>
      <c r="AK34" s="465">
        <f t="shared" ca="1" si="10"/>
        <v>27165753.294703722</v>
      </c>
      <c r="AL34" s="465">
        <f t="shared" ca="1" si="10"/>
        <v>33770207.546371669</v>
      </c>
      <c r="AM34" s="465">
        <f t="shared" ca="1" si="10"/>
        <v>42008353.769902498</v>
      </c>
      <c r="AN34" s="465">
        <f t="shared" ca="1" si="10"/>
        <v>48859623.702966124</v>
      </c>
      <c r="AO34" s="465">
        <f t="shared" ca="1" si="10"/>
        <v>49530122.723789424</v>
      </c>
      <c r="AP34" s="465">
        <f t="shared" ca="1" si="10"/>
        <v>49242757.319140851</v>
      </c>
      <c r="AQ34" s="465">
        <f t="shared" ca="1" si="10"/>
        <v>44445173.76202932</v>
      </c>
      <c r="AR34" s="465">
        <f t="shared" ca="1" si="10"/>
        <v>40428845.084206879</v>
      </c>
      <c r="AS34" s="465">
        <f t="shared" ca="1" si="10"/>
        <v>37270804.257743627</v>
      </c>
      <c r="AT34" s="465">
        <f t="shared" ca="1" si="10"/>
        <v>31013486.372029185</v>
      </c>
      <c r="AU34" s="461"/>
      <c r="AV34" s="461"/>
      <c r="AW34" s="461"/>
      <c r="AX34" s="461"/>
    </row>
    <row r="35" spans="1:62" ht="15.75" customHeight="1" outlineLevel="1" x14ac:dyDescent="0.3">
      <c r="A35" s="13"/>
      <c r="B35" s="13"/>
      <c r="C35" s="203" t="s">
        <v>167</v>
      </c>
      <c r="E35" s="204" t="s">
        <v>63</v>
      </c>
      <c r="F35" s="203"/>
      <c r="G35" s="203"/>
      <c r="H35" s="203"/>
      <c r="I35" s="203"/>
      <c r="J35" s="47"/>
      <c r="K35" s="205">
        <f t="shared" ref="K35:AT35" ca="1" si="11">K34</f>
        <v>-10375000</v>
      </c>
      <c r="L35" s="205">
        <f t="shared" ca="1" si="11"/>
        <v>-10375000</v>
      </c>
      <c r="M35" s="205">
        <f t="shared" ca="1" si="11"/>
        <v>2488395.1002622768</v>
      </c>
      <c r="N35" s="205">
        <f t="shared" ca="1" si="11"/>
        <v>4762926.3797302917</v>
      </c>
      <c r="O35" s="205">
        <f t="shared" ca="1" si="11"/>
        <v>7602020.415661186</v>
      </c>
      <c r="P35" s="205">
        <f t="shared" ca="1" si="11"/>
        <v>9968714.1526951939</v>
      </c>
      <c r="Q35" s="205">
        <f t="shared" ca="1" si="11"/>
        <v>10215180.749388456</v>
      </c>
      <c r="R35" s="205">
        <f t="shared" ca="1" si="11"/>
        <v>10132532.922610715</v>
      </c>
      <c r="S35" s="205">
        <f t="shared" ca="1" si="11"/>
        <v>8496585.5374828577</v>
      </c>
      <c r="T35" s="205">
        <f t="shared" ca="1" si="11"/>
        <v>7127744.4109417945</v>
      </c>
      <c r="U35" s="205">
        <f t="shared" ca="1" si="11"/>
        <v>6052233.4723729491</v>
      </c>
      <c r="V35" s="205">
        <f t="shared" ca="1" si="11"/>
        <v>3906074.9076836854</v>
      </c>
      <c r="W35" s="205">
        <f t="shared" ca="1" si="11"/>
        <v>4082152.5757436231</v>
      </c>
      <c r="X35" s="205">
        <f t="shared" ca="1" si="11"/>
        <v>18845703.070329338</v>
      </c>
      <c r="Y35" s="205">
        <f t="shared" ca="1" si="11"/>
        <v>19628778.475455359</v>
      </c>
      <c r="Z35" s="205">
        <f t="shared" ca="1" si="11"/>
        <v>24901875.270860016</v>
      </c>
      <c r="AA35" s="205">
        <f t="shared" ca="1" si="11"/>
        <v>31478437.719643384</v>
      </c>
      <c r="AB35" s="205">
        <f t="shared" ca="1" si="11"/>
        <v>36945251.971906185</v>
      </c>
      <c r="AC35" s="205">
        <f t="shared" ca="1" si="11"/>
        <v>37473316.891958088</v>
      </c>
      <c r="AD35" s="205">
        <f t="shared" ca="1" si="11"/>
        <v>37236254.762379766</v>
      </c>
      <c r="AE35" s="205">
        <f t="shared" ca="1" si="11"/>
        <v>33398168.030424625</v>
      </c>
      <c r="AF35" s="205">
        <f t="shared" ca="1" si="11"/>
        <v>30184766.247083396</v>
      </c>
      <c r="AG35" s="205">
        <f t="shared" ca="1" si="11"/>
        <v>27657695.098526388</v>
      </c>
      <c r="AH35" s="205">
        <f t="shared" ca="1" si="11"/>
        <v>22657639.095268339</v>
      </c>
      <c r="AI35" s="205">
        <f t="shared" ca="1" si="11"/>
        <v>22024362.10926111</v>
      </c>
      <c r="AJ35" s="205">
        <f t="shared" ca="1" si="11"/>
        <v>26180184.704220504</v>
      </c>
      <c r="AK35" s="205">
        <f t="shared" ca="1" si="11"/>
        <v>27165753.294703722</v>
      </c>
      <c r="AL35" s="205">
        <f t="shared" ca="1" si="11"/>
        <v>33770207.546371669</v>
      </c>
      <c r="AM35" s="205">
        <f t="shared" ca="1" si="11"/>
        <v>42008353.769902498</v>
      </c>
      <c r="AN35" s="205">
        <f t="shared" ca="1" si="11"/>
        <v>48859623.702966124</v>
      </c>
      <c r="AO35" s="205">
        <f t="shared" ca="1" si="11"/>
        <v>49530122.723789424</v>
      </c>
      <c r="AP35" s="205">
        <f t="shared" ca="1" si="11"/>
        <v>49242757.319140851</v>
      </c>
      <c r="AQ35" s="205">
        <f t="shared" ca="1" si="11"/>
        <v>44445173.76202932</v>
      </c>
      <c r="AR35" s="205">
        <f t="shared" ca="1" si="11"/>
        <v>40428845.084206879</v>
      </c>
      <c r="AS35" s="205">
        <f t="shared" ca="1" si="11"/>
        <v>37270804.257743627</v>
      </c>
      <c r="AT35" s="205">
        <f t="shared" ca="1" si="11"/>
        <v>31013486.372029185</v>
      </c>
      <c r="AU35" s="9"/>
      <c r="AV35" s="9"/>
      <c r="AW35" s="9"/>
      <c r="AX35" s="9"/>
    </row>
    <row r="36" spans="1:62" ht="15.75" customHeight="1" outlineLevel="1" x14ac:dyDescent="0.3">
      <c r="A36" s="13"/>
      <c r="B36" s="13"/>
      <c r="C36" s="115"/>
      <c r="D36" s="206" t="s">
        <v>169</v>
      </c>
      <c r="E36" s="197" t="s">
        <v>63</v>
      </c>
      <c r="F36" s="206"/>
      <c r="G36" s="206"/>
      <c r="H36" s="206"/>
      <c r="I36" s="206"/>
      <c r="J36" s="49"/>
      <c r="K36" s="207">
        <f ca="1">K35</f>
        <v>-10375000</v>
      </c>
      <c r="L36" s="207">
        <f t="shared" ref="L36:AT36" ca="1" si="12">K36+L35</f>
        <v>-20750000</v>
      </c>
      <c r="M36" s="207">
        <f t="shared" ca="1" si="12"/>
        <v>-18261604.899737723</v>
      </c>
      <c r="N36" s="207">
        <f t="shared" ca="1" si="12"/>
        <v>-13498678.520007432</v>
      </c>
      <c r="O36" s="207">
        <f t="shared" ca="1" si="12"/>
        <v>-5896658.1043462455</v>
      </c>
      <c r="P36" s="207">
        <f t="shared" ca="1" si="12"/>
        <v>4072056.0483489484</v>
      </c>
      <c r="Q36" s="207">
        <f t="shared" ca="1" si="12"/>
        <v>14287236.797737405</v>
      </c>
      <c r="R36" s="207">
        <f t="shared" ca="1" si="12"/>
        <v>24419769.72034812</v>
      </c>
      <c r="S36" s="207">
        <f t="shared" ca="1" si="12"/>
        <v>32916355.257830977</v>
      </c>
      <c r="T36" s="207">
        <f t="shared" ca="1" si="12"/>
        <v>40044099.668772772</v>
      </c>
      <c r="U36" s="207">
        <f t="shared" ca="1" si="12"/>
        <v>46096333.141145721</v>
      </c>
      <c r="V36" s="207">
        <f t="shared" ca="1" si="12"/>
        <v>50002408.048829406</v>
      </c>
      <c r="W36" s="207">
        <f t="shared" ca="1" si="12"/>
        <v>54084560.62457303</v>
      </c>
      <c r="X36" s="207">
        <f t="shared" ca="1" si="12"/>
        <v>72930263.69490236</v>
      </c>
      <c r="Y36" s="207">
        <f t="shared" ca="1" si="12"/>
        <v>92559042.170357719</v>
      </c>
      <c r="Z36" s="207">
        <f t="shared" ca="1" si="12"/>
        <v>117460917.44121774</v>
      </c>
      <c r="AA36" s="207">
        <f t="shared" ca="1" si="12"/>
        <v>148939355.16086113</v>
      </c>
      <c r="AB36" s="207">
        <f t="shared" ca="1" si="12"/>
        <v>185884607.13276732</v>
      </c>
      <c r="AC36" s="207">
        <f t="shared" ca="1" si="12"/>
        <v>223357924.02472541</v>
      </c>
      <c r="AD36" s="207">
        <f t="shared" ca="1" si="12"/>
        <v>260594178.78710517</v>
      </c>
      <c r="AE36" s="207">
        <f t="shared" ca="1" si="12"/>
        <v>293992346.8175298</v>
      </c>
      <c r="AF36" s="207">
        <f t="shared" ca="1" si="12"/>
        <v>324177113.06461322</v>
      </c>
      <c r="AG36" s="207">
        <f t="shared" ca="1" si="12"/>
        <v>351834808.16313958</v>
      </c>
      <c r="AH36" s="207">
        <f t="shared" ca="1" si="12"/>
        <v>374492447.25840795</v>
      </c>
      <c r="AI36" s="207">
        <f t="shared" ca="1" si="12"/>
        <v>396516809.36766905</v>
      </c>
      <c r="AJ36" s="207">
        <f t="shared" ca="1" si="12"/>
        <v>422696994.07188952</v>
      </c>
      <c r="AK36" s="207">
        <f t="shared" ca="1" si="12"/>
        <v>449862747.36659324</v>
      </c>
      <c r="AL36" s="207">
        <f t="shared" ca="1" si="12"/>
        <v>483632954.91296494</v>
      </c>
      <c r="AM36" s="207">
        <f t="shared" ca="1" si="12"/>
        <v>525641308.68286741</v>
      </c>
      <c r="AN36" s="207">
        <f t="shared" ca="1" si="12"/>
        <v>574500932.3858335</v>
      </c>
      <c r="AO36" s="207">
        <f t="shared" ca="1" si="12"/>
        <v>624031055.10962296</v>
      </c>
      <c r="AP36" s="207">
        <f t="shared" ca="1" si="12"/>
        <v>673273812.42876387</v>
      </c>
      <c r="AQ36" s="207">
        <f t="shared" ca="1" si="12"/>
        <v>717718986.19079316</v>
      </c>
      <c r="AR36" s="207">
        <f t="shared" ca="1" si="12"/>
        <v>758147831.2750001</v>
      </c>
      <c r="AS36" s="207">
        <f t="shared" ca="1" si="12"/>
        <v>795418635.53274369</v>
      </c>
      <c r="AT36" s="207">
        <f t="shared" ca="1" si="12"/>
        <v>826432121.90477288</v>
      </c>
      <c r="AU36" s="9"/>
      <c r="AV36" s="9"/>
      <c r="AW36" s="9"/>
      <c r="AX36" s="9"/>
    </row>
    <row r="37" spans="1:62" ht="15.75" customHeight="1" outlineLevel="1" x14ac:dyDescent="0.55000000000000004">
      <c r="A37" s="13"/>
      <c r="B37" s="13"/>
      <c r="C37" s="13"/>
      <c r="D37" s="196" t="s">
        <v>31</v>
      </c>
      <c r="E37" s="197" t="s">
        <v>63</v>
      </c>
      <c r="F37" s="196"/>
      <c r="G37" s="196"/>
      <c r="H37" s="196"/>
      <c r="I37" s="196"/>
      <c r="J37" s="52"/>
      <c r="K37" s="208"/>
      <c r="L37" s="208">
        <f t="shared" ref="L37:AT37" ca="1" si="13">IF(AND(L36&gt;0,K36&lt;0),L36*$H$21,IF(L36&gt;0,L35*$H$21,0))*IF(L35&lt;0,0,1)</f>
        <v>0</v>
      </c>
      <c r="M37" s="208">
        <f t="shared" ca="1" si="13"/>
        <v>0</v>
      </c>
      <c r="N37" s="208">
        <f t="shared" ca="1" si="13"/>
        <v>0</v>
      </c>
      <c r="O37" s="208">
        <f t="shared" ca="1" si="13"/>
        <v>0</v>
      </c>
      <c r="P37" s="208">
        <f t="shared" ca="1" si="13"/>
        <v>814411.20966978977</v>
      </c>
      <c r="Q37" s="208">
        <f t="shared" ca="1" si="13"/>
        <v>2043036.1498776914</v>
      </c>
      <c r="R37" s="208">
        <f t="shared" ca="1" si="13"/>
        <v>2026506.584522143</v>
      </c>
      <c r="S37" s="208">
        <f t="shared" ca="1" si="13"/>
        <v>1699317.1074965717</v>
      </c>
      <c r="T37" s="208">
        <f t="shared" ca="1" si="13"/>
        <v>1425548.882188359</v>
      </c>
      <c r="U37" s="208">
        <f t="shared" ca="1" si="13"/>
        <v>1210446.6944745898</v>
      </c>
      <c r="V37" s="208">
        <f t="shared" ca="1" si="13"/>
        <v>781214.98153673718</v>
      </c>
      <c r="W37" s="208">
        <f t="shared" ca="1" si="13"/>
        <v>816430.51514872466</v>
      </c>
      <c r="X37" s="208">
        <f t="shared" ca="1" si="13"/>
        <v>3769140.6140658678</v>
      </c>
      <c r="Y37" s="208">
        <f t="shared" ca="1" si="13"/>
        <v>3925755.695091072</v>
      </c>
      <c r="Z37" s="208">
        <f t="shared" ca="1" si="13"/>
        <v>4980375.0541720036</v>
      </c>
      <c r="AA37" s="208">
        <f t="shared" ca="1" si="13"/>
        <v>6295687.5439286772</v>
      </c>
      <c r="AB37" s="208">
        <f t="shared" ca="1" si="13"/>
        <v>7389050.3943812372</v>
      </c>
      <c r="AC37" s="208">
        <f t="shared" ca="1" si="13"/>
        <v>7494663.3783916179</v>
      </c>
      <c r="AD37" s="208">
        <f t="shared" ca="1" si="13"/>
        <v>7447250.9524759538</v>
      </c>
      <c r="AE37" s="208">
        <f t="shared" ca="1" si="13"/>
        <v>6679633.6060849251</v>
      </c>
      <c r="AF37" s="208">
        <f t="shared" ca="1" si="13"/>
        <v>6036953.2494166791</v>
      </c>
      <c r="AG37" s="208">
        <f t="shared" ca="1" si="13"/>
        <v>5531539.0197052779</v>
      </c>
      <c r="AH37" s="208">
        <f t="shared" ca="1" si="13"/>
        <v>4531527.8190536676</v>
      </c>
      <c r="AI37" s="208">
        <f t="shared" ca="1" si="13"/>
        <v>4404872.4218522226</v>
      </c>
      <c r="AJ37" s="208">
        <f t="shared" ca="1" si="13"/>
        <v>5236036.9408441009</v>
      </c>
      <c r="AK37" s="208">
        <f t="shared" ca="1" si="13"/>
        <v>5433150.6589407446</v>
      </c>
      <c r="AL37" s="208">
        <f t="shared" ca="1" si="13"/>
        <v>6754041.5092743337</v>
      </c>
      <c r="AM37" s="208">
        <f t="shared" ca="1" si="13"/>
        <v>8401670.7539805006</v>
      </c>
      <c r="AN37" s="208">
        <f t="shared" ca="1" si="13"/>
        <v>9771924.7405932248</v>
      </c>
      <c r="AO37" s="208">
        <f t="shared" ca="1" si="13"/>
        <v>9906024.5447578859</v>
      </c>
      <c r="AP37" s="208">
        <f t="shared" ca="1" si="13"/>
        <v>9848551.4638281707</v>
      </c>
      <c r="AQ37" s="208">
        <f t="shared" ca="1" si="13"/>
        <v>8889034.7524058651</v>
      </c>
      <c r="AR37" s="208">
        <f t="shared" ca="1" si="13"/>
        <v>8085769.0168413762</v>
      </c>
      <c r="AS37" s="208">
        <f t="shared" ca="1" si="13"/>
        <v>7454160.8515487257</v>
      </c>
      <c r="AT37" s="208">
        <f t="shared" ca="1" si="13"/>
        <v>6202697.2744058371</v>
      </c>
      <c r="AU37" s="36"/>
      <c r="AV37" s="36"/>
      <c r="AW37" s="36"/>
      <c r="AX37" s="36"/>
    </row>
    <row r="38" spans="1:62" s="419" customFormat="1" ht="15.75" customHeight="1" outlineLevel="1" x14ac:dyDescent="0.3">
      <c r="A38" s="13"/>
      <c r="B38" s="233"/>
      <c r="C38" s="233"/>
      <c r="D38" s="471"/>
      <c r="E38" s="471"/>
      <c r="F38" s="471"/>
      <c r="G38" s="471"/>
      <c r="H38" s="471"/>
      <c r="I38" s="471"/>
      <c r="J38" s="52"/>
      <c r="K38" s="472"/>
      <c r="L38" s="472"/>
      <c r="M38" s="473"/>
      <c r="N38" s="473"/>
      <c r="O38" s="218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  <c r="AL38" s="473"/>
      <c r="AM38" s="473"/>
      <c r="AN38" s="473"/>
      <c r="AO38" s="473"/>
      <c r="AP38" s="473"/>
      <c r="AQ38" s="473"/>
      <c r="AR38" s="473"/>
      <c r="AS38" s="473"/>
      <c r="AT38" s="473"/>
      <c r="AU38" s="473"/>
      <c r="AV38" s="473"/>
      <c r="AW38" s="473"/>
      <c r="AX38" s="473"/>
    </row>
    <row r="39" spans="1:62" s="476" customFormat="1" ht="15.75" customHeight="1" outlineLevel="1" thickBot="1" x14ac:dyDescent="0.35">
      <c r="A39" s="13"/>
      <c r="B39" s="474"/>
      <c r="C39" s="475" t="s">
        <v>172</v>
      </c>
      <c r="E39" s="475"/>
      <c r="F39" s="475"/>
      <c r="G39" s="475"/>
      <c r="H39" s="475"/>
      <c r="I39" s="475"/>
      <c r="J39" s="41"/>
      <c r="K39" s="477">
        <f t="shared" ref="K39:AT39" ca="1" si="14">K35-K37</f>
        <v>-10375000</v>
      </c>
      <c r="L39" s="477">
        <f t="shared" ca="1" si="14"/>
        <v>-10375000</v>
      </c>
      <c r="M39" s="477">
        <f t="shared" ca="1" si="14"/>
        <v>2488395.1002622768</v>
      </c>
      <c r="N39" s="477">
        <f t="shared" ca="1" si="14"/>
        <v>4762926.3797302917</v>
      </c>
      <c r="O39" s="477">
        <f t="shared" ca="1" si="14"/>
        <v>7602020.415661186</v>
      </c>
      <c r="P39" s="477">
        <f t="shared" ca="1" si="14"/>
        <v>9154302.9430254046</v>
      </c>
      <c r="Q39" s="477">
        <f t="shared" ca="1" si="14"/>
        <v>8172144.5995107647</v>
      </c>
      <c r="R39" s="477">
        <f t="shared" ca="1" si="14"/>
        <v>8106026.338088572</v>
      </c>
      <c r="S39" s="477">
        <f t="shared" ca="1" si="14"/>
        <v>6797268.429986286</v>
      </c>
      <c r="T39" s="477">
        <f t="shared" ca="1" si="14"/>
        <v>5702195.5287534352</v>
      </c>
      <c r="U39" s="477">
        <f t="shared" ca="1" si="14"/>
        <v>4841786.7778983591</v>
      </c>
      <c r="V39" s="477">
        <f t="shared" ca="1" si="14"/>
        <v>3124859.9261469482</v>
      </c>
      <c r="W39" s="477">
        <f t="shared" ca="1" si="14"/>
        <v>3265722.0605948986</v>
      </c>
      <c r="X39" s="477">
        <f t="shared" ca="1" si="14"/>
        <v>15076562.456263471</v>
      </c>
      <c r="Y39" s="477">
        <f t="shared" ca="1" si="14"/>
        <v>15703022.780364286</v>
      </c>
      <c r="Z39" s="477">
        <f t="shared" ca="1" si="14"/>
        <v>19921500.216688015</v>
      </c>
      <c r="AA39" s="477">
        <f t="shared" ca="1" si="14"/>
        <v>25182750.175714709</v>
      </c>
      <c r="AB39" s="477">
        <f t="shared" ca="1" si="14"/>
        <v>29556201.577524949</v>
      </c>
      <c r="AC39" s="477">
        <f t="shared" ca="1" si="14"/>
        <v>29978653.513566472</v>
      </c>
      <c r="AD39" s="477">
        <f t="shared" ca="1" si="14"/>
        <v>29789003.809903812</v>
      </c>
      <c r="AE39" s="477">
        <f t="shared" ca="1" si="14"/>
        <v>26718534.4243397</v>
      </c>
      <c r="AF39" s="477">
        <f t="shared" ca="1" si="14"/>
        <v>24147812.997666717</v>
      </c>
      <c r="AG39" s="477">
        <f t="shared" ca="1" si="14"/>
        <v>22126156.078821111</v>
      </c>
      <c r="AH39" s="477">
        <f t="shared" ca="1" si="14"/>
        <v>18126111.27621467</v>
      </c>
      <c r="AI39" s="477">
        <f t="shared" ca="1" si="14"/>
        <v>17619489.687408887</v>
      </c>
      <c r="AJ39" s="477">
        <f t="shared" ca="1" si="14"/>
        <v>20944147.763376404</v>
      </c>
      <c r="AK39" s="477">
        <f t="shared" ca="1" si="14"/>
        <v>21732602.635762978</v>
      </c>
      <c r="AL39" s="477">
        <f t="shared" ca="1" si="14"/>
        <v>27016166.037097335</v>
      </c>
      <c r="AM39" s="477">
        <f t="shared" ca="1" si="14"/>
        <v>33606683.015921995</v>
      </c>
      <c r="AN39" s="477">
        <f t="shared" ca="1" si="14"/>
        <v>39087698.962372899</v>
      </c>
      <c r="AO39" s="477">
        <f t="shared" ca="1" si="14"/>
        <v>39624098.179031536</v>
      </c>
      <c r="AP39" s="477">
        <f t="shared" ca="1" si="14"/>
        <v>39394205.855312683</v>
      </c>
      <c r="AQ39" s="477">
        <f t="shared" ca="1" si="14"/>
        <v>35556139.009623453</v>
      </c>
      <c r="AR39" s="477">
        <f t="shared" ca="1" si="14"/>
        <v>32343076.067365505</v>
      </c>
      <c r="AS39" s="477">
        <f t="shared" ca="1" si="14"/>
        <v>29816643.406194903</v>
      </c>
      <c r="AT39" s="477">
        <f t="shared" ca="1" si="14"/>
        <v>24810789.097623348</v>
      </c>
      <c r="AU39" s="478"/>
      <c r="AV39" s="478"/>
      <c r="AW39" s="478"/>
      <c r="AX39" s="478"/>
    </row>
    <row r="40" spans="1:62" ht="15.75" customHeight="1" thickTop="1" x14ac:dyDescent="0.3">
      <c r="A40" s="13"/>
      <c r="B40" s="13"/>
      <c r="C40" s="175"/>
      <c r="D40" s="209"/>
      <c r="E40" s="209"/>
      <c r="F40" s="209"/>
      <c r="G40" s="209"/>
      <c r="H40" s="209"/>
      <c r="I40" s="209"/>
      <c r="J40" s="64"/>
      <c r="K40" s="210"/>
      <c r="L40" s="210"/>
      <c r="M40" s="45"/>
      <c r="N40" s="4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9"/>
      <c r="AV40" s="9"/>
      <c r="AW40" s="9"/>
      <c r="AX40" s="9"/>
    </row>
    <row r="41" spans="1:62" ht="15.75" customHeight="1" x14ac:dyDescent="0.3">
      <c r="A41" s="13"/>
      <c r="B41" s="13"/>
      <c r="C41" s="13"/>
      <c r="D41" s="104" t="s">
        <v>315</v>
      </c>
      <c r="E41" s="105"/>
      <c r="F41" s="105"/>
      <c r="G41" s="106"/>
      <c r="H41" s="105"/>
      <c r="I41" s="105"/>
      <c r="J41" s="41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60"/>
      <c r="AW41" s="160"/>
      <c r="AX41" s="160"/>
      <c r="AY41" s="160"/>
    </row>
    <row r="42" spans="1:62" s="344" customFormat="1" ht="15.75" customHeight="1" outlineLevel="1" x14ac:dyDescent="0.3">
      <c r="A42" s="453"/>
      <c r="B42" s="453"/>
      <c r="C42" s="453"/>
      <c r="D42" s="491"/>
      <c r="E42" s="492"/>
      <c r="F42" s="492"/>
      <c r="G42" s="493"/>
      <c r="H42" s="492"/>
      <c r="I42" s="492"/>
      <c r="J42" s="494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  <c r="Y42" s="495"/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495"/>
      <c r="AN42" s="495"/>
      <c r="AO42" s="495"/>
      <c r="AP42" s="495"/>
      <c r="AQ42" s="495"/>
      <c r="AR42" s="495"/>
      <c r="AS42" s="495"/>
      <c r="AT42" s="495"/>
      <c r="AU42" s="495"/>
      <c r="AV42" s="496"/>
      <c r="AW42" s="496"/>
      <c r="AX42" s="496"/>
      <c r="AY42" s="496"/>
    </row>
    <row r="43" spans="1:62" s="429" customFormat="1" ht="15.75" customHeight="1" outlineLevel="1" x14ac:dyDescent="0.3">
      <c r="A43" s="13"/>
      <c r="B43" s="406"/>
      <c r="C43" s="422" t="s">
        <v>153</v>
      </c>
      <c r="E43" s="423"/>
      <c r="F43" s="424"/>
      <c r="G43" s="425"/>
      <c r="H43" s="423"/>
      <c r="I43" s="423"/>
      <c r="J43" s="47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Z43" s="426"/>
      <c r="AA43" s="426"/>
      <c r="AB43" s="426"/>
      <c r="AC43" s="426"/>
      <c r="AD43" s="426"/>
      <c r="AE43" s="426"/>
      <c r="AF43" s="426"/>
      <c r="AG43" s="426"/>
      <c r="AH43" s="426"/>
      <c r="AI43" s="426"/>
      <c r="AJ43" s="426"/>
      <c r="AK43" s="426"/>
      <c r="AL43" s="426"/>
      <c r="AM43" s="426"/>
      <c r="AN43" s="426"/>
      <c r="AO43" s="426"/>
      <c r="AP43" s="426"/>
      <c r="AQ43" s="426"/>
      <c r="AR43" s="426"/>
      <c r="AS43" s="426"/>
      <c r="AT43" s="426"/>
      <c r="AU43" s="427"/>
      <c r="AV43" s="427"/>
      <c r="AW43" s="427"/>
      <c r="AX43" s="427"/>
      <c r="AY43" s="428"/>
      <c r="AZ43" s="428"/>
      <c r="BA43" s="428"/>
      <c r="BB43" s="428"/>
      <c r="BC43" s="428"/>
      <c r="BD43" s="428"/>
      <c r="BE43" s="428"/>
      <c r="BF43" s="428"/>
      <c r="BG43" s="428"/>
      <c r="BH43" s="428"/>
      <c r="BI43" s="428"/>
      <c r="BJ43" s="428"/>
    </row>
    <row r="44" spans="1:62" s="459" customFormat="1" ht="15.75" customHeight="1" outlineLevel="1" x14ac:dyDescent="0.3">
      <c r="A44" s="453"/>
      <c r="B44" s="453"/>
      <c r="C44" s="467" t="s">
        <v>154</v>
      </c>
      <c r="E44" s="468" t="s">
        <v>63</v>
      </c>
      <c r="F44" s="37" t="s">
        <v>384</v>
      </c>
      <c r="G44" s="470"/>
      <c r="H44" s="469"/>
      <c r="I44" s="469"/>
      <c r="J44" s="49"/>
      <c r="K44" s="430">
        <f ca="1" xml:space="preserve"> K27</f>
        <v>0</v>
      </c>
      <c r="L44" s="430">
        <f t="shared" ref="L44:AT44" ca="1" si="15" xml:space="preserve"> L27</f>
        <v>0</v>
      </c>
      <c r="M44" s="430">
        <f t="shared" ca="1" si="15"/>
        <v>67844097.097135231</v>
      </c>
      <c r="N44" s="430">
        <f t="shared" ca="1" si="15"/>
        <v>79840426.197805792</v>
      </c>
      <c r="O44" s="430">
        <f t="shared" ca="1" si="15"/>
        <v>94814371.251990214</v>
      </c>
      <c r="P44" s="430">
        <f t="shared" ca="1" si="15"/>
        <v>107296783.43345568</v>
      </c>
      <c r="Q44" s="430">
        <f t="shared" ca="1" si="15"/>
        <v>108596697.14884156</v>
      </c>
      <c r="R44" s="430">
        <f t="shared" ca="1" si="15"/>
        <v>108160796.11796497</v>
      </c>
      <c r="S44" s="430">
        <f t="shared" ca="1" si="15"/>
        <v>99532485.133397937</v>
      </c>
      <c r="T44" s="430">
        <f t="shared" ca="1" si="15"/>
        <v>92312945.534733966</v>
      </c>
      <c r="U44" s="430">
        <f t="shared" ca="1" si="15"/>
        <v>86640487.526831448</v>
      </c>
      <c r="V44" s="430">
        <f t="shared" ca="1" si="15"/>
        <v>75321221.585473746</v>
      </c>
      <c r="W44" s="430">
        <f t="shared" ca="1" si="15"/>
        <v>73478476.76724872</v>
      </c>
      <c r="X44" s="430">
        <f t="shared" ca="1" si="15"/>
        <v>148514220.93160212</v>
      </c>
      <c r="Y44" s="430">
        <f t="shared" ca="1" si="15"/>
        <v>152494201.61321253</v>
      </c>
      <c r="Z44" s="430">
        <f t="shared" ca="1" si="15"/>
        <v>179294715.63854539</v>
      </c>
      <c r="AA44" s="430">
        <f t="shared" ca="1" si="15"/>
        <v>212720093.73907596</v>
      </c>
      <c r="AB44" s="430">
        <f t="shared" ca="1" si="15"/>
        <v>240505176.72282478</v>
      </c>
      <c r="AC44" s="430">
        <f t="shared" ca="1" si="15"/>
        <v>243189066.63519472</v>
      </c>
      <c r="AD44" s="430">
        <f t="shared" ca="1" si="15"/>
        <v>241984198.38127315</v>
      </c>
      <c r="AE44" s="430">
        <f t="shared" ca="1" si="15"/>
        <v>222477122.88441333</v>
      </c>
      <c r="AF44" s="430">
        <f t="shared" ca="1" si="15"/>
        <v>206145008.58707714</v>
      </c>
      <c r="AG44" s="430">
        <f t="shared" ca="1" si="15"/>
        <v>193301169.68411246</v>
      </c>
      <c r="AH44" s="430">
        <f t="shared" ca="1" si="15"/>
        <v>167888385.46222082</v>
      </c>
      <c r="AI44" s="430">
        <f t="shared" ca="1" si="15"/>
        <v>163806885.67564139</v>
      </c>
      <c r="AJ44" s="430">
        <f t="shared" ca="1" si="15"/>
        <v>184818174.55241126</v>
      </c>
      <c r="AK44" s="430">
        <f t="shared" ca="1" si="15"/>
        <v>189801078.87263688</v>
      </c>
      <c r="AL44" s="430">
        <f t="shared" ca="1" si="15"/>
        <v>223192325.24670473</v>
      </c>
      <c r="AM44" s="430">
        <f t="shared" ca="1" si="15"/>
        <v>264843301.95625529</v>
      </c>
      <c r="AN44" s="430">
        <f t="shared" ca="1" si="15"/>
        <v>299482415.74107623</v>
      </c>
      <c r="AO44" s="430">
        <f t="shared" ca="1" si="15"/>
        <v>302872370.02718979</v>
      </c>
      <c r="AP44" s="430">
        <f t="shared" ca="1" si="15"/>
        <v>301419488.58379418</v>
      </c>
      <c r="AQ44" s="430">
        <f t="shared" ca="1" si="15"/>
        <v>277163541.24110037</v>
      </c>
      <c r="AR44" s="430">
        <f t="shared" ca="1" si="15"/>
        <v>256857515.14264822</v>
      </c>
      <c r="AS44" s="430">
        <f t="shared" ca="1" si="15"/>
        <v>240890878.79731059</v>
      </c>
      <c r="AT44" s="430">
        <f t="shared" ca="1" si="15"/>
        <v>209254707.93429276</v>
      </c>
      <c r="AU44" s="467"/>
      <c r="AV44" s="467"/>
      <c r="AW44" s="467"/>
      <c r="AX44" s="467"/>
    </row>
    <row r="45" spans="1:62" s="459" customFormat="1" ht="15.75" customHeight="1" outlineLevel="1" x14ac:dyDescent="0.3">
      <c r="A45" s="453"/>
      <c r="B45" s="453"/>
      <c r="C45" s="467" t="s">
        <v>155</v>
      </c>
      <c r="E45" s="468"/>
      <c r="F45" s="37"/>
      <c r="G45" s="470"/>
      <c r="H45" s="469"/>
      <c r="I45" s="469"/>
      <c r="J45" s="52"/>
      <c r="K45" s="430">
        <f t="shared" ref="K45:AT45" ca="1" si="16" xml:space="preserve"> K28</f>
        <v>0</v>
      </c>
      <c r="L45" s="430">
        <f t="shared" ca="1" si="16"/>
        <v>0</v>
      </c>
      <c r="M45" s="430">
        <f t="shared" ca="1" si="16"/>
        <v>54980701.996872954</v>
      </c>
      <c r="N45" s="430">
        <f t="shared" ca="1" si="16"/>
        <v>64702499.8180755</v>
      </c>
      <c r="O45" s="430">
        <f t="shared" ca="1" si="16"/>
        <v>76837350.836329028</v>
      </c>
      <c r="P45" s="430">
        <f t="shared" ca="1" si="16"/>
        <v>86953069.280760482</v>
      </c>
      <c r="Q45" s="430">
        <f t="shared" ca="1" si="16"/>
        <v>88006516.399453104</v>
      </c>
      <c r="R45" s="430">
        <f t="shared" ca="1" si="16"/>
        <v>87653263.195354253</v>
      </c>
      <c r="S45" s="430">
        <f t="shared" ca="1" si="16"/>
        <v>80660899.595915079</v>
      </c>
      <c r="T45" s="430">
        <f t="shared" ca="1" si="16"/>
        <v>74810201.123792171</v>
      </c>
      <c r="U45" s="430">
        <f t="shared" ca="1" si="16"/>
        <v>70213254.054458499</v>
      </c>
      <c r="V45" s="430">
        <f t="shared" ca="1" si="16"/>
        <v>61040146.677790061</v>
      </c>
      <c r="W45" s="430">
        <f t="shared" ca="1" si="16"/>
        <v>59021324.191505097</v>
      </c>
      <c r="X45" s="430">
        <f t="shared" ca="1" si="16"/>
        <v>119293517.86127278</v>
      </c>
      <c r="Y45" s="430">
        <f t="shared" ca="1" si="16"/>
        <v>122490423.13775717</v>
      </c>
      <c r="Z45" s="430">
        <f t="shared" ca="1" si="16"/>
        <v>144017840.36768538</v>
      </c>
      <c r="AA45" s="430">
        <f t="shared" ca="1" si="16"/>
        <v>170866656.01943257</v>
      </c>
      <c r="AB45" s="430">
        <f t="shared" ca="1" si="16"/>
        <v>193184924.7509186</v>
      </c>
      <c r="AC45" s="430">
        <f t="shared" ca="1" si="16"/>
        <v>195340749.74323663</v>
      </c>
      <c r="AD45" s="430">
        <f t="shared" ca="1" si="16"/>
        <v>194372943.61889338</v>
      </c>
      <c r="AE45" s="430">
        <f t="shared" ca="1" si="16"/>
        <v>178703954.85398871</v>
      </c>
      <c r="AF45" s="430">
        <f t="shared" ca="1" si="16"/>
        <v>165585242.33999375</v>
      </c>
      <c r="AG45" s="430">
        <f t="shared" ca="1" si="16"/>
        <v>155268474.58558607</v>
      </c>
      <c r="AH45" s="430">
        <f t="shared" ca="1" si="16"/>
        <v>134855746.36695248</v>
      </c>
      <c r="AI45" s="430">
        <f t="shared" ca="1" si="16"/>
        <v>131407523.56638028</v>
      </c>
      <c r="AJ45" s="430">
        <f t="shared" ca="1" si="16"/>
        <v>148262989.84819075</v>
      </c>
      <c r="AK45" s="430">
        <f t="shared" ca="1" si="16"/>
        <v>152260325.57793316</v>
      </c>
      <c r="AL45" s="430">
        <f t="shared" ca="1" si="16"/>
        <v>179047117.70033306</v>
      </c>
      <c r="AM45" s="430">
        <f t="shared" ca="1" si="16"/>
        <v>212459948.18635279</v>
      </c>
      <c r="AN45" s="430">
        <f t="shared" ca="1" si="16"/>
        <v>240247792.03811011</v>
      </c>
      <c r="AO45" s="430">
        <f t="shared" ca="1" si="16"/>
        <v>242967247.30340037</v>
      </c>
      <c r="AP45" s="430">
        <f t="shared" ca="1" si="16"/>
        <v>241801731.26465333</v>
      </c>
      <c r="AQ45" s="430">
        <f t="shared" ca="1" si="16"/>
        <v>222343367.47907105</v>
      </c>
      <c r="AR45" s="430">
        <f t="shared" ca="1" si="16"/>
        <v>206053670.05844134</v>
      </c>
      <c r="AS45" s="430">
        <f t="shared" ca="1" si="16"/>
        <v>193245074.53956696</v>
      </c>
      <c r="AT45" s="430">
        <f t="shared" ca="1" si="16"/>
        <v>167866221.56226358</v>
      </c>
      <c r="AU45" s="467"/>
      <c r="AV45" s="467"/>
      <c r="AW45" s="467"/>
      <c r="AX45" s="467"/>
    </row>
    <row r="46" spans="1:62" ht="15.75" customHeight="1" outlineLevel="1" x14ac:dyDescent="0.3">
      <c r="A46" s="13"/>
      <c r="B46" s="13"/>
      <c r="C46" s="13"/>
      <c r="D46" s="6" t="s">
        <v>156</v>
      </c>
      <c r="E46" s="7" t="s">
        <v>63</v>
      </c>
      <c r="F46" s="37" t="s">
        <v>384</v>
      </c>
      <c r="G46" s="40"/>
      <c r="H46" s="69"/>
      <c r="I46" s="69"/>
      <c r="J46" s="52"/>
      <c r="K46" s="36">
        <f t="shared" ref="K46:AT46" ca="1" si="17" xml:space="preserve"> K29</f>
        <v>0</v>
      </c>
      <c r="L46" s="36">
        <f t="shared" ca="1" si="17"/>
        <v>0</v>
      </c>
      <c r="M46" s="36">
        <f t="shared" ca="1" si="17"/>
        <v>38019677.722589143</v>
      </c>
      <c r="N46" s="36">
        <f t="shared" ca="1" si="17"/>
        <v>44742393.268624052</v>
      </c>
      <c r="O46" s="36">
        <f t="shared" ca="1" si="17"/>
        <v>53133758.023331478</v>
      </c>
      <c r="P46" s="36">
        <f t="shared" ca="1" si="17"/>
        <v>60128873.42239657</v>
      </c>
      <c r="Q46" s="36">
        <f t="shared" ca="1" si="17"/>
        <v>60857342.112242706</v>
      </c>
      <c r="R46" s="36">
        <f t="shared" ca="1" si="17"/>
        <v>60613064.165863015</v>
      </c>
      <c r="S46" s="36">
        <f t="shared" ca="1" si="17"/>
        <v>55777778.312565602</v>
      </c>
      <c r="T46" s="36">
        <f t="shared" ca="1" si="17"/>
        <v>51731964.740108676</v>
      </c>
      <c r="U46" s="36">
        <f t="shared" ca="1" si="17"/>
        <v>48553132.172750644</v>
      </c>
      <c r="V46" s="36">
        <f t="shared" ca="1" si="17"/>
        <v>42209841.281421624</v>
      </c>
      <c r="W46" s="36">
        <f t="shared" ca="1" si="17"/>
        <v>40651704.999692917</v>
      </c>
      <c r="X46" s="36">
        <f t="shared" ca="1" si="17"/>
        <v>82164962.628372252</v>
      </c>
      <c r="Y46" s="36">
        <f t="shared" ca="1" si="17"/>
        <v>84366872.734454036</v>
      </c>
      <c r="Z46" s="36">
        <f t="shared" ca="1" si="17"/>
        <v>99194161.458049029</v>
      </c>
      <c r="AA46" s="36">
        <f t="shared" ca="1" si="17"/>
        <v>117686632.58466358</v>
      </c>
      <c r="AB46" s="36">
        <f t="shared" ca="1" si="17"/>
        <v>133058630.57021241</v>
      </c>
      <c r="AC46" s="36">
        <f t="shared" ca="1" si="17"/>
        <v>134543483.08443797</v>
      </c>
      <c r="AD46" s="36">
        <f t="shared" ca="1" si="17"/>
        <v>133876894.0235751</v>
      </c>
      <c r="AE46" s="36">
        <f t="shared" ca="1" si="17"/>
        <v>123084674.13288537</v>
      </c>
      <c r="AF46" s="36">
        <f t="shared" ca="1" si="17"/>
        <v>114048990.19322446</v>
      </c>
      <c r="AG46" s="36">
        <f t="shared" ca="1" si="17"/>
        <v>106943182.16455796</v>
      </c>
      <c r="AH46" s="36">
        <f t="shared" ca="1" si="17"/>
        <v>92883650.001397267</v>
      </c>
      <c r="AI46" s="36">
        <f t="shared" ca="1" si="17"/>
        <v>90455802.147469923</v>
      </c>
      <c r="AJ46" s="36">
        <f t="shared" ca="1" si="17"/>
        <v>102058446.21008794</v>
      </c>
      <c r="AK46" s="36">
        <f t="shared" ca="1" si="17"/>
        <v>104810055.85977393</v>
      </c>
      <c r="AL46" s="36">
        <f t="shared" ca="1" si="17"/>
        <v>123249036.38865685</v>
      </c>
      <c r="AM46" s="36">
        <f t="shared" ca="1" si="17"/>
        <v>146249122.69728899</v>
      </c>
      <c r="AN46" s="36">
        <f t="shared" ca="1" si="17"/>
        <v>165377188.10284105</v>
      </c>
      <c r="AO46" s="36">
        <f t="shared" ca="1" si="17"/>
        <v>167249154.7966029</v>
      </c>
      <c r="AP46" s="36">
        <f t="shared" ca="1" si="17"/>
        <v>166446859.11870477</v>
      </c>
      <c r="AQ46" s="36">
        <f t="shared" ca="1" si="17"/>
        <v>153052482.16879594</v>
      </c>
      <c r="AR46" s="36">
        <f t="shared" ca="1" si="17"/>
        <v>141839291.27277929</v>
      </c>
      <c r="AS46" s="36">
        <f t="shared" ca="1" si="17"/>
        <v>133022354.84023932</v>
      </c>
      <c r="AT46" s="36">
        <f t="shared" ca="1" si="17"/>
        <v>115552544.57869038</v>
      </c>
      <c r="AU46" s="6"/>
      <c r="AV46" s="6"/>
      <c r="AW46" s="6"/>
      <c r="AX46" s="6"/>
    </row>
    <row r="47" spans="1:62" ht="15.75" customHeight="1" outlineLevel="1" x14ac:dyDescent="0.3">
      <c r="A47" s="13"/>
      <c r="B47" s="13"/>
      <c r="C47" s="13"/>
      <c r="D47" s="6" t="s">
        <v>90</v>
      </c>
      <c r="E47" s="7" t="s">
        <v>63</v>
      </c>
      <c r="F47" s="69"/>
      <c r="G47" s="40"/>
      <c r="H47" s="69"/>
      <c r="I47" s="69"/>
      <c r="J47" s="52"/>
      <c r="K47" s="36">
        <f t="shared" ref="K47:AT47" ca="1" si="18" xml:space="preserve"> K30</f>
        <v>0</v>
      </c>
      <c r="L47" s="36">
        <f t="shared" ca="1" si="18"/>
        <v>0</v>
      </c>
      <c r="M47" s="36">
        <f t="shared" ca="1" si="18"/>
        <v>10176614.564570284</v>
      </c>
      <c r="N47" s="36">
        <f t="shared" ca="1" si="18"/>
        <v>11976063.929670868</v>
      </c>
      <c r="O47" s="36">
        <f t="shared" ca="1" si="18"/>
        <v>14222155.687798532</v>
      </c>
      <c r="P47" s="36">
        <f t="shared" ca="1" si="18"/>
        <v>16094517.515018351</v>
      </c>
      <c r="Q47" s="36">
        <f t="shared" ca="1" si="18"/>
        <v>16289504.572326234</v>
      </c>
      <c r="R47" s="36">
        <f t="shared" ca="1" si="18"/>
        <v>16224119.417694744</v>
      </c>
      <c r="S47" s="36">
        <f t="shared" ca="1" si="18"/>
        <v>14929872.770009691</v>
      </c>
      <c r="T47" s="36">
        <f t="shared" ca="1" si="18"/>
        <v>13846941.830210095</v>
      </c>
      <c r="U47" s="36">
        <f t="shared" ca="1" si="18"/>
        <v>12996073.129024716</v>
      </c>
      <c r="V47" s="36">
        <f t="shared" ca="1" si="18"/>
        <v>11298183.237821061</v>
      </c>
      <c r="W47" s="36">
        <f t="shared" ca="1" si="18"/>
        <v>11021771.515087308</v>
      </c>
      <c r="X47" s="36">
        <f t="shared" ca="1" si="18"/>
        <v>22277133.139740318</v>
      </c>
      <c r="Y47" s="36">
        <f t="shared" ca="1" si="18"/>
        <v>22874130.241981879</v>
      </c>
      <c r="Z47" s="36">
        <f t="shared" ca="1" si="18"/>
        <v>26894207.345781807</v>
      </c>
      <c r="AA47" s="36">
        <f t="shared" ca="1" si="18"/>
        <v>31908014.060861394</v>
      </c>
      <c r="AB47" s="36">
        <f t="shared" ca="1" si="18"/>
        <v>36075776.508423716</v>
      </c>
      <c r="AC47" s="36">
        <f t="shared" ca="1" si="18"/>
        <v>36478359.995279208</v>
      </c>
      <c r="AD47" s="36">
        <f t="shared" ca="1" si="18"/>
        <v>36297629.757190973</v>
      </c>
      <c r="AE47" s="36">
        <f t="shared" ca="1" si="18"/>
        <v>33371568.432661999</v>
      </c>
      <c r="AF47" s="36">
        <f t="shared" ca="1" si="18"/>
        <v>30921751.28806157</v>
      </c>
      <c r="AG47" s="36">
        <f t="shared" ca="1" si="18"/>
        <v>28995175.452616867</v>
      </c>
      <c r="AH47" s="36">
        <f t="shared" ca="1" si="18"/>
        <v>25183257.819333121</v>
      </c>
      <c r="AI47" s="36">
        <f t="shared" ca="1" si="18"/>
        <v>24571032.851346206</v>
      </c>
      <c r="AJ47" s="36">
        <f t="shared" ca="1" si="18"/>
        <v>27722726.182861689</v>
      </c>
      <c r="AK47" s="36">
        <f t="shared" ca="1" si="18"/>
        <v>28470161.830895532</v>
      </c>
      <c r="AL47" s="36">
        <f t="shared" ca="1" si="18"/>
        <v>33478848.787005708</v>
      </c>
      <c r="AM47" s="36">
        <f t="shared" ca="1" si="18"/>
        <v>39726495.293438293</v>
      </c>
      <c r="AN47" s="36">
        <f t="shared" ca="1" si="18"/>
        <v>44922362.361161433</v>
      </c>
      <c r="AO47" s="36">
        <f t="shared" ca="1" si="18"/>
        <v>45430855.50407847</v>
      </c>
      <c r="AP47" s="36">
        <f t="shared" ca="1" si="18"/>
        <v>45212923.287569128</v>
      </c>
      <c r="AQ47" s="36">
        <f t="shared" ca="1" si="18"/>
        <v>41574531.186165057</v>
      </c>
      <c r="AR47" s="36">
        <f t="shared" ca="1" si="18"/>
        <v>38528627.271397233</v>
      </c>
      <c r="AS47" s="36">
        <f t="shared" ca="1" si="18"/>
        <v>36133631.819596589</v>
      </c>
      <c r="AT47" s="36">
        <f t="shared" ca="1" si="18"/>
        <v>31388206.190143913</v>
      </c>
      <c r="AU47" s="6"/>
      <c r="AV47" s="6"/>
      <c r="AW47" s="6"/>
      <c r="AX47" s="6"/>
    </row>
    <row r="48" spans="1:62" ht="15.75" customHeight="1" outlineLevel="1" x14ac:dyDescent="0.3">
      <c r="A48" s="13"/>
      <c r="B48" s="13"/>
      <c r="C48" s="13"/>
      <c r="D48" s="6" t="s">
        <v>95</v>
      </c>
      <c r="E48" s="7" t="s">
        <v>63</v>
      </c>
      <c r="F48" s="69"/>
      <c r="G48" s="40"/>
      <c r="H48" s="69"/>
      <c r="I48" s="69"/>
      <c r="J48" s="7"/>
      <c r="K48" s="36">
        <f t="shared" ref="K48:AT48" ca="1" si="19" xml:space="preserve"> K31</f>
        <v>0</v>
      </c>
      <c r="L48" s="36">
        <f t="shared" ca="1" si="19"/>
        <v>0</v>
      </c>
      <c r="M48" s="36">
        <f t="shared" ca="1" si="19"/>
        <v>6784409.7097135233</v>
      </c>
      <c r="N48" s="36">
        <f t="shared" ca="1" si="19"/>
        <v>7984042.6197805796</v>
      </c>
      <c r="O48" s="36">
        <f t="shared" ca="1" si="19"/>
        <v>9481437.1251990218</v>
      </c>
      <c r="P48" s="36">
        <f t="shared" ca="1" si="19"/>
        <v>10729678.343345568</v>
      </c>
      <c r="Q48" s="36">
        <f t="shared" ca="1" si="19"/>
        <v>10859669.714884156</v>
      </c>
      <c r="R48" s="36">
        <f t="shared" ca="1" si="19"/>
        <v>10816079.611796498</v>
      </c>
      <c r="S48" s="36">
        <f t="shared" ca="1" si="19"/>
        <v>9953248.5133397933</v>
      </c>
      <c r="T48" s="36">
        <f t="shared" ca="1" si="19"/>
        <v>9231294.5534733962</v>
      </c>
      <c r="U48" s="36">
        <f t="shared" ca="1" si="19"/>
        <v>8664048.7526831459</v>
      </c>
      <c r="V48" s="36">
        <f t="shared" ca="1" si="19"/>
        <v>7532122.1585473754</v>
      </c>
      <c r="W48" s="36">
        <f t="shared" ca="1" si="19"/>
        <v>7347847.6767248726</v>
      </c>
      <c r="X48" s="36">
        <f t="shared" ca="1" si="19"/>
        <v>14851422.093160212</v>
      </c>
      <c r="Y48" s="36">
        <f t="shared" ca="1" si="19"/>
        <v>15249420.161321253</v>
      </c>
      <c r="Z48" s="36">
        <f t="shared" ca="1" si="19"/>
        <v>17929471.563854542</v>
      </c>
      <c r="AA48" s="36">
        <f t="shared" ca="1" si="19"/>
        <v>21272009.373907596</v>
      </c>
      <c r="AB48" s="36">
        <f t="shared" ca="1" si="19"/>
        <v>24050517.67228248</v>
      </c>
      <c r="AC48" s="36">
        <f t="shared" ca="1" si="19"/>
        <v>24318906.663519472</v>
      </c>
      <c r="AD48" s="36">
        <f t="shared" ca="1" si="19"/>
        <v>24198419.838127315</v>
      </c>
      <c r="AE48" s="36">
        <f t="shared" ca="1" si="19"/>
        <v>22247712.288441334</v>
      </c>
      <c r="AF48" s="36">
        <f t="shared" ca="1" si="19"/>
        <v>20614500.858707715</v>
      </c>
      <c r="AG48" s="36">
        <f t="shared" ca="1" si="19"/>
        <v>19330116.968411248</v>
      </c>
      <c r="AH48" s="36">
        <f t="shared" ca="1" si="19"/>
        <v>16788838.546222083</v>
      </c>
      <c r="AI48" s="36">
        <f t="shared" ca="1" si="19"/>
        <v>16380688.567564139</v>
      </c>
      <c r="AJ48" s="36">
        <f t="shared" ca="1" si="19"/>
        <v>18481817.455241125</v>
      </c>
      <c r="AK48" s="36">
        <f t="shared" ca="1" si="19"/>
        <v>18980107.887263689</v>
      </c>
      <c r="AL48" s="36">
        <f t="shared" ca="1" si="19"/>
        <v>22319232.524670474</v>
      </c>
      <c r="AM48" s="36">
        <f t="shared" ca="1" si="19"/>
        <v>26484330.195625529</v>
      </c>
      <c r="AN48" s="36">
        <f t="shared" ca="1" si="19"/>
        <v>29948241.574107625</v>
      </c>
      <c r="AO48" s="36">
        <f t="shared" ca="1" si="19"/>
        <v>30287237.002718981</v>
      </c>
      <c r="AP48" s="36">
        <f t="shared" ca="1" si="19"/>
        <v>30141948.85837942</v>
      </c>
      <c r="AQ48" s="36">
        <f t="shared" ca="1" si="19"/>
        <v>27716354.124110039</v>
      </c>
      <c r="AR48" s="36">
        <f t="shared" ca="1" si="19"/>
        <v>25685751.514264822</v>
      </c>
      <c r="AS48" s="36">
        <f t="shared" ca="1" si="19"/>
        <v>24089087.879731059</v>
      </c>
      <c r="AT48" s="36">
        <f t="shared" ca="1" si="19"/>
        <v>20925470.793429278</v>
      </c>
      <c r="AU48" s="6"/>
      <c r="AV48" s="6"/>
      <c r="AW48" s="6"/>
      <c r="AX48" s="6"/>
    </row>
    <row r="49" spans="1:50" s="419" customFormat="1" ht="15.75" customHeight="1" outlineLevel="1" x14ac:dyDescent="0.3">
      <c r="A49" s="233"/>
      <c r="B49" s="233"/>
      <c r="C49" s="420" t="s">
        <v>160</v>
      </c>
      <c r="E49" s="218" t="s">
        <v>63</v>
      </c>
      <c r="F49" s="466"/>
      <c r="G49" s="277"/>
      <c r="H49" s="466"/>
      <c r="I49" s="466"/>
      <c r="J49" s="7"/>
      <c r="K49" s="417">
        <f ca="1">K44-K45</f>
        <v>0</v>
      </c>
      <c r="L49" s="417">
        <f t="shared" ref="L49:AT49" ca="1" si="20">L44-L45</f>
        <v>0</v>
      </c>
      <c r="M49" s="417">
        <f t="shared" ca="1" si="20"/>
        <v>12863395.100262277</v>
      </c>
      <c r="N49" s="417">
        <f t="shared" ca="1" si="20"/>
        <v>15137926.379730292</v>
      </c>
      <c r="O49" s="417">
        <f t="shared" ca="1" si="20"/>
        <v>17977020.415661186</v>
      </c>
      <c r="P49" s="417">
        <f t="shared" ca="1" si="20"/>
        <v>20343714.152695194</v>
      </c>
      <c r="Q49" s="417">
        <f t="shared" ca="1" si="20"/>
        <v>20590180.749388456</v>
      </c>
      <c r="R49" s="417">
        <f t="shared" ca="1" si="20"/>
        <v>20507532.922610715</v>
      </c>
      <c r="S49" s="417">
        <f t="shared" ca="1" si="20"/>
        <v>18871585.537482858</v>
      </c>
      <c r="T49" s="417">
        <f t="shared" ca="1" si="20"/>
        <v>17502744.410941795</v>
      </c>
      <c r="U49" s="417">
        <f t="shared" ca="1" si="20"/>
        <v>16427233.472372949</v>
      </c>
      <c r="V49" s="417">
        <f t="shared" ca="1" si="20"/>
        <v>14281074.907683685</v>
      </c>
      <c r="W49" s="417">
        <f t="shared" ca="1" si="20"/>
        <v>14457152.575743623</v>
      </c>
      <c r="X49" s="417">
        <f t="shared" ca="1" si="20"/>
        <v>29220703.070329338</v>
      </c>
      <c r="Y49" s="417">
        <f t="shared" ca="1" si="20"/>
        <v>30003778.475455359</v>
      </c>
      <c r="Z49" s="417">
        <f t="shared" ca="1" si="20"/>
        <v>35276875.270860016</v>
      </c>
      <c r="AA49" s="417">
        <f t="shared" ca="1" si="20"/>
        <v>41853437.719643384</v>
      </c>
      <c r="AB49" s="417">
        <f t="shared" ca="1" si="20"/>
        <v>47320251.971906185</v>
      </c>
      <c r="AC49" s="417">
        <f t="shared" ca="1" si="20"/>
        <v>47848316.891958088</v>
      </c>
      <c r="AD49" s="417">
        <f t="shared" ca="1" si="20"/>
        <v>47611254.762379766</v>
      </c>
      <c r="AE49" s="417">
        <f t="shared" ca="1" si="20"/>
        <v>43773168.030424625</v>
      </c>
      <c r="AF49" s="417">
        <f t="shared" ca="1" si="20"/>
        <v>40559766.247083396</v>
      </c>
      <c r="AG49" s="417">
        <f t="shared" ca="1" si="20"/>
        <v>38032695.098526388</v>
      </c>
      <c r="AH49" s="417">
        <f t="shared" ca="1" si="20"/>
        <v>33032639.095268339</v>
      </c>
      <c r="AI49" s="417">
        <f t="shared" ca="1" si="20"/>
        <v>32399362.10926111</v>
      </c>
      <c r="AJ49" s="417">
        <f t="shared" ca="1" si="20"/>
        <v>36555184.704220504</v>
      </c>
      <c r="AK49" s="417">
        <f t="shared" ca="1" si="20"/>
        <v>37540753.294703722</v>
      </c>
      <c r="AL49" s="417">
        <f t="shared" ca="1" si="20"/>
        <v>44145207.546371669</v>
      </c>
      <c r="AM49" s="417">
        <f t="shared" ca="1" si="20"/>
        <v>52383353.769902498</v>
      </c>
      <c r="AN49" s="417">
        <f t="shared" ca="1" si="20"/>
        <v>59234623.702966124</v>
      </c>
      <c r="AO49" s="417">
        <f t="shared" ca="1" si="20"/>
        <v>59905122.723789424</v>
      </c>
      <c r="AP49" s="417">
        <f t="shared" ca="1" si="20"/>
        <v>59617757.319140851</v>
      </c>
      <c r="AQ49" s="417">
        <f t="shared" ca="1" si="20"/>
        <v>54820173.76202932</v>
      </c>
      <c r="AR49" s="417">
        <f t="shared" ca="1" si="20"/>
        <v>50803845.084206879</v>
      </c>
      <c r="AS49" s="417">
        <f t="shared" ca="1" si="20"/>
        <v>47645804.257743627</v>
      </c>
      <c r="AT49" s="417">
        <f t="shared" ca="1" si="20"/>
        <v>41388486.372029185</v>
      </c>
      <c r="AU49" s="246"/>
      <c r="AV49" s="246"/>
      <c r="AW49" s="246"/>
      <c r="AX49" s="246"/>
    </row>
    <row r="50" spans="1:50" ht="15.75" customHeight="1" outlineLevel="1" x14ac:dyDescent="0.3">
      <c r="A50" s="13"/>
      <c r="B50" s="13"/>
      <c r="C50" s="13"/>
      <c r="D50" s="9" t="s">
        <v>162</v>
      </c>
      <c r="E50" s="8" t="s">
        <v>63</v>
      </c>
      <c r="F50" s="184"/>
      <c r="G50" s="40"/>
      <c r="H50" s="184"/>
      <c r="I50" s="184"/>
      <c r="J50" s="47"/>
      <c r="K50" s="36">
        <f xml:space="preserve"> K33</f>
        <v>10375000</v>
      </c>
      <c r="L50" s="36">
        <f t="shared" ref="L50:AT50" si="21" xml:space="preserve"> L33</f>
        <v>10375000</v>
      </c>
      <c r="M50" s="36">
        <f t="shared" si="21"/>
        <v>10375000</v>
      </c>
      <c r="N50" s="36">
        <f t="shared" si="21"/>
        <v>10375000</v>
      </c>
      <c r="O50" s="36">
        <f t="shared" si="21"/>
        <v>10375000</v>
      </c>
      <c r="P50" s="36">
        <f t="shared" si="21"/>
        <v>10375000</v>
      </c>
      <c r="Q50" s="36">
        <f t="shared" si="21"/>
        <v>10375000</v>
      </c>
      <c r="R50" s="36">
        <f t="shared" si="21"/>
        <v>10375000</v>
      </c>
      <c r="S50" s="36">
        <f t="shared" si="21"/>
        <v>10375000</v>
      </c>
      <c r="T50" s="36">
        <f t="shared" si="21"/>
        <v>10375000</v>
      </c>
      <c r="U50" s="36">
        <f t="shared" si="21"/>
        <v>10375000</v>
      </c>
      <c r="V50" s="36">
        <f t="shared" si="21"/>
        <v>10375000</v>
      </c>
      <c r="W50" s="36">
        <f t="shared" si="21"/>
        <v>10375000</v>
      </c>
      <c r="X50" s="36">
        <f t="shared" si="21"/>
        <v>10375000</v>
      </c>
      <c r="Y50" s="36">
        <f t="shared" si="21"/>
        <v>10375000</v>
      </c>
      <c r="Z50" s="36">
        <f t="shared" si="21"/>
        <v>10375000</v>
      </c>
      <c r="AA50" s="36">
        <f t="shared" si="21"/>
        <v>10375000</v>
      </c>
      <c r="AB50" s="36">
        <f t="shared" si="21"/>
        <v>10375000</v>
      </c>
      <c r="AC50" s="36">
        <f t="shared" si="21"/>
        <v>10375000</v>
      </c>
      <c r="AD50" s="36">
        <f t="shared" si="21"/>
        <v>10375000</v>
      </c>
      <c r="AE50" s="36">
        <f t="shared" si="21"/>
        <v>10375000</v>
      </c>
      <c r="AF50" s="36">
        <f t="shared" si="21"/>
        <v>10375000</v>
      </c>
      <c r="AG50" s="36">
        <f t="shared" si="21"/>
        <v>10375000</v>
      </c>
      <c r="AH50" s="36">
        <f t="shared" si="21"/>
        <v>10375000</v>
      </c>
      <c r="AI50" s="36">
        <f t="shared" si="21"/>
        <v>10375000</v>
      </c>
      <c r="AJ50" s="36">
        <f t="shared" si="21"/>
        <v>10375000</v>
      </c>
      <c r="AK50" s="36">
        <f t="shared" si="21"/>
        <v>10375000</v>
      </c>
      <c r="AL50" s="36">
        <f t="shared" si="21"/>
        <v>10375000</v>
      </c>
      <c r="AM50" s="36">
        <f t="shared" si="21"/>
        <v>10375000</v>
      </c>
      <c r="AN50" s="36">
        <f t="shared" si="21"/>
        <v>10375000</v>
      </c>
      <c r="AO50" s="36">
        <f t="shared" si="21"/>
        <v>10375000</v>
      </c>
      <c r="AP50" s="36">
        <f t="shared" si="21"/>
        <v>10375000</v>
      </c>
      <c r="AQ50" s="36">
        <f t="shared" si="21"/>
        <v>10375000</v>
      </c>
      <c r="AR50" s="36">
        <f t="shared" si="21"/>
        <v>10375000</v>
      </c>
      <c r="AS50" s="36">
        <f t="shared" si="21"/>
        <v>10375000</v>
      </c>
      <c r="AT50" s="36">
        <f t="shared" si="21"/>
        <v>10375000</v>
      </c>
      <c r="AU50" s="9"/>
      <c r="AV50" s="9"/>
      <c r="AW50" s="9"/>
      <c r="AX50" s="9"/>
    </row>
    <row r="51" spans="1:50" ht="15.75" customHeight="1" outlineLevel="1" x14ac:dyDescent="0.3">
      <c r="A51" s="233"/>
      <c r="B51" s="233"/>
      <c r="C51" s="233"/>
      <c r="D51" s="246" t="s">
        <v>316</v>
      </c>
      <c r="E51" s="8" t="s">
        <v>63</v>
      </c>
      <c r="F51" s="466"/>
      <c r="G51" s="277"/>
      <c r="H51" s="466"/>
      <c r="I51" s="466"/>
      <c r="J51" s="514"/>
      <c r="K51" s="237">
        <f>CF!K79</f>
        <v>0</v>
      </c>
      <c r="L51" s="237">
        <f ca="1">CF!L79</f>
        <v>0</v>
      </c>
      <c r="M51" s="237">
        <f ca="1">CF!M79</f>
        <v>1359840.5263050876</v>
      </c>
      <c r="N51" s="237">
        <f ca="1">CF!N79</f>
        <v>1253701.7376398998</v>
      </c>
      <c r="O51" s="237">
        <f ca="1">CF!O79</f>
        <v>1224565.0593696346</v>
      </c>
      <c r="P51" s="237">
        <f ca="1">CF!P79</f>
        <v>1074453.7781092846</v>
      </c>
      <c r="Q51" s="237">
        <f ca="1">CF!Q79</f>
        <v>914789.24460686941</v>
      </c>
      <c r="R51" s="237">
        <f ca="1">CF!R79</f>
        <v>717328.49166340462</v>
      </c>
      <c r="S51" s="237">
        <f ca="1">CF!S79</f>
        <v>458760.04641351831</v>
      </c>
      <c r="T51" s="237">
        <f ca="1">CF!T79</f>
        <v>252805.41404696944</v>
      </c>
      <c r="U51" s="237">
        <f ca="1">CF!U79</f>
        <v>50531.788243039744</v>
      </c>
      <c r="V51" s="237">
        <f ca="1">CF!V79</f>
        <v>0</v>
      </c>
      <c r="W51" s="237">
        <f ca="1">CF!W79</f>
        <v>0</v>
      </c>
      <c r="X51" s="237">
        <f ca="1">CF!X79</f>
        <v>253243.6057516984</v>
      </c>
      <c r="Y51" s="237">
        <f ca="1">CF!Y79</f>
        <v>34387.362083384352</v>
      </c>
      <c r="Z51" s="237">
        <f ca="1">CF!Z79</f>
        <v>0</v>
      </c>
      <c r="AA51" s="237">
        <f ca="1">CF!AA79</f>
        <v>0</v>
      </c>
      <c r="AB51" s="237">
        <f ca="1">CF!AB79</f>
        <v>0</v>
      </c>
      <c r="AC51" s="237">
        <f ca="1">CF!AC79</f>
        <v>0</v>
      </c>
      <c r="AD51" s="237">
        <f ca="1">CF!AD79</f>
        <v>0</v>
      </c>
      <c r="AE51" s="237">
        <f ca="1">CF!AE79</f>
        <v>0</v>
      </c>
      <c r="AF51" s="237">
        <f ca="1">CF!AF79</f>
        <v>0</v>
      </c>
      <c r="AG51" s="237">
        <f ca="1">CF!AG79</f>
        <v>0</v>
      </c>
      <c r="AH51" s="237">
        <f ca="1">CF!AH79</f>
        <v>0</v>
      </c>
      <c r="AI51" s="237">
        <f ca="1">CF!AI79</f>
        <v>0</v>
      </c>
      <c r="AJ51" s="237">
        <f ca="1">CF!AJ79</f>
        <v>0</v>
      </c>
      <c r="AK51" s="237">
        <f ca="1">CF!AK79</f>
        <v>0</v>
      </c>
      <c r="AL51" s="237">
        <f ca="1">CF!AL79</f>
        <v>0</v>
      </c>
      <c r="AM51" s="237">
        <f ca="1">CF!AM79</f>
        <v>0</v>
      </c>
      <c r="AN51" s="237">
        <f ca="1">CF!AN79</f>
        <v>0</v>
      </c>
      <c r="AO51" s="237">
        <f ca="1">CF!AO79</f>
        <v>0</v>
      </c>
      <c r="AP51" s="237">
        <f ca="1">CF!AP79</f>
        <v>0</v>
      </c>
      <c r="AQ51" s="237">
        <f ca="1">CF!AQ79</f>
        <v>0</v>
      </c>
      <c r="AR51" s="237">
        <f ca="1">CF!AR79</f>
        <v>0</v>
      </c>
      <c r="AS51" s="237">
        <f ca="1">CF!AS79</f>
        <v>0</v>
      </c>
      <c r="AT51" s="237">
        <f ca="1">CF!AT79</f>
        <v>0</v>
      </c>
      <c r="AU51" s="246"/>
      <c r="AV51" s="246"/>
      <c r="AW51" s="246"/>
      <c r="AX51" s="246"/>
    </row>
    <row r="52" spans="1:50" s="459" customFormat="1" ht="15.75" customHeight="1" outlineLevel="1" x14ac:dyDescent="0.3">
      <c r="A52" s="453"/>
      <c r="B52" s="453"/>
      <c r="C52" s="461" t="s">
        <v>165</v>
      </c>
      <c r="E52" s="462" t="s">
        <v>63</v>
      </c>
      <c r="F52" s="463"/>
      <c r="G52" s="464"/>
      <c r="H52" s="463"/>
      <c r="I52" s="463"/>
      <c r="J52" s="47"/>
      <c r="K52" s="465">
        <f ca="1">K49 - K50 - K51</f>
        <v>-10375000</v>
      </c>
      <c r="L52" s="465">
        <f t="shared" ref="L52:AT52" ca="1" si="22">L49 - L50 - L51</f>
        <v>-10375000</v>
      </c>
      <c r="M52" s="465">
        <f t="shared" ca="1" si="22"/>
        <v>1128554.5739571892</v>
      </c>
      <c r="N52" s="465">
        <f t="shared" ca="1" si="22"/>
        <v>3509224.6420903918</v>
      </c>
      <c r="O52" s="465">
        <f t="shared" ca="1" si="22"/>
        <v>6377455.3562915511</v>
      </c>
      <c r="P52" s="465">
        <f t="shared" ca="1" si="22"/>
        <v>8894260.3745859098</v>
      </c>
      <c r="Q52" s="465">
        <f t="shared" ca="1" si="22"/>
        <v>9300391.504781587</v>
      </c>
      <c r="R52" s="465">
        <f t="shared" ca="1" si="22"/>
        <v>9415204.4309473112</v>
      </c>
      <c r="S52" s="465">
        <f t="shared" ca="1" si="22"/>
        <v>8037825.4910693392</v>
      </c>
      <c r="T52" s="465">
        <f t="shared" ca="1" si="22"/>
        <v>6874938.9968948252</v>
      </c>
      <c r="U52" s="465">
        <f t="shared" ca="1" si="22"/>
        <v>6001701.6841299096</v>
      </c>
      <c r="V52" s="465">
        <f t="shared" ca="1" si="22"/>
        <v>3906074.9076836854</v>
      </c>
      <c r="W52" s="465">
        <f t="shared" ca="1" si="22"/>
        <v>4082152.5757436231</v>
      </c>
      <c r="X52" s="465">
        <f t="shared" ca="1" si="22"/>
        <v>18592459.464577641</v>
      </c>
      <c r="Y52" s="465">
        <f t="shared" ca="1" si="22"/>
        <v>19594391.113371976</v>
      </c>
      <c r="Z52" s="465">
        <f t="shared" ca="1" si="22"/>
        <v>24901875.270860016</v>
      </c>
      <c r="AA52" s="465">
        <f t="shared" ca="1" si="22"/>
        <v>31478437.719643384</v>
      </c>
      <c r="AB52" s="465">
        <f t="shared" ca="1" si="22"/>
        <v>36945251.971906185</v>
      </c>
      <c r="AC52" s="465">
        <f t="shared" ca="1" si="22"/>
        <v>37473316.891958088</v>
      </c>
      <c r="AD52" s="465">
        <f t="shared" ca="1" si="22"/>
        <v>37236254.762379766</v>
      </c>
      <c r="AE52" s="465">
        <f t="shared" ca="1" si="22"/>
        <v>33398168.030424625</v>
      </c>
      <c r="AF52" s="465">
        <f t="shared" ca="1" si="22"/>
        <v>30184766.247083396</v>
      </c>
      <c r="AG52" s="465">
        <f t="shared" ca="1" si="22"/>
        <v>27657695.098526388</v>
      </c>
      <c r="AH52" s="465">
        <f t="shared" ca="1" si="22"/>
        <v>22657639.095268339</v>
      </c>
      <c r="AI52" s="465">
        <f t="shared" ca="1" si="22"/>
        <v>22024362.10926111</v>
      </c>
      <c r="AJ52" s="465">
        <f t="shared" ca="1" si="22"/>
        <v>26180184.704220504</v>
      </c>
      <c r="AK52" s="465">
        <f t="shared" ca="1" si="22"/>
        <v>27165753.294703722</v>
      </c>
      <c r="AL52" s="465">
        <f t="shared" ca="1" si="22"/>
        <v>33770207.546371669</v>
      </c>
      <c r="AM52" s="465">
        <f t="shared" ca="1" si="22"/>
        <v>42008353.769902498</v>
      </c>
      <c r="AN52" s="465">
        <f t="shared" ca="1" si="22"/>
        <v>48859623.702966124</v>
      </c>
      <c r="AO52" s="465">
        <f t="shared" ca="1" si="22"/>
        <v>49530122.723789424</v>
      </c>
      <c r="AP52" s="465">
        <f t="shared" ca="1" si="22"/>
        <v>49242757.319140851</v>
      </c>
      <c r="AQ52" s="465">
        <f t="shared" ca="1" si="22"/>
        <v>44445173.76202932</v>
      </c>
      <c r="AR52" s="465">
        <f t="shared" ca="1" si="22"/>
        <v>40428845.084206879</v>
      </c>
      <c r="AS52" s="465">
        <f t="shared" ca="1" si="22"/>
        <v>37270804.257743627</v>
      </c>
      <c r="AT52" s="465">
        <f t="shared" ca="1" si="22"/>
        <v>31013486.372029185</v>
      </c>
      <c r="AU52" s="461"/>
      <c r="AV52" s="461"/>
      <c r="AW52" s="461"/>
      <c r="AX52" s="461"/>
    </row>
    <row r="53" spans="1:50" ht="15.75" customHeight="1" outlineLevel="1" x14ac:dyDescent="0.3">
      <c r="A53" s="13"/>
      <c r="B53" s="13"/>
      <c r="C53" s="203" t="s">
        <v>167</v>
      </c>
      <c r="E53" s="204" t="s">
        <v>63</v>
      </c>
      <c r="F53" s="203"/>
      <c r="G53" s="203"/>
      <c r="H53" s="203"/>
      <c r="I53" s="203"/>
      <c r="J53" s="47"/>
      <c r="K53" s="205">
        <f t="shared" ref="K53:AT53" ca="1" si="23">K52</f>
        <v>-10375000</v>
      </c>
      <c r="L53" s="205">
        <f t="shared" ca="1" si="23"/>
        <v>-10375000</v>
      </c>
      <c r="M53" s="205">
        <f t="shared" ca="1" si="23"/>
        <v>1128554.5739571892</v>
      </c>
      <c r="N53" s="205">
        <f t="shared" ca="1" si="23"/>
        <v>3509224.6420903918</v>
      </c>
      <c r="O53" s="205">
        <f t="shared" ca="1" si="23"/>
        <v>6377455.3562915511</v>
      </c>
      <c r="P53" s="205">
        <f t="shared" ca="1" si="23"/>
        <v>8894260.3745859098</v>
      </c>
      <c r="Q53" s="205">
        <f t="shared" ca="1" si="23"/>
        <v>9300391.504781587</v>
      </c>
      <c r="R53" s="205">
        <f t="shared" ca="1" si="23"/>
        <v>9415204.4309473112</v>
      </c>
      <c r="S53" s="205">
        <f t="shared" ca="1" si="23"/>
        <v>8037825.4910693392</v>
      </c>
      <c r="T53" s="205">
        <f t="shared" ca="1" si="23"/>
        <v>6874938.9968948252</v>
      </c>
      <c r="U53" s="205">
        <f t="shared" ca="1" si="23"/>
        <v>6001701.6841299096</v>
      </c>
      <c r="V53" s="205">
        <f t="shared" ca="1" si="23"/>
        <v>3906074.9076836854</v>
      </c>
      <c r="W53" s="205">
        <f t="shared" ca="1" si="23"/>
        <v>4082152.5757436231</v>
      </c>
      <c r="X53" s="205">
        <f t="shared" ca="1" si="23"/>
        <v>18592459.464577641</v>
      </c>
      <c r="Y53" s="205">
        <f t="shared" ca="1" si="23"/>
        <v>19594391.113371976</v>
      </c>
      <c r="Z53" s="205">
        <f t="shared" ca="1" si="23"/>
        <v>24901875.270860016</v>
      </c>
      <c r="AA53" s="205">
        <f t="shared" ca="1" si="23"/>
        <v>31478437.719643384</v>
      </c>
      <c r="AB53" s="205">
        <f t="shared" ca="1" si="23"/>
        <v>36945251.971906185</v>
      </c>
      <c r="AC53" s="205">
        <f t="shared" ca="1" si="23"/>
        <v>37473316.891958088</v>
      </c>
      <c r="AD53" s="205">
        <f t="shared" ca="1" si="23"/>
        <v>37236254.762379766</v>
      </c>
      <c r="AE53" s="205">
        <f t="shared" ca="1" si="23"/>
        <v>33398168.030424625</v>
      </c>
      <c r="AF53" s="205">
        <f t="shared" ca="1" si="23"/>
        <v>30184766.247083396</v>
      </c>
      <c r="AG53" s="205">
        <f t="shared" ca="1" si="23"/>
        <v>27657695.098526388</v>
      </c>
      <c r="AH53" s="205">
        <f t="shared" ca="1" si="23"/>
        <v>22657639.095268339</v>
      </c>
      <c r="AI53" s="205">
        <f t="shared" ca="1" si="23"/>
        <v>22024362.10926111</v>
      </c>
      <c r="AJ53" s="205">
        <f t="shared" ca="1" si="23"/>
        <v>26180184.704220504</v>
      </c>
      <c r="AK53" s="205">
        <f t="shared" ca="1" si="23"/>
        <v>27165753.294703722</v>
      </c>
      <c r="AL53" s="205">
        <f t="shared" ca="1" si="23"/>
        <v>33770207.546371669</v>
      </c>
      <c r="AM53" s="205">
        <f t="shared" ca="1" si="23"/>
        <v>42008353.769902498</v>
      </c>
      <c r="AN53" s="205">
        <f t="shared" ca="1" si="23"/>
        <v>48859623.702966124</v>
      </c>
      <c r="AO53" s="205">
        <f t="shared" ca="1" si="23"/>
        <v>49530122.723789424</v>
      </c>
      <c r="AP53" s="205">
        <f t="shared" ca="1" si="23"/>
        <v>49242757.319140851</v>
      </c>
      <c r="AQ53" s="205">
        <f t="shared" ca="1" si="23"/>
        <v>44445173.76202932</v>
      </c>
      <c r="AR53" s="205">
        <f t="shared" ca="1" si="23"/>
        <v>40428845.084206879</v>
      </c>
      <c r="AS53" s="205">
        <f t="shared" ca="1" si="23"/>
        <v>37270804.257743627</v>
      </c>
      <c r="AT53" s="205">
        <f t="shared" ca="1" si="23"/>
        <v>31013486.372029185</v>
      </c>
      <c r="AU53" s="9"/>
      <c r="AV53" s="9"/>
      <c r="AW53" s="9"/>
      <c r="AX53" s="9"/>
    </row>
    <row r="54" spans="1:50" ht="15.75" customHeight="1" outlineLevel="1" x14ac:dyDescent="0.3">
      <c r="A54" s="13"/>
      <c r="B54" s="13"/>
      <c r="C54" s="115"/>
      <c r="D54" s="206" t="s">
        <v>169</v>
      </c>
      <c r="E54" s="197" t="s">
        <v>63</v>
      </c>
      <c r="F54" s="206"/>
      <c r="G54" s="206"/>
      <c r="H54" s="206"/>
      <c r="I54" s="206"/>
      <c r="J54" s="49"/>
      <c r="K54" s="207">
        <f ca="1">K53</f>
        <v>-10375000</v>
      </c>
      <c r="L54" s="207">
        <f t="shared" ref="L54" ca="1" si="24">K54+L53</f>
        <v>-20750000</v>
      </c>
      <c r="M54" s="207">
        <f t="shared" ref="M54" ca="1" si="25">L54+M53</f>
        <v>-19621445.42604281</v>
      </c>
      <c r="N54" s="207">
        <f t="shared" ref="N54" ca="1" si="26">M54+N53</f>
        <v>-16112220.783952419</v>
      </c>
      <c r="O54" s="207">
        <f t="shared" ref="O54" ca="1" si="27">N54+O53</f>
        <v>-9734765.4276608676</v>
      </c>
      <c r="P54" s="207">
        <f t="shared" ref="P54" ca="1" si="28">O54+P53</f>
        <v>-840505.0530749578</v>
      </c>
      <c r="Q54" s="207">
        <f t="shared" ref="Q54" ca="1" si="29">P54+Q53</f>
        <v>8459886.4517066292</v>
      </c>
      <c r="R54" s="207">
        <f t="shared" ref="R54" ca="1" si="30">Q54+R53</f>
        <v>17875090.88265394</v>
      </c>
      <c r="S54" s="207">
        <f t="shared" ref="S54" ca="1" si="31">R54+S53</f>
        <v>25912916.37372328</v>
      </c>
      <c r="T54" s="207">
        <f t="shared" ref="T54" ca="1" si="32">S54+T53</f>
        <v>32787855.370618105</v>
      </c>
      <c r="U54" s="207">
        <f t="shared" ref="U54" ca="1" si="33">T54+U53</f>
        <v>38789557.054748014</v>
      </c>
      <c r="V54" s="207">
        <f t="shared" ref="V54" ca="1" si="34">U54+V53</f>
        <v>42695631.962431699</v>
      </c>
      <c r="W54" s="207">
        <f t="shared" ref="W54" ca="1" si="35">V54+W53</f>
        <v>46777784.538175322</v>
      </c>
      <c r="X54" s="207">
        <f t="shared" ref="X54" ca="1" si="36">W54+X53</f>
        <v>65370244.00275296</v>
      </c>
      <c r="Y54" s="207">
        <f t="shared" ref="Y54" ca="1" si="37">X54+Y53</f>
        <v>84964635.116124928</v>
      </c>
      <c r="Z54" s="207">
        <f t="shared" ref="Z54" ca="1" si="38">Y54+Z53</f>
        <v>109866510.38698494</v>
      </c>
      <c r="AA54" s="207">
        <f t="shared" ref="AA54" ca="1" si="39">Z54+AA53</f>
        <v>141344948.10662833</v>
      </c>
      <c r="AB54" s="207">
        <f t="shared" ref="AB54" ca="1" si="40">AA54+AB53</f>
        <v>178290200.07853451</v>
      </c>
      <c r="AC54" s="207">
        <f t="shared" ref="AC54" ca="1" si="41">AB54+AC53</f>
        <v>215763516.9704926</v>
      </c>
      <c r="AD54" s="207">
        <f t="shared" ref="AD54" ca="1" si="42">AC54+AD53</f>
        <v>252999771.73287237</v>
      </c>
      <c r="AE54" s="207">
        <f t="shared" ref="AE54" ca="1" si="43">AD54+AE53</f>
        <v>286397939.76329696</v>
      </c>
      <c r="AF54" s="207">
        <f t="shared" ref="AF54" ca="1" si="44">AE54+AF53</f>
        <v>316582706.01038039</v>
      </c>
      <c r="AG54" s="207">
        <f t="shared" ref="AG54" ca="1" si="45">AF54+AG53</f>
        <v>344240401.10890675</v>
      </c>
      <c r="AH54" s="207">
        <f t="shared" ref="AH54" ca="1" si="46">AG54+AH53</f>
        <v>366898040.20417511</v>
      </c>
      <c r="AI54" s="207">
        <f t="shared" ref="AI54" ca="1" si="47">AH54+AI53</f>
        <v>388922402.31343621</v>
      </c>
      <c r="AJ54" s="207">
        <f t="shared" ref="AJ54" ca="1" si="48">AI54+AJ53</f>
        <v>415102587.01765668</v>
      </c>
      <c r="AK54" s="207">
        <f t="shared" ref="AK54" ca="1" si="49">AJ54+AK53</f>
        <v>442268340.31236041</v>
      </c>
      <c r="AL54" s="207">
        <f t="shared" ref="AL54" ca="1" si="50">AK54+AL53</f>
        <v>476038547.8587321</v>
      </c>
      <c r="AM54" s="207">
        <f t="shared" ref="AM54" ca="1" si="51">AL54+AM53</f>
        <v>518046901.62863457</v>
      </c>
      <c r="AN54" s="207">
        <f t="shared" ref="AN54" ca="1" si="52">AM54+AN53</f>
        <v>566906525.33160067</v>
      </c>
      <c r="AO54" s="207">
        <f t="shared" ref="AO54" ca="1" si="53">AN54+AO53</f>
        <v>616436648.05539012</v>
      </c>
      <c r="AP54" s="207">
        <f t="shared" ref="AP54" ca="1" si="54">AO54+AP53</f>
        <v>665679405.37453103</v>
      </c>
      <c r="AQ54" s="207">
        <f t="shared" ref="AQ54" ca="1" si="55">AP54+AQ53</f>
        <v>710124579.13656032</v>
      </c>
      <c r="AR54" s="207">
        <f t="shared" ref="AR54" ca="1" si="56">AQ54+AR53</f>
        <v>750553424.22076726</v>
      </c>
      <c r="AS54" s="207">
        <f t="shared" ref="AS54" ca="1" si="57">AR54+AS53</f>
        <v>787824228.47851086</v>
      </c>
      <c r="AT54" s="207">
        <f t="shared" ref="AT54" ca="1" si="58">AS54+AT53</f>
        <v>818837714.85054004</v>
      </c>
      <c r="AU54" s="9"/>
      <c r="AV54" s="9"/>
      <c r="AW54" s="9"/>
      <c r="AX54" s="9"/>
    </row>
    <row r="55" spans="1:50" ht="15.75" customHeight="1" outlineLevel="1" x14ac:dyDescent="0.55000000000000004">
      <c r="A55" s="13"/>
      <c r="B55" s="13"/>
      <c r="C55" s="13"/>
      <c r="D55" s="196" t="s">
        <v>317</v>
      </c>
      <c r="E55" s="197" t="s">
        <v>63</v>
      </c>
      <c r="F55" s="196"/>
      <c r="G55" s="196"/>
      <c r="H55" s="196"/>
      <c r="I55" s="196"/>
      <c r="J55" s="52"/>
      <c r="K55" s="208"/>
      <c r="L55" s="208">
        <f t="shared" ref="L55" ca="1" si="59">IF(AND(L54&gt;0,K54&lt;0),L54*$H$21,IF(L54&gt;0,L53*$H$21,0))*IF(L53&lt;0,0,1)</f>
        <v>0</v>
      </c>
      <c r="M55" s="208">
        <f t="shared" ref="M55" ca="1" si="60">IF(AND(M54&gt;0,L54&lt;0),M54*$H$21,IF(M54&gt;0,M53*$H$21,0))*IF(M53&lt;0,0,1)</f>
        <v>0</v>
      </c>
      <c r="N55" s="208">
        <f t="shared" ref="N55" ca="1" si="61">IF(AND(N54&gt;0,M54&lt;0),N54*$H$21,IF(N54&gt;0,N53*$H$21,0))*IF(N53&lt;0,0,1)</f>
        <v>0</v>
      </c>
      <c r="O55" s="208">
        <f t="shared" ref="O55" ca="1" si="62">IF(AND(O54&gt;0,N54&lt;0),O54*$H$21,IF(O54&gt;0,O53*$H$21,0))*IF(O53&lt;0,0,1)</f>
        <v>0</v>
      </c>
      <c r="P55" s="208">
        <f t="shared" ref="P55" ca="1" si="63">IF(AND(P54&gt;0,O54&lt;0),P54*$H$21,IF(P54&gt;0,P53*$H$21,0))*IF(P53&lt;0,0,1)</f>
        <v>0</v>
      </c>
      <c r="Q55" s="208">
        <f t="shared" ref="Q55" ca="1" si="64">IF(AND(Q54&gt;0,P54&lt;0),Q54*$H$21,IF(Q54&gt;0,Q53*$H$21,0))*IF(Q53&lt;0,0,1)</f>
        <v>1691977.290341326</v>
      </c>
      <c r="R55" s="208">
        <f t="shared" ref="R55" ca="1" si="65">IF(AND(R54&gt;0,Q54&lt;0),R54*$H$21,IF(R54&gt;0,R53*$H$21,0))*IF(R53&lt;0,0,1)</f>
        <v>1883040.8861894624</v>
      </c>
      <c r="S55" s="208">
        <f t="shared" ref="S55" ca="1" si="66">IF(AND(S54&gt;0,R54&lt;0),S54*$H$21,IF(S54&gt;0,S53*$H$21,0))*IF(S53&lt;0,0,1)</f>
        <v>1607565.098213868</v>
      </c>
      <c r="T55" s="208">
        <f t="shared" ref="T55" ca="1" si="67">IF(AND(T54&gt;0,S54&lt;0),T54*$H$21,IF(T54&gt;0,T53*$H$21,0))*IF(T53&lt;0,0,1)</f>
        <v>1374987.799378965</v>
      </c>
      <c r="U55" s="208">
        <f t="shared" ref="U55" ca="1" si="68">IF(AND(U54&gt;0,T54&lt;0),U54*$H$21,IF(U54&gt;0,U53*$H$21,0))*IF(U53&lt;0,0,1)</f>
        <v>1200340.336825982</v>
      </c>
      <c r="V55" s="208">
        <f t="shared" ref="V55" ca="1" si="69">IF(AND(V54&gt;0,U54&lt;0),V54*$H$21,IF(V54&gt;0,V53*$H$21,0))*IF(V53&lt;0,0,1)</f>
        <v>781214.98153673718</v>
      </c>
      <c r="W55" s="208">
        <f t="shared" ref="W55" ca="1" si="70">IF(AND(W54&gt;0,V54&lt;0),W54*$H$21,IF(W54&gt;0,W53*$H$21,0))*IF(W53&lt;0,0,1)</f>
        <v>816430.51514872466</v>
      </c>
      <c r="X55" s="208">
        <f t="shared" ref="X55" ca="1" si="71">IF(AND(X54&gt;0,W54&lt;0),X54*$H$21,IF(X54&gt;0,X53*$H$21,0))*IF(X53&lt;0,0,1)</f>
        <v>3718491.8929155283</v>
      </c>
      <c r="Y55" s="208">
        <f t="shared" ref="Y55" ca="1" si="72">IF(AND(Y54&gt;0,X54&lt;0),Y54*$H$21,IF(Y54&gt;0,Y53*$H$21,0))*IF(Y53&lt;0,0,1)</f>
        <v>3918878.2226743954</v>
      </c>
      <c r="Z55" s="208">
        <f t="shared" ref="Z55" ca="1" si="73">IF(AND(Z54&gt;0,Y54&lt;0),Z54*$H$21,IF(Z54&gt;0,Z53*$H$21,0))*IF(Z53&lt;0,0,1)</f>
        <v>4980375.0541720036</v>
      </c>
      <c r="AA55" s="208">
        <f t="shared" ref="AA55" ca="1" si="74">IF(AND(AA54&gt;0,Z54&lt;0),AA54*$H$21,IF(AA54&gt;0,AA53*$H$21,0))*IF(AA53&lt;0,0,1)</f>
        <v>6295687.5439286772</v>
      </c>
      <c r="AB55" s="208">
        <f t="shared" ref="AB55" ca="1" si="75">IF(AND(AB54&gt;0,AA54&lt;0),AB54*$H$21,IF(AB54&gt;0,AB53*$H$21,0))*IF(AB53&lt;0,0,1)</f>
        <v>7389050.3943812372</v>
      </c>
      <c r="AC55" s="208">
        <f t="shared" ref="AC55" ca="1" si="76">IF(AND(AC54&gt;0,AB54&lt;0),AC54*$H$21,IF(AC54&gt;0,AC53*$H$21,0))*IF(AC53&lt;0,0,1)</f>
        <v>7494663.3783916179</v>
      </c>
      <c r="AD55" s="208">
        <f t="shared" ref="AD55" ca="1" si="77">IF(AND(AD54&gt;0,AC54&lt;0),AD54*$H$21,IF(AD54&gt;0,AD53*$H$21,0))*IF(AD53&lt;0,0,1)</f>
        <v>7447250.9524759538</v>
      </c>
      <c r="AE55" s="208">
        <f t="shared" ref="AE55" ca="1" si="78">IF(AND(AE54&gt;0,AD54&lt;0),AE54*$H$21,IF(AE54&gt;0,AE53*$H$21,0))*IF(AE53&lt;0,0,1)</f>
        <v>6679633.6060849251</v>
      </c>
      <c r="AF55" s="208">
        <f t="shared" ref="AF55" ca="1" si="79">IF(AND(AF54&gt;0,AE54&lt;0),AF54*$H$21,IF(AF54&gt;0,AF53*$H$21,0))*IF(AF53&lt;0,0,1)</f>
        <v>6036953.2494166791</v>
      </c>
      <c r="AG55" s="208">
        <f t="shared" ref="AG55" ca="1" si="80">IF(AND(AG54&gt;0,AF54&lt;0),AG54*$H$21,IF(AG54&gt;0,AG53*$H$21,0))*IF(AG53&lt;0,0,1)</f>
        <v>5531539.0197052779</v>
      </c>
      <c r="AH55" s="208">
        <f t="shared" ref="AH55" ca="1" si="81">IF(AND(AH54&gt;0,AG54&lt;0),AH54*$H$21,IF(AH54&gt;0,AH53*$H$21,0))*IF(AH53&lt;0,0,1)</f>
        <v>4531527.8190536676</v>
      </c>
      <c r="AI55" s="208">
        <f t="shared" ref="AI55" ca="1" si="82">IF(AND(AI54&gt;0,AH54&lt;0),AI54*$H$21,IF(AI54&gt;0,AI53*$H$21,0))*IF(AI53&lt;0,0,1)</f>
        <v>4404872.4218522226</v>
      </c>
      <c r="AJ55" s="208">
        <f t="shared" ref="AJ55" ca="1" si="83">IF(AND(AJ54&gt;0,AI54&lt;0),AJ54*$H$21,IF(AJ54&gt;0,AJ53*$H$21,0))*IF(AJ53&lt;0,0,1)</f>
        <v>5236036.9408441009</v>
      </c>
      <c r="AK55" s="208">
        <f t="shared" ref="AK55" ca="1" si="84">IF(AND(AK54&gt;0,AJ54&lt;0),AK54*$H$21,IF(AK54&gt;0,AK53*$H$21,0))*IF(AK53&lt;0,0,1)</f>
        <v>5433150.6589407446</v>
      </c>
      <c r="AL55" s="208">
        <f t="shared" ref="AL55" ca="1" si="85">IF(AND(AL54&gt;0,AK54&lt;0),AL54*$H$21,IF(AL54&gt;0,AL53*$H$21,0))*IF(AL53&lt;0,0,1)</f>
        <v>6754041.5092743337</v>
      </c>
      <c r="AM55" s="208">
        <f t="shared" ref="AM55" ca="1" si="86">IF(AND(AM54&gt;0,AL54&lt;0),AM54*$H$21,IF(AM54&gt;0,AM53*$H$21,0))*IF(AM53&lt;0,0,1)</f>
        <v>8401670.7539805006</v>
      </c>
      <c r="AN55" s="208">
        <f t="shared" ref="AN55" ca="1" si="87">IF(AND(AN54&gt;0,AM54&lt;0),AN54*$H$21,IF(AN54&gt;0,AN53*$H$21,0))*IF(AN53&lt;0,0,1)</f>
        <v>9771924.7405932248</v>
      </c>
      <c r="AO55" s="208">
        <f t="shared" ref="AO55" ca="1" si="88">IF(AND(AO54&gt;0,AN54&lt;0),AO54*$H$21,IF(AO54&gt;0,AO53*$H$21,0))*IF(AO53&lt;0,0,1)</f>
        <v>9906024.5447578859</v>
      </c>
      <c r="AP55" s="208">
        <f t="shared" ref="AP55" ca="1" si="89">IF(AND(AP54&gt;0,AO54&lt;0),AP54*$H$21,IF(AP54&gt;0,AP53*$H$21,0))*IF(AP53&lt;0,0,1)</f>
        <v>9848551.4638281707</v>
      </c>
      <c r="AQ55" s="208">
        <f t="shared" ref="AQ55" ca="1" si="90">IF(AND(AQ54&gt;0,AP54&lt;0),AQ54*$H$21,IF(AQ54&gt;0,AQ53*$H$21,0))*IF(AQ53&lt;0,0,1)</f>
        <v>8889034.7524058651</v>
      </c>
      <c r="AR55" s="208">
        <f t="shared" ref="AR55" ca="1" si="91">IF(AND(AR54&gt;0,AQ54&lt;0),AR54*$H$21,IF(AR54&gt;0,AR53*$H$21,0))*IF(AR53&lt;0,0,1)</f>
        <v>8085769.0168413762</v>
      </c>
      <c r="AS55" s="208">
        <f t="shared" ref="AS55" ca="1" si="92">IF(AND(AS54&gt;0,AR54&lt;0),AS54*$H$21,IF(AS54&gt;0,AS53*$H$21,0))*IF(AS53&lt;0,0,1)</f>
        <v>7454160.8515487257</v>
      </c>
      <c r="AT55" s="208">
        <f t="shared" ref="AT55" ca="1" si="93">IF(AND(AT54&gt;0,AS54&lt;0),AT54*$H$21,IF(AT54&gt;0,AT53*$H$21,0))*IF(AT53&lt;0,0,1)</f>
        <v>6202697.2744058371</v>
      </c>
      <c r="AU55" s="36"/>
      <c r="AV55" s="36"/>
      <c r="AW55" s="36"/>
      <c r="AX55" s="36"/>
    </row>
    <row r="56" spans="1:50" s="419" customFormat="1" ht="15.75" customHeight="1" outlineLevel="1" x14ac:dyDescent="0.3">
      <c r="A56" s="13"/>
      <c r="B56" s="233"/>
      <c r="C56" s="233"/>
      <c r="D56" s="471"/>
      <c r="E56" s="471"/>
      <c r="F56" s="471"/>
      <c r="G56" s="471"/>
      <c r="H56" s="471"/>
      <c r="I56" s="471"/>
      <c r="J56" s="52"/>
      <c r="K56" s="472"/>
      <c r="L56" s="472"/>
      <c r="M56" s="473"/>
      <c r="N56" s="473"/>
      <c r="O56" s="218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  <c r="AL56" s="473"/>
      <c r="AM56" s="473"/>
      <c r="AN56" s="473"/>
      <c r="AO56" s="473"/>
      <c r="AP56" s="473"/>
      <c r="AQ56" s="473"/>
      <c r="AR56" s="473"/>
      <c r="AS56" s="473"/>
      <c r="AT56" s="473"/>
      <c r="AU56" s="473"/>
      <c r="AV56" s="473"/>
      <c r="AW56" s="473"/>
      <c r="AX56" s="473"/>
    </row>
    <row r="57" spans="1:50" s="476" customFormat="1" ht="15.75" customHeight="1" outlineLevel="1" thickBot="1" x14ac:dyDescent="0.35">
      <c r="A57" s="13"/>
      <c r="B57" s="474"/>
      <c r="C57" s="475" t="s">
        <v>172</v>
      </c>
      <c r="E57" s="475"/>
      <c r="F57" s="475"/>
      <c r="G57" s="475"/>
      <c r="H57" s="475"/>
      <c r="I57" s="475"/>
      <c r="J57" s="41"/>
      <c r="K57" s="477">
        <f t="shared" ref="K57:AT57" ca="1" si="94">K53-K55</f>
        <v>-10375000</v>
      </c>
      <c r="L57" s="477">
        <f t="shared" ca="1" si="94"/>
        <v>-10375000</v>
      </c>
      <c r="M57" s="477">
        <f t="shared" ca="1" si="94"/>
        <v>1128554.5739571892</v>
      </c>
      <c r="N57" s="477">
        <f t="shared" ca="1" si="94"/>
        <v>3509224.6420903918</v>
      </c>
      <c r="O57" s="477">
        <f t="shared" ca="1" si="94"/>
        <v>6377455.3562915511</v>
      </c>
      <c r="P57" s="477">
        <f t="shared" ca="1" si="94"/>
        <v>8894260.3745859098</v>
      </c>
      <c r="Q57" s="477">
        <f t="shared" ca="1" si="94"/>
        <v>7608414.214440261</v>
      </c>
      <c r="R57" s="477">
        <f t="shared" ca="1" si="94"/>
        <v>7532163.5447578486</v>
      </c>
      <c r="S57" s="477">
        <f t="shared" ca="1" si="94"/>
        <v>6430260.392855471</v>
      </c>
      <c r="T57" s="477">
        <f t="shared" ca="1" si="94"/>
        <v>5499951.1975158602</v>
      </c>
      <c r="U57" s="477">
        <f t="shared" ca="1" si="94"/>
        <v>4801361.3473039279</v>
      </c>
      <c r="V57" s="477">
        <f t="shared" ca="1" si="94"/>
        <v>3124859.9261469482</v>
      </c>
      <c r="W57" s="477">
        <f t="shared" ca="1" si="94"/>
        <v>3265722.0605948986</v>
      </c>
      <c r="X57" s="477">
        <f t="shared" ca="1" si="94"/>
        <v>14873967.571662113</v>
      </c>
      <c r="Y57" s="477">
        <f t="shared" ca="1" si="94"/>
        <v>15675512.89069758</v>
      </c>
      <c r="Z57" s="477">
        <f t="shared" ca="1" si="94"/>
        <v>19921500.216688015</v>
      </c>
      <c r="AA57" s="477">
        <f t="shared" ca="1" si="94"/>
        <v>25182750.175714709</v>
      </c>
      <c r="AB57" s="477">
        <f t="shared" ca="1" si="94"/>
        <v>29556201.577524949</v>
      </c>
      <c r="AC57" s="477">
        <f t="shared" ca="1" si="94"/>
        <v>29978653.513566472</v>
      </c>
      <c r="AD57" s="477">
        <f t="shared" ca="1" si="94"/>
        <v>29789003.809903812</v>
      </c>
      <c r="AE57" s="477">
        <f t="shared" ca="1" si="94"/>
        <v>26718534.4243397</v>
      </c>
      <c r="AF57" s="477">
        <f t="shared" ca="1" si="94"/>
        <v>24147812.997666717</v>
      </c>
      <c r="AG57" s="477">
        <f t="shared" ca="1" si="94"/>
        <v>22126156.078821111</v>
      </c>
      <c r="AH57" s="477">
        <f t="shared" ca="1" si="94"/>
        <v>18126111.27621467</v>
      </c>
      <c r="AI57" s="477">
        <f t="shared" ca="1" si="94"/>
        <v>17619489.687408887</v>
      </c>
      <c r="AJ57" s="477">
        <f t="shared" ca="1" si="94"/>
        <v>20944147.763376404</v>
      </c>
      <c r="AK57" s="477">
        <f t="shared" ca="1" si="94"/>
        <v>21732602.635762978</v>
      </c>
      <c r="AL57" s="477">
        <f t="shared" ca="1" si="94"/>
        <v>27016166.037097335</v>
      </c>
      <c r="AM57" s="477">
        <f t="shared" ca="1" si="94"/>
        <v>33606683.015921995</v>
      </c>
      <c r="AN57" s="477">
        <f t="shared" ca="1" si="94"/>
        <v>39087698.962372899</v>
      </c>
      <c r="AO57" s="477">
        <f t="shared" ca="1" si="94"/>
        <v>39624098.179031536</v>
      </c>
      <c r="AP57" s="477">
        <f t="shared" ca="1" si="94"/>
        <v>39394205.855312683</v>
      </c>
      <c r="AQ57" s="477">
        <f t="shared" ca="1" si="94"/>
        <v>35556139.009623453</v>
      </c>
      <c r="AR57" s="477">
        <f t="shared" ca="1" si="94"/>
        <v>32343076.067365505</v>
      </c>
      <c r="AS57" s="477">
        <f t="shared" ca="1" si="94"/>
        <v>29816643.406194903</v>
      </c>
      <c r="AT57" s="477">
        <f t="shared" ca="1" si="94"/>
        <v>24810789.097623348</v>
      </c>
      <c r="AU57" s="478"/>
      <c r="AV57" s="478"/>
      <c r="AW57" s="478"/>
      <c r="AX57" s="478"/>
    </row>
    <row r="58" spans="1:50" ht="15.75" customHeight="1" thickTop="1" x14ac:dyDescent="0.3">
      <c r="A58" s="13"/>
      <c r="B58" s="13"/>
      <c r="C58" s="175"/>
      <c r="D58" s="209"/>
      <c r="E58" s="209"/>
      <c r="F58" s="209"/>
      <c r="G58" s="209"/>
      <c r="H58" s="209"/>
      <c r="I58" s="209"/>
      <c r="J58" s="64"/>
      <c r="K58" s="210"/>
      <c r="L58" s="210"/>
      <c r="M58" s="45"/>
      <c r="N58" s="4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9"/>
      <c r="AV58" s="9"/>
      <c r="AW58" s="9"/>
      <c r="AX58" s="9"/>
    </row>
    <row r="59" spans="1:50" ht="15.75" customHeight="1" x14ac:dyDescent="0.3">
      <c r="A59" s="13"/>
      <c r="B59" s="13"/>
      <c r="C59" s="115"/>
      <c r="D59" s="136"/>
      <c r="E59" s="143"/>
      <c r="F59" s="147"/>
      <c r="G59" s="148"/>
      <c r="H59" s="143"/>
      <c r="I59" s="143"/>
      <c r="J59" s="69"/>
      <c r="K59" s="143"/>
      <c r="L59" s="143"/>
      <c r="M59" s="143"/>
      <c r="N59" s="14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9"/>
      <c r="AV59" s="9"/>
      <c r="AW59" s="9"/>
      <c r="AX59" s="9"/>
    </row>
    <row r="60" spans="1:50" ht="15.75" customHeight="1" x14ac:dyDescent="0.3">
      <c r="A60" s="13"/>
      <c r="B60" s="13"/>
      <c r="C60" s="115"/>
      <c r="D60" s="136"/>
      <c r="E60" s="143"/>
      <c r="F60" s="147"/>
      <c r="G60" s="148"/>
      <c r="H60" s="143"/>
      <c r="I60" s="143"/>
      <c r="J60" s="69"/>
      <c r="K60" s="143"/>
      <c r="L60" s="143"/>
      <c r="M60" s="143"/>
      <c r="N60" s="14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9"/>
      <c r="AV60" s="9"/>
      <c r="AW60" s="9"/>
      <c r="AX60" s="9"/>
    </row>
    <row r="61" spans="1:50" ht="15.75" customHeight="1" x14ac:dyDescent="0.3">
      <c r="A61" s="13"/>
      <c r="B61" s="13"/>
      <c r="C61" s="115"/>
      <c r="D61" s="136"/>
      <c r="E61" s="143"/>
      <c r="F61" s="147"/>
      <c r="G61" s="148"/>
      <c r="H61" s="143"/>
      <c r="I61" s="143"/>
      <c r="J61" s="69"/>
      <c r="K61" s="143"/>
      <c r="L61" s="143"/>
      <c r="M61" s="143"/>
      <c r="N61" s="143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</row>
    <row r="62" spans="1:50" ht="15.75" customHeight="1" x14ac:dyDescent="0.3">
      <c r="A62" s="13"/>
      <c r="B62" s="13"/>
      <c r="C62" s="115"/>
      <c r="D62" s="136"/>
      <c r="E62" s="143"/>
      <c r="F62" s="147"/>
      <c r="G62" s="148"/>
      <c r="H62" s="143"/>
      <c r="I62" s="143"/>
      <c r="J62" s="69"/>
      <c r="K62" s="143"/>
      <c r="L62" s="143"/>
      <c r="M62" s="143"/>
      <c r="N62" s="143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</row>
    <row r="63" spans="1:50" ht="15.75" customHeight="1" x14ac:dyDescent="0.3">
      <c r="A63" s="13"/>
      <c r="B63" s="13"/>
      <c r="C63" s="115"/>
      <c r="D63" s="136"/>
      <c r="E63" s="143"/>
      <c r="F63" s="147"/>
      <c r="G63" s="148"/>
      <c r="H63" s="143"/>
      <c r="I63" s="143"/>
      <c r="J63" s="69"/>
      <c r="K63" s="143"/>
      <c r="L63" s="143"/>
      <c r="M63" s="143"/>
      <c r="N63" s="143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</row>
    <row r="64" spans="1:50" ht="15.75" customHeight="1" x14ac:dyDescent="0.3">
      <c r="A64" s="13"/>
      <c r="B64" s="13"/>
      <c r="C64" s="115"/>
      <c r="D64" s="136"/>
      <c r="E64" s="143"/>
      <c r="F64" s="147"/>
      <c r="G64" s="148"/>
      <c r="H64" s="143"/>
      <c r="I64" s="143"/>
      <c r="J64" s="69"/>
      <c r="K64" s="143"/>
      <c r="L64" s="143"/>
      <c r="M64" s="143"/>
      <c r="N64" s="143"/>
      <c r="O64" s="111"/>
      <c r="P64" s="111"/>
      <c r="Q64" s="111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2"/>
      <c r="AV64" s="62"/>
      <c r="AW64" s="62"/>
      <c r="AX64" s="62"/>
    </row>
    <row r="65" spans="1:50" ht="15.75" customHeight="1" x14ac:dyDescent="0.3">
      <c r="A65" s="13"/>
      <c r="B65" s="13"/>
      <c r="C65" s="115"/>
      <c r="D65" s="136"/>
      <c r="E65" s="143"/>
      <c r="F65" s="147"/>
      <c r="G65" s="148"/>
      <c r="H65" s="143"/>
      <c r="I65" s="143"/>
      <c r="J65" s="69"/>
      <c r="K65" s="143"/>
      <c r="L65" s="143"/>
      <c r="M65" s="143"/>
      <c r="N65" s="143"/>
      <c r="O65" s="35"/>
      <c r="P65" s="35"/>
      <c r="Q65" s="35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6"/>
      <c r="AV65" s="6"/>
      <c r="AW65" s="6"/>
      <c r="AX65" s="6"/>
    </row>
    <row r="66" spans="1:50" ht="15.75" customHeight="1" x14ac:dyDescent="0.3">
      <c r="A66" s="13"/>
      <c r="B66" s="13"/>
      <c r="C66" s="115"/>
      <c r="D66" s="136"/>
      <c r="E66" s="143"/>
      <c r="F66" s="147"/>
      <c r="G66" s="148"/>
      <c r="H66" s="143"/>
      <c r="I66" s="143"/>
      <c r="J66" s="7"/>
      <c r="K66" s="143"/>
      <c r="L66" s="143"/>
      <c r="M66" s="143"/>
      <c r="N66" s="14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6"/>
      <c r="AV66" s="6"/>
      <c r="AW66" s="6"/>
      <c r="AX66" s="6"/>
    </row>
    <row r="67" spans="1:50" ht="15.75" customHeight="1" x14ac:dyDescent="0.3">
      <c r="A67" s="13"/>
      <c r="B67" s="13"/>
      <c r="C67" s="115"/>
      <c r="D67" s="136"/>
      <c r="E67" s="143"/>
      <c r="F67" s="147"/>
      <c r="G67" s="148"/>
      <c r="H67" s="143"/>
      <c r="I67" s="143"/>
      <c r="J67" s="7"/>
      <c r="K67" s="143"/>
      <c r="L67" s="143"/>
      <c r="M67" s="143"/>
      <c r="N67" s="143"/>
      <c r="O67" s="36"/>
      <c r="P67" s="36"/>
      <c r="Q67" s="3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6"/>
      <c r="AV67" s="6"/>
      <c r="AW67" s="6"/>
      <c r="AX67" s="6"/>
    </row>
    <row r="68" spans="1:50" ht="15.75" customHeight="1" x14ac:dyDescent="0.3">
      <c r="A68" s="13"/>
      <c r="B68" s="13"/>
      <c r="C68" s="13"/>
      <c r="D68" s="136"/>
      <c r="E68" s="143"/>
      <c r="F68" s="147"/>
      <c r="G68" s="148"/>
      <c r="H68" s="143"/>
      <c r="I68" s="143"/>
      <c r="J68" s="7"/>
      <c r="K68" s="143"/>
      <c r="L68" s="143"/>
      <c r="M68" s="143"/>
      <c r="N68" s="143"/>
      <c r="O68" s="82"/>
      <c r="P68" s="82"/>
      <c r="Q68" s="82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2"/>
      <c r="AV68" s="62"/>
      <c r="AW68" s="62"/>
      <c r="AX68" s="62"/>
    </row>
    <row r="69" spans="1:50" ht="15.75" customHeight="1" x14ac:dyDescent="0.3">
      <c r="A69" s="13"/>
      <c r="B69" s="13"/>
      <c r="C69" s="13"/>
      <c r="D69" s="136"/>
      <c r="E69" s="143"/>
      <c r="F69" s="147"/>
      <c r="G69" s="148"/>
      <c r="H69" s="143"/>
      <c r="I69" s="143"/>
      <c r="J69" s="7"/>
      <c r="K69" s="143"/>
      <c r="L69" s="143"/>
      <c r="M69" s="143"/>
      <c r="N69" s="143"/>
      <c r="O69" s="82"/>
      <c r="P69" s="82"/>
      <c r="Q69" s="82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2"/>
      <c r="AV69" s="62"/>
      <c r="AW69" s="62"/>
      <c r="AX69" s="62"/>
    </row>
    <row r="70" spans="1:50" ht="15.75" customHeight="1" x14ac:dyDescent="0.3">
      <c r="A70" s="13"/>
      <c r="B70" s="13"/>
      <c r="C70" s="19"/>
      <c r="D70" s="136"/>
      <c r="E70" s="143"/>
      <c r="F70" s="147"/>
      <c r="G70" s="148"/>
      <c r="H70" s="143"/>
      <c r="I70" s="143"/>
      <c r="J70" s="7"/>
      <c r="K70" s="143"/>
      <c r="L70" s="143"/>
      <c r="M70" s="143"/>
      <c r="N70" s="143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6"/>
      <c r="AV70" s="6"/>
      <c r="AW70" s="6"/>
      <c r="AX70" s="6"/>
    </row>
    <row r="71" spans="1:50" ht="15.75" customHeight="1" x14ac:dyDescent="0.3">
      <c r="A71" s="13"/>
      <c r="B71" s="13"/>
      <c r="C71" s="19"/>
      <c r="D71" s="136"/>
      <c r="E71" s="143"/>
      <c r="F71" s="147"/>
      <c r="G71" s="148"/>
      <c r="H71" s="143"/>
      <c r="I71" s="143"/>
      <c r="J71" s="41"/>
      <c r="K71" s="143"/>
      <c r="L71" s="143"/>
      <c r="M71" s="143"/>
      <c r="N71" s="14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6"/>
      <c r="AV71" s="6"/>
      <c r="AW71" s="6"/>
      <c r="AX71" s="6"/>
    </row>
    <row r="72" spans="1:50" ht="15.75" customHeight="1" x14ac:dyDescent="0.3">
      <c r="A72" s="13"/>
      <c r="B72" s="13"/>
      <c r="C72" s="19"/>
      <c r="D72" s="136"/>
      <c r="E72" s="143"/>
      <c r="F72" s="147"/>
      <c r="G72" s="148"/>
      <c r="H72" s="143"/>
      <c r="I72" s="143"/>
      <c r="J72" s="7"/>
      <c r="K72" s="143"/>
      <c r="L72" s="143"/>
      <c r="M72" s="143"/>
      <c r="N72" s="14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6"/>
      <c r="AV72" s="6"/>
      <c r="AW72" s="6"/>
      <c r="AX72" s="6"/>
    </row>
    <row r="73" spans="1:50" ht="15.75" customHeight="1" x14ac:dyDescent="0.3">
      <c r="A73" s="13"/>
      <c r="B73" s="13"/>
      <c r="C73" s="13"/>
      <c r="D73" s="136"/>
      <c r="E73" s="143"/>
      <c r="F73" s="147"/>
      <c r="G73" s="148"/>
      <c r="H73" s="143"/>
      <c r="I73" s="143"/>
      <c r="J73" s="7"/>
      <c r="K73" s="143"/>
      <c r="L73" s="143"/>
      <c r="M73" s="143"/>
      <c r="N73" s="14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6"/>
      <c r="AV73" s="6"/>
      <c r="AW73" s="6"/>
      <c r="AX73" s="6"/>
    </row>
    <row r="74" spans="1:50" ht="15.75" customHeight="1" x14ac:dyDescent="0.3">
      <c r="A74" s="13"/>
      <c r="B74" s="13"/>
      <c r="C74" s="19"/>
      <c r="D74" s="136"/>
      <c r="E74" s="143"/>
      <c r="F74" s="147"/>
      <c r="G74" s="148"/>
      <c r="H74" s="143"/>
      <c r="I74" s="143"/>
      <c r="J74" s="7"/>
      <c r="K74" s="143"/>
      <c r="L74" s="143"/>
      <c r="M74" s="143"/>
      <c r="N74" s="14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2"/>
      <c r="AV74" s="62"/>
      <c r="AW74" s="62"/>
      <c r="AX74" s="62"/>
    </row>
    <row r="75" spans="1:50" ht="15.75" customHeight="1" x14ac:dyDescent="0.3">
      <c r="A75" s="13"/>
      <c r="B75" s="13"/>
      <c r="C75" s="19"/>
      <c r="D75" s="136"/>
      <c r="E75" s="143"/>
      <c r="F75" s="147"/>
      <c r="G75" s="148"/>
      <c r="H75" s="143"/>
      <c r="I75" s="143"/>
      <c r="J75" s="7"/>
      <c r="K75" s="143"/>
      <c r="L75" s="143"/>
      <c r="M75" s="143"/>
      <c r="N75" s="14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6"/>
      <c r="AV75" s="6"/>
      <c r="AW75" s="6"/>
      <c r="AX75" s="6"/>
    </row>
    <row r="76" spans="1:50" ht="15.75" customHeight="1" x14ac:dyDescent="0.3">
      <c r="A76" s="13"/>
      <c r="B76" s="13"/>
      <c r="C76" s="421"/>
      <c r="D76" s="136"/>
      <c r="E76" s="143"/>
      <c r="F76" s="147"/>
      <c r="G76" s="148"/>
      <c r="H76" s="143"/>
      <c r="I76" s="143"/>
      <c r="J76" s="7"/>
      <c r="K76" s="143"/>
      <c r="L76" s="143"/>
      <c r="M76" s="143"/>
      <c r="N76" s="143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6"/>
      <c r="AV76" s="6"/>
      <c r="AW76" s="6"/>
      <c r="AX76" s="6"/>
    </row>
    <row r="77" spans="1:50" ht="15.75" customHeight="1" x14ac:dyDescent="0.35">
      <c r="A77" s="13"/>
      <c r="B77" s="13"/>
      <c r="C77" s="13"/>
      <c r="D77" s="136"/>
      <c r="E77" s="143"/>
      <c r="F77" s="147"/>
      <c r="G77" s="148"/>
      <c r="H77" s="143"/>
      <c r="I77" s="143"/>
      <c r="J77" s="7"/>
      <c r="K77" s="143"/>
      <c r="L77" s="143"/>
      <c r="M77" s="143"/>
      <c r="N77" s="143"/>
      <c r="O77" s="142"/>
      <c r="P77" s="142"/>
      <c r="Q77" s="142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  <c r="AI77" s="211"/>
      <c r="AJ77" s="211"/>
      <c r="AK77" s="211"/>
      <c r="AL77" s="211"/>
      <c r="AM77" s="211"/>
      <c r="AN77" s="211"/>
      <c r="AO77" s="211"/>
      <c r="AP77" s="211"/>
      <c r="AQ77" s="211"/>
      <c r="AR77" s="211"/>
      <c r="AS77" s="211"/>
      <c r="AT77" s="211"/>
      <c r="AU77" s="156"/>
      <c r="AV77" s="156"/>
      <c r="AW77" s="156"/>
      <c r="AX77" s="156"/>
    </row>
    <row r="78" spans="1:50" ht="15.75" customHeight="1" x14ac:dyDescent="0.3">
      <c r="A78" s="13"/>
      <c r="B78" s="13"/>
      <c r="C78" s="13"/>
      <c r="D78" s="136"/>
      <c r="E78" s="143"/>
      <c r="F78" s="147"/>
      <c r="G78" s="148"/>
      <c r="H78" s="143"/>
      <c r="I78" s="143"/>
      <c r="J78" s="7"/>
      <c r="K78" s="143"/>
      <c r="L78" s="143"/>
      <c r="M78" s="143"/>
      <c r="N78" s="143"/>
      <c r="O78" s="36"/>
      <c r="P78" s="36"/>
      <c r="Q78" s="3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6"/>
      <c r="AV78" s="6"/>
      <c r="AW78" s="6"/>
      <c r="AX78" s="6"/>
    </row>
    <row r="79" spans="1:50" ht="15.75" customHeight="1" x14ac:dyDescent="0.3">
      <c r="A79" s="13"/>
      <c r="B79" s="13"/>
      <c r="C79" s="13"/>
      <c r="D79" s="136"/>
      <c r="E79" s="143"/>
      <c r="F79" s="147"/>
      <c r="G79" s="148"/>
      <c r="H79" s="143"/>
      <c r="I79" s="143"/>
      <c r="J79" s="7"/>
      <c r="K79" s="143"/>
      <c r="L79" s="143"/>
      <c r="M79" s="143"/>
      <c r="N79" s="143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6"/>
      <c r="AV79" s="6"/>
      <c r="AW79" s="6"/>
      <c r="AX79" s="6"/>
    </row>
    <row r="80" spans="1:50" ht="15.75" customHeight="1" x14ac:dyDescent="0.3">
      <c r="A80" s="13"/>
      <c r="B80" s="13"/>
      <c r="C80" s="13"/>
      <c r="D80" s="136"/>
      <c r="E80" s="143"/>
      <c r="F80" s="147"/>
      <c r="G80" s="148"/>
      <c r="H80" s="143"/>
      <c r="I80" s="143"/>
      <c r="J80" s="7"/>
      <c r="K80" s="143"/>
      <c r="L80" s="143"/>
      <c r="M80" s="143"/>
      <c r="N80" s="143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6"/>
      <c r="AV80" s="6"/>
      <c r="AW80" s="6"/>
      <c r="AX80" s="6"/>
    </row>
    <row r="81" spans="1:50" ht="15.75" customHeight="1" x14ac:dyDescent="0.3">
      <c r="A81" s="13"/>
      <c r="B81" s="13"/>
      <c r="C81" s="13"/>
      <c r="D81" s="136"/>
      <c r="E81" s="143"/>
      <c r="F81" s="147"/>
      <c r="G81" s="148"/>
      <c r="H81" s="143"/>
      <c r="I81" s="143"/>
      <c r="J81" s="7"/>
      <c r="K81" s="143"/>
      <c r="L81" s="143"/>
      <c r="M81" s="143"/>
      <c r="N81" s="143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6"/>
      <c r="AV81" s="6"/>
      <c r="AW81" s="6"/>
      <c r="AX81" s="6"/>
    </row>
    <row r="82" spans="1:50" ht="15.75" customHeight="1" x14ac:dyDescent="0.3">
      <c r="A82" s="13"/>
      <c r="B82" s="13"/>
      <c r="C82" s="233"/>
      <c r="D82" s="136"/>
      <c r="E82" s="143"/>
      <c r="F82" s="147"/>
      <c r="G82" s="148"/>
      <c r="H82" s="143"/>
      <c r="I82" s="143"/>
      <c r="J82" s="8"/>
      <c r="K82" s="143"/>
      <c r="L82" s="143"/>
      <c r="M82" s="143"/>
      <c r="N82" s="143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6"/>
      <c r="AV82" s="6"/>
      <c r="AW82" s="6"/>
      <c r="AX82" s="6"/>
    </row>
    <row r="83" spans="1:50" ht="15.75" customHeight="1" x14ac:dyDescent="0.3">
      <c r="A83" s="13"/>
      <c r="B83" s="13"/>
      <c r="C83" s="13"/>
      <c r="D83" s="136"/>
      <c r="E83" s="143"/>
      <c r="F83" s="147"/>
      <c r="G83" s="148"/>
      <c r="H83" s="143"/>
      <c r="I83" s="143"/>
      <c r="J83" s="7"/>
      <c r="K83" s="143"/>
      <c r="L83" s="143"/>
      <c r="M83" s="143"/>
      <c r="N83" s="143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6"/>
      <c r="AV83" s="6"/>
      <c r="AW83" s="6"/>
      <c r="AX83" s="6"/>
    </row>
    <row r="84" spans="1:50" ht="15.75" customHeight="1" x14ac:dyDescent="0.3">
      <c r="A84" s="13"/>
      <c r="B84" s="13"/>
      <c r="C84" s="13"/>
      <c r="D84" s="136"/>
      <c r="E84" s="143"/>
      <c r="F84" s="147"/>
      <c r="G84" s="148"/>
      <c r="H84" s="143"/>
      <c r="I84" s="143"/>
      <c r="J84" s="7"/>
      <c r="K84" s="143"/>
      <c r="L84" s="143"/>
      <c r="M84" s="143"/>
      <c r="N84" s="143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6"/>
      <c r="AV84" s="6"/>
      <c r="AW84" s="6"/>
      <c r="AX84" s="6"/>
    </row>
    <row r="85" spans="1:50" ht="15.75" customHeight="1" x14ac:dyDescent="0.3">
      <c r="A85" s="13"/>
      <c r="B85" s="13"/>
      <c r="C85" s="13"/>
      <c r="D85" s="136"/>
      <c r="E85" s="143"/>
      <c r="F85" s="147"/>
      <c r="G85" s="148"/>
      <c r="H85" s="143"/>
      <c r="I85" s="143"/>
      <c r="J85" s="7"/>
      <c r="K85" s="143"/>
      <c r="L85" s="143"/>
      <c r="M85" s="143"/>
      <c r="N85" s="143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6"/>
      <c r="AV85" s="6"/>
      <c r="AW85" s="6"/>
      <c r="AX85" s="6"/>
    </row>
    <row r="86" spans="1:50" ht="15.75" customHeight="1" x14ac:dyDescent="0.3">
      <c r="A86" s="13"/>
      <c r="B86" s="13"/>
      <c r="C86" s="421"/>
      <c r="D86" s="9"/>
      <c r="E86" s="39"/>
      <c r="F86" s="40"/>
      <c r="G86" s="40"/>
      <c r="H86" s="46"/>
      <c r="I86" s="46"/>
      <c r="J86" s="8"/>
      <c r="K86" s="43"/>
      <c r="L86" s="43"/>
      <c r="M86" s="43"/>
      <c r="N86" s="43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6"/>
      <c r="AV86" s="6"/>
      <c r="AW86" s="6"/>
      <c r="AX86" s="6"/>
    </row>
    <row r="87" spans="1:50" ht="15.75" customHeight="1" x14ac:dyDescent="0.3">
      <c r="A87" s="13"/>
      <c r="B87" s="13"/>
      <c r="C87" s="13"/>
      <c r="D87" s="9"/>
      <c r="E87" s="39"/>
      <c r="F87" s="40"/>
      <c r="G87" s="40"/>
      <c r="H87" s="46"/>
      <c r="I87" s="46"/>
      <c r="J87" s="7"/>
      <c r="K87" s="43"/>
      <c r="L87" s="43"/>
      <c r="M87" s="43"/>
      <c r="N87" s="43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6"/>
      <c r="AV87" s="6"/>
      <c r="AW87" s="6"/>
      <c r="AX87" s="6"/>
    </row>
    <row r="88" spans="1:50" ht="15.75" customHeight="1" x14ac:dyDescent="0.3">
      <c r="A88" s="13"/>
      <c r="B88" s="13"/>
      <c r="C88" s="13"/>
      <c r="D88" s="9"/>
      <c r="E88" s="39"/>
      <c r="F88" s="40"/>
      <c r="G88" s="40"/>
      <c r="H88" s="46"/>
      <c r="I88" s="46"/>
      <c r="J88" s="7"/>
      <c r="K88" s="43"/>
      <c r="L88" s="43"/>
      <c r="M88" s="43"/>
      <c r="N88" s="43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6"/>
      <c r="AV88" s="6"/>
      <c r="AW88" s="6"/>
      <c r="AX88" s="6"/>
    </row>
    <row r="89" spans="1:50" ht="15.75" customHeight="1" x14ac:dyDescent="0.3">
      <c r="A89" s="13"/>
      <c r="B89" s="13"/>
      <c r="C89" s="13"/>
      <c r="D89" s="9"/>
      <c r="E89" s="39"/>
      <c r="F89" s="40"/>
      <c r="G89" s="40"/>
      <c r="H89" s="46"/>
      <c r="I89" s="46"/>
      <c r="J89" s="7"/>
      <c r="K89" s="43"/>
      <c r="L89" s="43"/>
      <c r="M89" s="43"/>
      <c r="N89" s="43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6"/>
      <c r="AV89" s="6"/>
      <c r="AW89" s="6"/>
      <c r="AX89" s="6"/>
    </row>
    <row r="90" spans="1:50" ht="15.75" customHeight="1" x14ac:dyDescent="0.3">
      <c r="A90" s="13"/>
      <c r="B90" s="13"/>
      <c r="C90" s="115"/>
      <c r="D90" s="9"/>
      <c r="E90" s="39"/>
      <c r="F90" s="40"/>
      <c r="G90" s="40"/>
      <c r="H90" s="46"/>
      <c r="I90" s="46"/>
      <c r="J90" s="7"/>
      <c r="K90" s="43"/>
      <c r="L90" s="43"/>
      <c r="M90" s="43"/>
      <c r="N90" s="43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6"/>
      <c r="AV90" s="6"/>
      <c r="AW90" s="6"/>
      <c r="AX90" s="6"/>
    </row>
    <row r="91" spans="1:50" ht="15.75" customHeight="1" x14ac:dyDescent="0.3">
      <c r="A91" s="13"/>
      <c r="B91" s="13"/>
      <c r="C91" s="175"/>
      <c r="D91" s="9"/>
      <c r="E91" s="39"/>
      <c r="F91" s="40"/>
      <c r="G91" s="40"/>
      <c r="H91" s="46"/>
      <c r="I91" s="46"/>
      <c r="J91" s="8"/>
      <c r="K91" s="43"/>
      <c r="L91" s="43"/>
      <c r="M91" s="43"/>
      <c r="N91" s="43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6"/>
      <c r="AV91" s="6"/>
      <c r="AW91" s="6"/>
      <c r="AX91" s="6"/>
    </row>
    <row r="92" spans="1:50" ht="15.75" customHeight="1" x14ac:dyDescent="0.3">
      <c r="A92" s="13"/>
      <c r="B92" s="13"/>
      <c r="C92" s="13"/>
      <c r="D92" s="9"/>
      <c r="E92" s="39"/>
      <c r="F92" s="40"/>
      <c r="G92" s="40"/>
      <c r="H92" s="46"/>
      <c r="I92" s="46"/>
      <c r="J92" s="7"/>
      <c r="K92" s="43"/>
      <c r="L92" s="43"/>
      <c r="M92" s="43"/>
      <c r="N92" s="43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6"/>
      <c r="AV92" s="6"/>
      <c r="AW92" s="6"/>
      <c r="AX92" s="6"/>
    </row>
    <row r="93" spans="1:50" ht="15.75" customHeight="1" x14ac:dyDescent="0.3">
      <c r="A93" s="13"/>
      <c r="B93" s="13"/>
      <c r="C93" s="13"/>
      <c r="D93" s="9"/>
      <c r="E93" s="39"/>
      <c r="F93" s="40"/>
      <c r="G93" s="40"/>
      <c r="H93" s="46"/>
      <c r="I93" s="46"/>
      <c r="J93" s="7"/>
      <c r="K93" s="43"/>
      <c r="L93" s="43"/>
      <c r="M93" s="43"/>
      <c r="N93" s="43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6"/>
      <c r="AV93" s="6"/>
      <c r="AW93" s="6"/>
      <c r="AX93" s="6"/>
    </row>
    <row r="94" spans="1:50" ht="15.75" customHeight="1" x14ac:dyDescent="0.3">
      <c r="A94" s="13"/>
      <c r="B94" s="13"/>
      <c r="C94" s="13"/>
      <c r="D94" s="9"/>
      <c r="E94" s="39"/>
      <c r="F94" s="40"/>
      <c r="G94" s="40"/>
      <c r="H94" s="46"/>
      <c r="I94" s="46"/>
      <c r="J94" s="7"/>
      <c r="K94" s="43"/>
      <c r="L94" s="43"/>
      <c r="M94" s="43"/>
      <c r="N94" s="43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6"/>
      <c r="AV94" s="6"/>
      <c r="AW94" s="6"/>
      <c r="AX94" s="6"/>
    </row>
    <row r="95" spans="1:50" ht="15.75" customHeight="1" x14ac:dyDescent="0.3">
      <c r="A95" s="13"/>
      <c r="B95" s="13"/>
      <c r="C95" s="13"/>
      <c r="D95" s="9"/>
      <c r="E95" s="39"/>
      <c r="F95" s="40"/>
      <c r="G95" s="40"/>
      <c r="H95" s="46"/>
      <c r="I95" s="46"/>
      <c r="J95" s="7"/>
      <c r="K95" s="43"/>
      <c r="L95" s="43"/>
      <c r="M95" s="43"/>
      <c r="N95" s="43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6"/>
      <c r="AV95" s="6"/>
      <c r="AW95" s="6"/>
      <c r="AX95" s="6"/>
    </row>
    <row r="96" spans="1:50" ht="15.75" customHeight="1" x14ac:dyDescent="0.3">
      <c r="A96" s="13"/>
      <c r="B96" s="13"/>
      <c r="C96" s="13"/>
      <c r="D96" s="9"/>
      <c r="E96" s="39"/>
      <c r="F96" s="40"/>
      <c r="G96" s="40"/>
      <c r="H96" s="46"/>
      <c r="I96" s="46"/>
      <c r="J96" s="7"/>
      <c r="K96" s="43"/>
      <c r="L96" s="43"/>
      <c r="M96" s="43"/>
      <c r="N96" s="43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6"/>
      <c r="AV96" s="6"/>
      <c r="AW96" s="6"/>
      <c r="AX96" s="6"/>
    </row>
    <row r="97" spans="1:50" ht="15.75" customHeight="1" x14ac:dyDescent="0.3">
      <c r="A97" s="13"/>
      <c r="B97" s="13"/>
      <c r="C97" s="421"/>
      <c r="D97" s="9"/>
      <c r="E97" s="39"/>
      <c r="F97" s="40"/>
      <c r="G97" s="40"/>
      <c r="H97" s="46"/>
      <c r="I97" s="46"/>
      <c r="J97" s="7"/>
      <c r="K97" s="43"/>
      <c r="L97" s="43"/>
      <c r="M97" s="43"/>
      <c r="N97" s="4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6"/>
      <c r="AV97" s="6"/>
      <c r="AW97" s="6"/>
      <c r="AX97" s="6"/>
    </row>
    <row r="98" spans="1:50" ht="15.75" customHeight="1" x14ac:dyDescent="0.3">
      <c r="A98" s="13"/>
      <c r="B98" s="13"/>
      <c r="C98" s="13"/>
      <c r="D98" s="9"/>
      <c r="E98" s="39"/>
      <c r="F98" s="40"/>
      <c r="G98" s="40"/>
      <c r="H98" s="46"/>
      <c r="I98" s="46"/>
      <c r="J98" s="7"/>
      <c r="K98" s="43"/>
      <c r="L98" s="43"/>
      <c r="M98" s="43"/>
      <c r="N98" s="43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6"/>
      <c r="AV98" s="6"/>
      <c r="AW98" s="6"/>
      <c r="AX98" s="6"/>
    </row>
    <row r="99" spans="1:50" ht="15.75" customHeight="1" x14ac:dyDescent="0.3">
      <c r="A99" s="13"/>
      <c r="B99" s="13"/>
      <c r="C99" s="13"/>
      <c r="D99" s="9"/>
      <c r="E99" s="39"/>
      <c r="F99" s="40"/>
      <c r="G99" s="40"/>
      <c r="H99" s="46"/>
      <c r="I99" s="46"/>
      <c r="J99" s="7"/>
      <c r="K99" s="43"/>
      <c r="L99" s="43"/>
      <c r="M99" s="43"/>
      <c r="N99" s="4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6"/>
      <c r="AV99" s="6"/>
      <c r="AW99" s="6"/>
      <c r="AX99" s="6"/>
    </row>
    <row r="100" spans="1:50" ht="15.75" customHeight="1" x14ac:dyDescent="0.3">
      <c r="A100" s="13"/>
      <c r="B100" s="13"/>
      <c r="C100" s="13"/>
      <c r="D100" s="9"/>
      <c r="E100" s="39"/>
      <c r="F100" s="40"/>
      <c r="G100" s="40"/>
      <c r="H100" s="46"/>
      <c r="I100" s="46"/>
      <c r="J100" s="8"/>
      <c r="K100" s="43"/>
      <c r="L100" s="43"/>
      <c r="M100" s="43"/>
      <c r="N100" s="43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6"/>
      <c r="AV100" s="6"/>
      <c r="AW100" s="6"/>
      <c r="AX100" s="6"/>
    </row>
    <row r="101" spans="1:50" ht="15.75" customHeight="1" x14ac:dyDescent="0.3">
      <c r="A101" s="13"/>
      <c r="B101" s="13"/>
      <c r="C101" s="421"/>
      <c r="D101" s="9"/>
      <c r="E101" s="39"/>
      <c r="F101" s="40"/>
      <c r="G101" s="40"/>
      <c r="H101" s="46"/>
      <c r="I101" s="46"/>
      <c r="J101" s="7"/>
      <c r="K101" s="43"/>
      <c r="L101" s="43"/>
      <c r="M101" s="43"/>
      <c r="N101" s="43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6"/>
      <c r="AV101" s="6"/>
      <c r="AW101" s="6"/>
      <c r="AX101" s="6"/>
    </row>
    <row r="102" spans="1:50" ht="15.75" customHeight="1" x14ac:dyDescent="0.3">
      <c r="A102" s="13"/>
      <c r="B102" s="13"/>
      <c r="C102" s="233"/>
      <c r="D102" s="9"/>
      <c r="E102" s="39"/>
      <c r="F102" s="40"/>
      <c r="G102" s="40"/>
      <c r="H102" s="46"/>
      <c r="I102" s="46"/>
      <c r="J102" s="7"/>
      <c r="K102" s="43"/>
      <c r="L102" s="43"/>
      <c r="M102" s="43"/>
      <c r="N102" s="43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6"/>
      <c r="AV102" s="6"/>
      <c r="AW102" s="6"/>
      <c r="AX102" s="6"/>
    </row>
    <row r="103" spans="1:50" ht="15.75" customHeight="1" x14ac:dyDescent="0.3">
      <c r="A103" s="13"/>
      <c r="B103" s="13"/>
      <c r="C103" s="239"/>
      <c r="D103" s="9"/>
      <c r="E103" s="39"/>
      <c r="F103" s="40"/>
      <c r="G103" s="40"/>
      <c r="H103" s="46"/>
      <c r="I103" s="46"/>
      <c r="J103" s="7"/>
      <c r="K103" s="43"/>
      <c r="L103" s="43"/>
      <c r="M103" s="43"/>
      <c r="N103" s="43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6"/>
      <c r="AV103" s="6"/>
      <c r="AW103" s="6"/>
      <c r="AX103" s="6"/>
    </row>
    <row r="104" spans="1:50" ht="15.75" customHeight="1" x14ac:dyDescent="0.3">
      <c r="A104" s="13"/>
      <c r="B104" s="13"/>
      <c r="C104" s="13"/>
      <c r="D104" s="9"/>
      <c r="E104" s="39"/>
      <c r="F104" s="40"/>
      <c r="G104" s="40"/>
      <c r="H104" s="46"/>
      <c r="I104" s="46"/>
      <c r="J104" s="7"/>
      <c r="K104" s="43"/>
      <c r="L104" s="43"/>
      <c r="M104" s="43"/>
      <c r="N104" s="43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6"/>
      <c r="AV104" s="6"/>
      <c r="AW104" s="6"/>
      <c r="AX104" s="6"/>
    </row>
    <row r="105" spans="1:50" ht="15.75" customHeight="1" x14ac:dyDescent="0.3">
      <c r="A105" s="13"/>
      <c r="B105" s="13"/>
      <c r="C105" s="13"/>
      <c r="D105" s="9"/>
      <c r="E105" s="39"/>
      <c r="F105" s="40"/>
      <c r="G105" s="40"/>
      <c r="H105" s="46"/>
      <c r="I105" s="46"/>
      <c r="J105" s="7"/>
      <c r="K105" s="43"/>
      <c r="L105" s="43"/>
      <c r="M105" s="43"/>
      <c r="N105" s="4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6"/>
      <c r="AV105" s="6"/>
      <c r="AW105" s="6"/>
      <c r="AX105" s="6"/>
    </row>
    <row r="106" spans="1:50" ht="15.75" customHeight="1" x14ac:dyDescent="0.3">
      <c r="A106" s="13"/>
      <c r="B106" s="13"/>
      <c r="C106" s="13"/>
      <c r="D106" s="9"/>
      <c r="E106" s="39"/>
      <c r="F106" s="40"/>
      <c r="G106" s="40"/>
      <c r="H106" s="46"/>
      <c r="I106" s="46"/>
      <c r="J106" s="7"/>
      <c r="K106" s="43"/>
      <c r="L106" s="43"/>
      <c r="M106" s="43"/>
      <c r="N106" s="43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6"/>
      <c r="AV106" s="6"/>
      <c r="AW106" s="6"/>
      <c r="AX106" s="6"/>
    </row>
    <row r="107" spans="1:50" ht="15.75" customHeight="1" x14ac:dyDescent="0.3">
      <c r="A107" s="13"/>
      <c r="B107" s="13"/>
      <c r="C107" s="13"/>
      <c r="D107" s="9"/>
      <c r="E107" s="39"/>
      <c r="F107" s="40"/>
      <c r="G107" s="40"/>
      <c r="H107" s="46"/>
      <c r="I107" s="46"/>
      <c r="J107" s="7"/>
      <c r="K107" s="43"/>
      <c r="L107" s="43"/>
      <c r="M107" s="43"/>
      <c r="N107" s="43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6"/>
      <c r="AV107" s="6"/>
      <c r="AW107" s="6"/>
      <c r="AX107" s="6"/>
    </row>
    <row r="108" spans="1:50" ht="15.75" customHeight="1" x14ac:dyDescent="0.3">
      <c r="A108" s="13"/>
      <c r="B108" s="13"/>
      <c r="C108" s="13"/>
      <c r="D108" s="9"/>
      <c r="E108" s="39"/>
      <c r="F108" s="40"/>
      <c r="G108" s="40"/>
      <c r="H108" s="46"/>
      <c r="I108" s="46"/>
      <c r="J108" s="7"/>
      <c r="K108" s="43"/>
      <c r="L108" s="43"/>
      <c r="M108" s="43"/>
      <c r="N108" s="43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6"/>
      <c r="AV108" s="6"/>
      <c r="AW108" s="6"/>
      <c r="AX108" s="6"/>
    </row>
    <row r="109" spans="1:50" ht="15.75" customHeight="1" x14ac:dyDescent="0.3">
      <c r="A109" s="13"/>
      <c r="B109" s="13"/>
      <c r="C109" s="13"/>
      <c r="D109" s="9"/>
      <c r="E109" s="39"/>
      <c r="F109" s="40"/>
      <c r="G109" s="40"/>
      <c r="H109" s="46"/>
      <c r="I109" s="46"/>
      <c r="J109" s="7"/>
      <c r="K109" s="43"/>
      <c r="L109" s="43"/>
      <c r="M109" s="43"/>
      <c r="N109" s="43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6"/>
      <c r="AV109" s="6"/>
      <c r="AW109" s="6"/>
      <c r="AX109" s="6"/>
    </row>
    <row r="110" spans="1:50" ht="15.75" customHeight="1" x14ac:dyDescent="0.3">
      <c r="A110" s="13"/>
      <c r="B110" s="13"/>
      <c r="C110" s="13"/>
      <c r="D110" s="9"/>
      <c r="E110" s="39"/>
      <c r="F110" s="40"/>
      <c r="G110" s="40"/>
      <c r="H110" s="46"/>
      <c r="I110" s="46"/>
      <c r="J110" s="7"/>
      <c r="K110" s="43"/>
      <c r="L110" s="43"/>
      <c r="M110" s="43"/>
      <c r="N110" s="43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6"/>
      <c r="AV110" s="6"/>
      <c r="AW110" s="6"/>
      <c r="AX110" s="6"/>
    </row>
    <row r="111" spans="1:50" ht="15.75" customHeight="1" x14ac:dyDescent="0.3">
      <c r="A111" s="13"/>
      <c r="B111" s="13"/>
      <c r="C111" s="13"/>
      <c r="D111" s="9"/>
      <c r="E111" s="39"/>
      <c r="F111" s="40"/>
      <c r="G111" s="40"/>
      <c r="H111" s="46"/>
      <c r="I111" s="46"/>
      <c r="J111" s="7"/>
      <c r="K111" s="43"/>
      <c r="L111" s="43"/>
      <c r="M111" s="43"/>
      <c r="N111" s="4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6"/>
      <c r="AV111" s="6"/>
      <c r="AW111" s="6"/>
      <c r="AX111" s="6"/>
    </row>
    <row r="112" spans="1:50" ht="15.75" customHeight="1" x14ac:dyDescent="0.3">
      <c r="A112" s="13"/>
      <c r="B112" s="13"/>
      <c r="C112" s="13"/>
      <c r="D112" s="9"/>
      <c r="E112" s="39"/>
      <c r="F112" s="40"/>
      <c r="G112" s="40"/>
      <c r="H112" s="46"/>
      <c r="I112" s="46"/>
      <c r="J112" s="7"/>
      <c r="K112" s="43"/>
      <c r="L112" s="43"/>
      <c r="M112" s="43"/>
      <c r="N112" s="43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6"/>
      <c r="AV112" s="6"/>
      <c r="AW112" s="6"/>
      <c r="AX112" s="6"/>
    </row>
    <row r="113" spans="1:50" ht="15.75" customHeight="1" x14ac:dyDescent="0.3">
      <c r="A113" s="13"/>
      <c r="B113" s="13"/>
      <c r="C113" s="13"/>
      <c r="D113" s="9"/>
      <c r="E113" s="39"/>
      <c r="F113" s="40"/>
      <c r="G113" s="40"/>
      <c r="H113" s="46"/>
      <c r="I113" s="46"/>
      <c r="J113" s="7"/>
      <c r="K113" s="43"/>
      <c r="L113" s="43"/>
      <c r="M113" s="43"/>
      <c r="N113" s="4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6"/>
      <c r="AV113" s="6"/>
      <c r="AW113" s="6"/>
      <c r="AX113" s="6"/>
    </row>
    <row r="114" spans="1:50" ht="15.75" customHeight="1" x14ac:dyDescent="0.3">
      <c r="A114" s="13"/>
      <c r="B114" s="13"/>
      <c r="C114" s="13"/>
      <c r="D114" s="9"/>
      <c r="E114" s="39"/>
      <c r="F114" s="40"/>
      <c r="G114" s="40"/>
      <c r="H114" s="46"/>
      <c r="I114" s="46"/>
      <c r="J114" s="7"/>
      <c r="K114" s="43"/>
      <c r="L114" s="43"/>
      <c r="M114" s="43"/>
      <c r="N114" s="43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6"/>
      <c r="AV114" s="6"/>
      <c r="AW114" s="6"/>
      <c r="AX114" s="6"/>
    </row>
    <row r="115" spans="1:50" ht="15.75" customHeight="1" x14ac:dyDescent="0.3">
      <c r="A115" s="13"/>
      <c r="B115" s="13"/>
      <c r="C115" s="13"/>
      <c r="D115" s="9"/>
      <c r="E115" s="39"/>
      <c r="F115" s="40"/>
      <c r="G115" s="40"/>
      <c r="H115" s="46"/>
      <c r="I115" s="46"/>
      <c r="J115" s="7"/>
      <c r="K115" s="43"/>
      <c r="L115" s="43"/>
      <c r="M115" s="43"/>
      <c r="N115" s="4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6"/>
      <c r="AV115" s="6"/>
      <c r="AW115" s="6"/>
      <c r="AX115" s="6"/>
    </row>
    <row r="116" spans="1:50" ht="15.75" customHeight="1" x14ac:dyDescent="0.3">
      <c r="A116" s="13"/>
      <c r="B116" s="13"/>
      <c r="C116" s="13"/>
      <c r="D116" s="9"/>
      <c r="E116" s="39"/>
      <c r="F116" s="40"/>
      <c r="G116" s="40"/>
      <c r="H116" s="46"/>
      <c r="I116" s="46"/>
      <c r="J116" s="7"/>
      <c r="K116" s="43"/>
      <c r="L116" s="43"/>
      <c r="M116" s="43"/>
      <c r="N116" s="43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6"/>
      <c r="AV116" s="6"/>
      <c r="AW116" s="6"/>
      <c r="AX116" s="6"/>
    </row>
    <row r="117" spans="1:50" ht="15.75" customHeight="1" x14ac:dyDescent="0.3">
      <c r="A117" s="13"/>
      <c r="B117" s="13"/>
      <c r="C117" s="13"/>
      <c r="D117" s="9"/>
      <c r="E117" s="39"/>
      <c r="F117" s="40"/>
      <c r="G117" s="40"/>
      <c r="H117" s="46"/>
      <c r="I117" s="46"/>
      <c r="J117" s="7"/>
      <c r="K117" s="43"/>
      <c r="L117" s="43"/>
      <c r="M117" s="43"/>
      <c r="N117" s="43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6"/>
      <c r="AV117" s="6"/>
      <c r="AW117" s="6"/>
      <c r="AX117" s="6"/>
    </row>
    <row r="118" spans="1:50" ht="15.75" customHeight="1" x14ac:dyDescent="0.3">
      <c r="A118" s="13"/>
      <c r="B118" s="13"/>
      <c r="C118" s="13"/>
      <c r="D118" s="9"/>
      <c r="E118" s="39"/>
      <c r="F118" s="40"/>
      <c r="G118" s="40"/>
      <c r="H118" s="46"/>
      <c r="I118" s="46"/>
      <c r="J118" s="7"/>
      <c r="K118" s="43"/>
      <c r="L118" s="43"/>
      <c r="M118" s="43"/>
      <c r="N118" s="43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6"/>
      <c r="AV118" s="6"/>
      <c r="AW118" s="6"/>
      <c r="AX118" s="6"/>
    </row>
    <row r="119" spans="1:50" ht="15.75" customHeight="1" x14ac:dyDescent="0.3">
      <c r="A119" s="13"/>
      <c r="B119" s="13"/>
      <c r="C119" s="13"/>
      <c r="D119" s="9"/>
      <c r="E119" s="39"/>
      <c r="F119" s="40"/>
      <c r="G119" s="40"/>
      <c r="H119" s="46"/>
      <c r="I119" s="46"/>
      <c r="J119" s="7"/>
      <c r="K119" s="43"/>
      <c r="L119" s="43"/>
      <c r="M119" s="43"/>
      <c r="N119" s="43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6"/>
      <c r="AV119" s="6"/>
      <c r="AW119" s="6"/>
      <c r="AX119" s="6"/>
    </row>
    <row r="120" spans="1:50" ht="15.75" customHeight="1" x14ac:dyDescent="0.3">
      <c r="A120" s="13"/>
      <c r="B120" s="13"/>
      <c r="C120" s="13"/>
      <c r="D120" s="9"/>
      <c r="E120" s="39"/>
      <c r="F120" s="40"/>
      <c r="G120" s="40"/>
      <c r="H120" s="46"/>
      <c r="I120" s="46"/>
      <c r="J120" s="7"/>
      <c r="K120" s="43"/>
      <c r="L120" s="43"/>
      <c r="M120" s="43"/>
      <c r="N120" s="43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6"/>
      <c r="AV120" s="6"/>
      <c r="AW120" s="6"/>
      <c r="AX120" s="6"/>
    </row>
    <row r="121" spans="1:50" ht="15.75" customHeight="1" x14ac:dyDescent="0.3">
      <c r="A121" s="13"/>
      <c r="B121" s="13"/>
      <c r="C121" s="13"/>
      <c r="D121" s="9"/>
      <c r="E121" s="39"/>
      <c r="F121" s="40"/>
      <c r="G121" s="40"/>
      <c r="H121" s="46"/>
      <c r="I121" s="46"/>
      <c r="J121" s="7"/>
      <c r="K121" s="43"/>
      <c r="L121" s="43"/>
      <c r="M121" s="43"/>
      <c r="N121" s="43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6"/>
      <c r="AV121" s="6"/>
      <c r="AW121" s="6"/>
      <c r="AX121" s="6"/>
    </row>
    <row r="122" spans="1:50" ht="15.75" customHeight="1" x14ac:dyDescent="0.3">
      <c r="A122" s="13"/>
      <c r="B122" s="13"/>
      <c r="C122" s="13"/>
      <c r="D122" s="9"/>
      <c r="E122" s="39"/>
      <c r="F122" s="40"/>
      <c r="G122" s="40"/>
      <c r="H122" s="46"/>
      <c r="I122" s="46"/>
      <c r="J122" s="7"/>
      <c r="K122" s="43"/>
      <c r="L122" s="43"/>
      <c r="M122" s="43"/>
      <c r="N122" s="43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6"/>
      <c r="AV122" s="6"/>
      <c r="AW122" s="6"/>
      <c r="AX122" s="6"/>
    </row>
    <row r="123" spans="1:50" ht="15.75" customHeight="1" x14ac:dyDescent="0.3">
      <c r="A123" s="13"/>
      <c r="B123" s="13"/>
      <c r="C123" s="13"/>
      <c r="D123" s="9"/>
      <c r="E123" s="39"/>
      <c r="F123" s="40"/>
      <c r="G123" s="40"/>
      <c r="H123" s="46"/>
      <c r="I123" s="46"/>
      <c r="J123" s="7"/>
      <c r="K123" s="43"/>
      <c r="L123" s="43"/>
      <c r="M123" s="43"/>
      <c r="N123" s="43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6"/>
      <c r="AV123" s="6"/>
      <c r="AW123" s="6"/>
      <c r="AX123" s="6"/>
    </row>
    <row r="124" spans="1:50" ht="15.75" customHeight="1" x14ac:dyDescent="0.3">
      <c r="A124" s="13"/>
      <c r="B124" s="13"/>
      <c r="C124" s="13"/>
      <c r="D124" s="9"/>
      <c r="E124" s="39"/>
      <c r="F124" s="40"/>
      <c r="G124" s="40"/>
      <c r="H124" s="46"/>
      <c r="I124" s="46"/>
      <c r="J124" s="7"/>
      <c r="K124" s="43"/>
      <c r="L124" s="43"/>
      <c r="M124" s="43"/>
      <c r="N124" s="43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6"/>
      <c r="AV124" s="6"/>
      <c r="AW124" s="6"/>
      <c r="AX124" s="6"/>
    </row>
    <row r="125" spans="1:50" ht="15.75" customHeight="1" x14ac:dyDescent="0.3">
      <c r="A125" s="13"/>
      <c r="B125" s="13"/>
      <c r="C125" s="13"/>
      <c r="D125" s="9"/>
      <c r="E125" s="39"/>
      <c r="F125" s="40"/>
      <c r="G125" s="40"/>
      <c r="H125" s="46"/>
      <c r="I125" s="46"/>
      <c r="J125" s="7"/>
      <c r="K125" s="43"/>
      <c r="L125" s="43"/>
      <c r="M125" s="43"/>
      <c r="N125" s="43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6"/>
      <c r="AV125" s="6"/>
      <c r="AW125" s="6"/>
      <c r="AX125" s="6"/>
    </row>
    <row r="126" spans="1:50" ht="15.75" customHeight="1" x14ac:dyDescent="0.3">
      <c r="A126" s="13"/>
      <c r="B126" s="13"/>
      <c r="C126" s="13"/>
      <c r="D126" s="9"/>
      <c r="E126" s="39"/>
      <c r="F126" s="40"/>
      <c r="G126" s="40"/>
      <c r="H126" s="46"/>
      <c r="I126" s="46"/>
      <c r="J126" s="7"/>
      <c r="K126" s="43"/>
      <c r="L126" s="43"/>
      <c r="M126" s="43"/>
      <c r="N126" s="43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6"/>
      <c r="AV126" s="6"/>
      <c r="AW126" s="6"/>
      <c r="AX126" s="6"/>
    </row>
    <row r="127" spans="1:50" ht="15.75" customHeight="1" x14ac:dyDescent="0.3">
      <c r="A127" s="13"/>
      <c r="B127" s="13"/>
      <c r="C127" s="13"/>
      <c r="D127" s="9"/>
      <c r="E127" s="39"/>
      <c r="F127" s="40"/>
      <c r="G127" s="40"/>
      <c r="H127" s="46"/>
      <c r="I127" s="46"/>
      <c r="J127" s="7"/>
      <c r="K127" s="43"/>
      <c r="L127" s="43"/>
      <c r="M127" s="43"/>
      <c r="N127" s="43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6"/>
      <c r="AV127" s="6"/>
      <c r="AW127" s="6"/>
      <c r="AX127" s="6"/>
    </row>
    <row r="128" spans="1:50" ht="15.75" customHeight="1" x14ac:dyDescent="0.3">
      <c r="A128" s="13"/>
      <c r="B128" s="13"/>
      <c r="C128" s="13"/>
      <c r="D128" s="9"/>
      <c r="E128" s="39"/>
      <c r="F128" s="40"/>
      <c r="G128" s="40"/>
      <c r="H128" s="46"/>
      <c r="I128" s="46"/>
      <c r="J128" s="7"/>
      <c r="K128" s="43"/>
      <c r="L128" s="43"/>
      <c r="M128" s="43"/>
      <c r="N128" s="43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6"/>
      <c r="AV128" s="6"/>
      <c r="AW128" s="6"/>
      <c r="AX128" s="6"/>
    </row>
    <row r="129" spans="1:50" ht="15.75" customHeight="1" x14ac:dyDescent="0.3">
      <c r="A129" s="13"/>
      <c r="B129" s="13"/>
      <c r="C129" s="13"/>
      <c r="D129" s="9"/>
      <c r="E129" s="39"/>
      <c r="F129" s="40"/>
      <c r="G129" s="40"/>
      <c r="H129" s="46"/>
      <c r="I129" s="46"/>
      <c r="J129" s="7"/>
      <c r="K129" s="43"/>
      <c r="L129" s="43"/>
      <c r="M129" s="43"/>
      <c r="N129" s="43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6"/>
      <c r="AV129" s="6"/>
      <c r="AW129" s="6"/>
      <c r="AX129" s="6"/>
    </row>
    <row r="130" spans="1:50" ht="15.75" customHeight="1" x14ac:dyDescent="0.3">
      <c r="A130" s="13"/>
      <c r="B130" s="13"/>
      <c r="C130" s="13"/>
      <c r="D130" s="9"/>
      <c r="E130" s="39"/>
      <c r="F130" s="40"/>
      <c r="G130" s="40"/>
      <c r="H130" s="46"/>
      <c r="I130" s="46"/>
      <c r="J130" s="7"/>
      <c r="K130" s="43"/>
      <c r="L130" s="43"/>
      <c r="M130" s="43"/>
      <c r="N130" s="43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6"/>
      <c r="AV130" s="6"/>
      <c r="AW130" s="6"/>
      <c r="AX130" s="6"/>
    </row>
    <row r="131" spans="1:50" ht="15.75" customHeight="1" x14ac:dyDescent="0.3">
      <c r="A131" s="13"/>
      <c r="B131" s="13"/>
      <c r="C131" s="13"/>
      <c r="D131" s="9"/>
      <c r="E131" s="39"/>
      <c r="F131" s="40"/>
      <c r="G131" s="40"/>
      <c r="H131" s="46"/>
      <c r="I131" s="46"/>
      <c r="J131" s="7"/>
      <c r="K131" s="43"/>
      <c r="L131" s="43"/>
      <c r="M131" s="43"/>
      <c r="N131" s="43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6"/>
      <c r="AV131" s="6"/>
      <c r="AW131" s="6"/>
      <c r="AX131" s="6"/>
    </row>
    <row r="132" spans="1:50" ht="15.75" customHeight="1" x14ac:dyDescent="0.3">
      <c r="A132" s="13"/>
      <c r="B132" s="13"/>
      <c r="C132" s="13"/>
      <c r="D132" s="9"/>
      <c r="E132" s="39"/>
      <c r="F132" s="40"/>
      <c r="G132" s="40"/>
      <c r="H132" s="46"/>
      <c r="I132" s="46"/>
      <c r="J132" s="7"/>
      <c r="K132" s="43"/>
      <c r="L132" s="43"/>
      <c r="M132" s="43"/>
      <c r="N132" s="43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6"/>
      <c r="AV132" s="6"/>
      <c r="AW132" s="6"/>
      <c r="AX132" s="6"/>
    </row>
    <row r="133" spans="1:50" ht="15.75" customHeight="1" x14ac:dyDescent="0.3">
      <c r="A133" s="13"/>
      <c r="B133" s="13"/>
      <c r="C133" s="13"/>
      <c r="D133" s="9"/>
      <c r="E133" s="39"/>
      <c r="F133" s="40"/>
      <c r="G133" s="40"/>
      <c r="H133" s="46"/>
      <c r="I133" s="46"/>
      <c r="J133" s="7"/>
      <c r="K133" s="43"/>
      <c r="L133" s="43"/>
      <c r="M133" s="43"/>
      <c r="N133" s="43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6"/>
      <c r="AV133" s="6"/>
      <c r="AW133" s="6"/>
      <c r="AX133" s="6"/>
    </row>
    <row r="134" spans="1:50" ht="15.75" customHeight="1" x14ac:dyDescent="0.3">
      <c r="A134" s="13"/>
      <c r="B134" s="13"/>
      <c r="C134" s="13"/>
      <c r="D134" s="9"/>
      <c r="E134" s="39"/>
      <c r="F134" s="40"/>
      <c r="G134" s="40"/>
      <c r="H134" s="46"/>
      <c r="I134" s="46"/>
      <c r="J134" s="7"/>
      <c r="K134" s="43"/>
      <c r="L134" s="43"/>
      <c r="M134" s="43"/>
      <c r="N134" s="43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6"/>
      <c r="AV134" s="6"/>
      <c r="AW134" s="6"/>
      <c r="AX134" s="6"/>
    </row>
    <row r="135" spans="1:50" ht="15.75" customHeight="1" x14ac:dyDescent="0.3">
      <c r="A135" s="13"/>
      <c r="B135" s="13"/>
      <c r="C135" s="13"/>
      <c r="D135" s="9"/>
      <c r="E135" s="39"/>
      <c r="F135" s="40"/>
      <c r="G135" s="40"/>
      <c r="H135" s="46"/>
      <c r="I135" s="46"/>
      <c r="J135" s="7"/>
      <c r="K135" s="43"/>
      <c r="L135" s="43"/>
      <c r="M135" s="43"/>
      <c r="N135" s="43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6"/>
      <c r="AV135" s="6"/>
      <c r="AW135" s="6"/>
      <c r="AX135" s="6"/>
    </row>
    <row r="136" spans="1:50" ht="15.75" customHeight="1" x14ac:dyDescent="0.3">
      <c r="A136" s="13"/>
      <c r="B136" s="13"/>
      <c r="C136" s="13"/>
      <c r="D136" s="9"/>
      <c r="E136" s="39"/>
      <c r="F136" s="40"/>
      <c r="G136" s="40"/>
      <c r="H136" s="46"/>
      <c r="I136" s="46"/>
      <c r="J136" s="7"/>
      <c r="K136" s="43"/>
      <c r="L136" s="43"/>
      <c r="M136" s="43"/>
      <c r="N136" s="43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6"/>
      <c r="AV136" s="6"/>
      <c r="AW136" s="6"/>
      <c r="AX136" s="6"/>
    </row>
    <row r="137" spans="1:50" ht="15.75" customHeight="1" x14ac:dyDescent="0.3">
      <c r="A137" s="13"/>
      <c r="B137" s="13"/>
      <c r="C137" s="13"/>
      <c r="D137" s="9"/>
      <c r="E137" s="39"/>
      <c r="F137" s="40"/>
      <c r="G137" s="40"/>
      <c r="H137" s="46"/>
      <c r="I137" s="46"/>
      <c r="J137" s="7"/>
      <c r="K137" s="43"/>
      <c r="L137" s="43"/>
      <c r="M137" s="43"/>
      <c r="N137" s="43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6"/>
      <c r="AV137" s="6"/>
      <c r="AW137" s="6"/>
      <c r="AX137" s="6"/>
    </row>
    <row r="138" spans="1:50" ht="15.75" customHeight="1" x14ac:dyDescent="0.3">
      <c r="A138" s="13"/>
      <c r="B138" s="13"/>
      <c r="C138" s="13"/>
      <c r="D138" s="9"/>
      <c r="E138" s="39"/>
      <c r="F138" s="40"/>
      <c r="G138" s="40"/>
      <c r="H138" s="46"/>
      <c r="I138" s="46"/>
      <c r="J138" s="7"/>
      <c r="K138" s="43"/>
      <c r="L138" s="43"/>
      <c r="M138" s="43"/>
      <c r="N138" s="43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6"/>
      <c r="AV138" s="6"/>
      <c r="AW138" s="6"/>
      <c r="AX138" s="6"/>
    </row>
    <row r="139" spans="1:50" ht="15.75" customHeight="1" x14ac:dyDescent="0.3">
      <c r="A139" s="13"/>
      <c r="B139" s="13"/>
      <c r="C139" s="13"/>
      <c r="D139" s="9"/>
      <c r="E139" s="39"/>
      <c r="F139" s="40"/>
      <c r="G139" s="40"/>
      <c r="H139" s="46"/>
      <c r="I139" s="46"/>
      <c r="J139" s="7"/>
      <c r="K139" s="43"/>
      <c r="L139" s="43"/>
      <c r="M139" s="43"/>
      <c r="N139" s="43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6"/>
      <c r="AV139" s="6"/>
      <c r="AW139" s="6"/>
      <c r="AX139" s="6"/>
    </row>
    <row r="140" spans="1:50" ht="15.75" customHeight="1" x14ac:dyDescent="0.3">
      <c r="A140" s="13"/>
      <c r="B140" s="13"/>
      <c r="C140" s="13"/>
      <c r="D140" s="9"/>
      <c r="E140" s="39"/>
      <c r="F140" s="40"/>
      <c r="G140" s="40"/>
      <c r="H140" s="46"/>
      <c r="I140" s="46"/>
      <c r="J140" s="7"/>
      <c r="K140" s="43"/>
      <c r="L140" s="43"/>
      <c r="M140" s="43"/>
      <c r="N140" s="43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6"/>
      <c r="AV140" s="6"/>
      <c r="AW140" s="6"/>
      <c r="AX140" s="6"/>
    </row>
    <row r="141" spans="1:50" ht="15.75" customHeight="1" x14ac:dyDescent="0.3">
      <c r="A141" s="13"/>
      <c r="B141" s="13"/>
      <c r="C141" s="13"/>
      <c r="D141" s="9"/>
      <c r="E141" s="39"/>
      <c r="F141" s="40"/>
      <c r="G141" s="40"/>
      <c r="H141" s="46"/>
      <c r="I141" s="46"/>
      <c r="J141" s="7"/>
      <c r="K141" s="43"/>
      <c r="L141" s="43"/>
      <c r="M141" s="43"/>
      <c r="N141" s="43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6"/>
      <c r="AV141" s="6"/>
      <c r="AW141" s="6"/>
      <c r="AX141" s="6"/>
    </row>
    <row r="142" spans="1:50" ht="15.75" customHeight="1" x14ac:dyDescent="0.3">
      <c r="A142" s="13"/>
      <c r="B142" s="13"/>
      <c r="C142" s="13"/>
      <c r="D142" s="9"/>
      <c r="E142" s="39"/>
      <c r="F142" s="40"/>
      <c r="G142" s="40"/>
      <c r="H142" s="46"/>
      <c r="I142" s="46"/>
      <c r="J142" s="7"/>
      <c r="K142" s="43"/>
      <c r="L142" s="43"/>
      <c r="M142" s="43"/>
      <c r="N142" s="43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6"/>
      <c r="AV142" s="6"/>
      <c r="AW142" s="6"/>
      <c r="AX142" s="6"/>
    </row>
    <row r="143" spans="1:50" ht="15.75" customHeight="1" x14ac:dyDescent="0.3">
      <c r="A143" s="13"/>
      <c r="B143" s="13"/>
      <c r="C143" s="13"/>
      <c r="D143" s="9"/>
      <c r="E143" s="39"/>
      <c r="F143" s="40"/>
      <c r="G143" s="40"/>
      <c r="H143" s="46"/>
      <c r="I143" s="46"/>
      <c r="J143" s="7"/>
      <c r="K143" s="43"/>
      <c r="L143" s="43"/>
      <c r="M143" s="43"/>
      <c r="N143" s="43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6"/>
      <c r="AV143" s="6"/>
      <c r="AW143" s="6"/>
      <c r="AX143" s="6"/>
    </row>
    <row r="144" spans="1:50" ht="15.75" customHeight="1" x14ac:dyDescent="0.3">
      <c r="A144" s="13"/>
      <c r="B144" s="13"/>
      <c r="C144" s="13"/>
      <c r="D144" s="9"/>
      <c r="E144" s="39"/>
      <c r="F144" s="40"/>
      <c r="G144" s="40"/>
      <c r="H144" s="46"/>
      <c r="I144" s="46"/>
      <c r="J144" s="7"/>
      <c r="K144" s="43"/>
      <c r="L144" s="43"/>
      <c r="M144" s="43"/>
      <c r="N144" s="43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6"/>
      <c r="AV144" s="6"/>
      <c r="AW144" s="6"/>
      <c r="AX144" s="6"/>
    </row>
    <row r="145" spans="1:50" ht="15.75" customHeight="1" x14ac:dyDescent="0.3">
      <c r="A145" s="13"/>
      <c r="B145" s="13"/>
      <c r="C145" s="13"/>
      <c r="D145" s="9"/>
      <c r="E145" s="39"/>
      <c r="F145" s="40"/>
      <c r="G145" s="40"/>
      <c r="H145" s="46"/>
      <c r="I145" s="46"/>
      <c r="J145" s="7"/>
      <c r="K145" s="43"/>
      <c r="L145" s="43"/>
      <c r="M145" s="43"/>
      <c r="N145" s="43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6"/>
      <c r="AV145" s="6"/>
      <c r="AW145" s="6"/>
      <c r="AX145" s="6"/>
    </row>
    <row r="146" spans="1:50" ht="15.75" customHeight="1" x14ac:dyDescent="0.3">
      <c r="A146" s="13"/>
      <c r="B146" s="13"/>
      <c r="C146" s="13"/>
      <c r="D146" s="9"/>
      <c r="E146" s="39"/>
      <c r="F146" s="40"/>
      <c r="G146" s="40"/>
      <c r="H146" s="46"/>
      <c r="I146" s="46"/>
      <c r="J146" s="7"/>
      <c r="K146" s="43"/>
      <c r="L146" s="43"/>
      <c r="M146" s="43"/>
      <c r="N146" s="43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6"/>
      <c r="AV146" s="6"/>
      <c r="AW146" s="6"/>
      <c r="AX146" s="6"/>
    </row>
    <row r="147" spans="1:50" ht="15.75" customHeight="1" x14ac:dyDescent="0.3">
      <c r="A147" s="13"/>
      <c r="B147" s="13"/>
      <c r="C147" s="13"/>
      <c r="D147" s="9"/>
      <c r="E147" s="39"/>
      <c r="F147" s="40"/>
      <c r="G147" s="40"/>
      <c r="H147" s="46"/>
      <c r="I147" s="46"/>
      <c r="J147" s="7"/>
      <c r="K147" s="43"/>
      <c r="L147" s="43"/>
      <c r="M147" s="43"/>
      <c r="N147" s="43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6"/>
      <c r="AV147" s="6"/>
      <c r="AW147" s="6"/>
      <c r="AX147" s="6"/>
    </row>
    <row r="148" spans="1:50" ht="15.75" customHeight="1" x14ac:dyDescent="0.3">
      <c r="A148" s="13"/>
      <c r="B148" s="13"/>
      <c r="C148" s="13"/>
      <c r="D148" s="9"/>
      <c r="E148" s="39"/>
      <c r="F148" s="40"/>
      <c r="G148" s="40"/>
      <c r="H148" s="46"/>
      <c r="I148" s="46"/>
      <c r="J148" s="7"/>
      <c r="K148" s="43"/>
      <c r="L148" s="43"/>
      <c r="M148" s="43"/>
      <c r="N148" s="43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6"/>
      <c r="AV148" s="6"/>
      <c r="AW148" s="6"/>
      <c r="AX148" s="6"/>
    </row>
    <row r="149" spans="1:50" ht="15.75" customHeight="1" x14ac:dyDescent="0.3">
      <c r="A149" s="13"/>
      <c r="B149" s="13"/>
      <c r="C149" s="13"/>
      <c r="D149" s="9"/>
      <c r="E149" s="39"/>
      <c r="F149" s="40"/>
      <c r="G149" s="40"/>
      <c r="H149" s="46"/>
      <c r="I149" s="46"/>
      <c r="J149" s="7"/>
      <c r="K149" s="43"/>
      <c r="L149" s="43"/>
      <c r="M149" s="43"/>
      <c r="N149" s="43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6"/>
      <c r="AV149" s="6"/>
      <c r="AW149" s="6"/>
      <c r="AX149" s="6"/>
    </row>
    <row r="150" spans="1:50" ht="15.75" customHeight="1" x14ac:dyDescent="0.3">
      <c r="A150" s="13"/>
      <c r="B150" s="13"/>
      <c r="C150" s="13"/>
      <c r="D150" s="9"/>
      <c r="E150" s="39"/>
      <c r="F150" s="40"/>
      <c r="G150" s="40"/>
      <c r="H150" s="46"/>
      <c r="I150" s="46"/>
      <c r="J150" s="7"/>
      <c r="K150" s="43"/>
      <c r="L150" s="43"/>
      <c r="M150" s="43"/>
      <c r="N150" s="43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6"/>
      <c r="AV150" s="6"/>
      <c r="AW150" s="6"/>
      <c r="AX150" s="6"/>
    </row>
    <row r="151" spans="1:50" ht="15.75" customHeight="1" x14ac:dyDescent="0.3">
      <c r="A151" s="13"/>
      <c r="B151" s="13"/>
      <c r="C151" s="13"/>
      <c r="D151" s="9"/>
      <c r="E151" s="39"/>
      <c r="F151" s="40"/>
      <c r="G151" s="40"/>
      <c r="H151" s="46"/>
      <c r="I151" s="46"/>
      <c r="J151" s="7"/>
      <c r="K151" s="43"/>
      <c r="L151" s="43"/>
      <c r="M151" s="43"/>
      <c r="N151" s="43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6"/>
      <c r="AV151" s="6"/>
      <c r="AW151" s="6"/>
      <c r="AX151" s="6"/>
    </row>
    <row r="152" spans="1:50" ht="15.75" customHeight="1" x14ac:dyDescent="0.3">
      <c r="A152" s="13"/>
      <c r="B152" s="13"/>
      <c r="C152" s="13"/>
      <c r="D152" s="9"/>
      <c r="E152" s="39"/>
      <c r="F152" s="40"/>
      <c r="G152" s="40"/>
      <c r="H152" s="46"/>
      <c r="I152" s="46"/>
      <c r="J152" s="7"/>
      <c r="K152" s="43"/>
      <c r="L152" s="43"/>
      <c r="M152" s="43"/>
      <c r="N152" s="43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6"/>
      <c r="AV152" s="6"/>
      <c r="AW152" s="6"/>
      <c r="AX152" s="6"/>
    </row>
    <row r="153" spans="1:50" ht="15.75" customHeight="1" x14ac:dyDescent="0.3">
      <c r="A153" s="13"/>
      <c r="B153" s="13"/>
      <c r="C153" s="13"/>
      <c r="D153" s="9"/>
      <c r="E153" s="39"/>
      <c r="F153" s="40"/>
      <c r="G153" s="40"/>
      <c r="H153" s="46"/>
      <c r="I153" s="46"/>
      <c r="J153" s="7"/>
      <c r="K153" s="43"/>
      <c r="L153" s="43"/>
      <c r="M153" s="43"/>
      <c r="N153" s="43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6"/>
      <c r="AV153" s="6"/>
      <c r="AW153" s="6"/>
      <c r="AX153" s="6"/>
    </row>
    <row r="154" spans="1:50" ht="15.75" customHeight="1" x14ac:dyDescent="0.3">
      <c r="A154" s="13"/>
      <c r="B154" s="13"/>
      <c r="C154" s="13"/>
      <c r="D154" s="9"/>
      <c r="E154" s="39"/>
      <c r="F154" s="40"/>
      <c r="G154" s="40"/>
      <c r="H154" s="46"/>
      <c r="I154" s="46"/>
      <c r="J154" s="7"/>
      <c r="K154" s="43"/>
      <c r="L154" s="43"/>
      <c r="M154" s="43"/>
      <c r="N154" s="43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6"/>
      <c r="AV154" s="6"/>
      <c r="AW154" s="6"/>
      <c r="AX154" s="6"/>
    </row>
    <row r="155" spans="1:50" ht="15.75" customHeight="1" x14ac:dyDescent="0.3">
      <c r="A155" s="13"/>
      <c r="B155" s="13"/>
      <c r="C155" s="13"/>
      <c r="D155" s="9"/>
      <c r="E155" s="39"/>
      <c r="F155" s="40"/>
      <c r="G155" s="40"/>
      <c r="H155" s="46"/>
      <c r="I155" s="46"/>
      <c r="J155" s="7"/>
      <c r="K155" s="43"/>
      <c r="L155" s="43"/>
      <c r="M155" s="43"/>
      <c r="N155" s="43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6"/>
      <c r="AV155" s="6"/>
      <c r="AW155" s="6"/>
      <c r="AX155" s="6"/>
    </row>
    <row r="156" spans="1:50" ht="15.75" customHeight="1" x14ac:dyDescent="0.3">
      <c r="A156" s="13"/>
      <c r="B156" s="13"/>
      <c r="C156" s="13"/>
      <c r="D156" s="9"/>
      <c r="E156" s="39"/>
      <c r="F156" s="40"/>
      <c r="G156" s="40"/>
      <c r="H156" s="46"/>
      <c r="I156" s="46"/>
      <c r="J156" s="7"/>
      <c r="K156" s="43"/>
      <c r="L156" s="43"/>
      <c r="M156" s="43"/>
      <c r="N156" s="43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6"/>
      <c r="AV156" s="6"/>
      <c r="AW156" s="6"/>
      <c r="AX156" s="6"/>
    </row>
    <row r="157" spans="1:50" ht="15.75" customHeight="1" x14ac:dyDescent="0.3">
      <c r="A157" s="13"/>
      <c r="B157" s="13"/>
      <c r="C157" s="13"/>
      <c r="D157" s="9"/>
      <c r="E157" s="39"/>
      <c r="F157" s="40"/>
      <c r="G157" s="40"/>
      <c r="H157" s="46"/>
      <c r="I157" s="46"/>
      <c r="J157" s="7"/>
      <c r="K157" s="43"/>
      <c r="L157" s="43"/>
      <c r="M157" s="43"/>
      <c r="N157" s="43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6"/>
      <c r="AV157" s="6"/>
      <c r="AW157" s="6"/>
      <c r="AX157" s="6"/>
    </row>
    <row r="158" spans="1:50" ht="15.75" customHeight="1" x14ac:dyDescent="0.3">
      <c r="A158" s="13"/>
      <c r="B158" s="13"/>
      <c r="C158" s="13"/>
      <c r="D158" s="9"/>
      <c r="E158" s="39"/>
      <c r="F158" s="40"/>
      <c r="G158" s="40"/>
      <c r="H158" s="46"/>
      <c r="I158" s="46"/>
      <c r="J158" s="7"/>
      <c r="K158" s="43"/>
      <c r="L158" s="43"/>
      <c r="M158" s="43"/>
      <c r="N158" s="43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6"/>
      <c r="AV158" s="6"/>
      <c r="AW158" s="6"/>
      <c r="AX158" s="6"/>
    </row>
    <row r="159" spans="1:50" ht="15.75" customHeight="1" x14ac:dyDescent="0.3">
      <c r="A159" s="13"/>
      <c r="B159" s="13"/>
      <c r="C159" s="13"/>
      <c r="D159" s="9"/>
      <c r="E159" s="39"/>
      <c r="F159" s="40"/>
      <c r="G159" s="40"/>
      <c r="H159" s="46"/>
      <c r="I159" s="46"/>
      <c r="J159" s="7"/>
      <c r="K159" s="43"/>
      <c r="L159" s="43"/>
      <c r="M159" s="43"/>
      <c r="N159" s="43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6"/>
      <c r="AV159" s="6"/>
      <c r="AW159" s="6"/>
      <c r="AX159" s="6"/>
    </row>
    <row r="160" spans="1:50" ht="15.75" customHeight="1" x14ac:dyDescent="0.3">
      <c r="A160" s="13"/>
      <c r="B160" s="13"/>
      <c r="C160" s="13"/>
      <c r="D160" s="9"/>
      <c r="E160" s="39"/>
      <c r="F160" s="40"/>
      <c r="G160" s="40"/>
      <c r="H160" s="46"/>
      <c r="I160" s="46"/>
      <c r="J160" s="7"/>
      <c r="K160" s="43"/>
      <c r="L160" s="43"/>
      <c r="M160" s="43"/>
      <c r="N160" s="43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6"/>
      <c r="AV160" s="6"/>
      <c r="AW160" s="6"/>
      <c r="AX160" s="6"/>
    </row>
    <row r="161" spans="1:50" ht="15.75" customHeight="1" x14ac:dyDescent="0.3">
      <c r="A161" s="13"/>
      <c r="B161" s="13"/>
      <c r="C161" s="13"/>
      <c r="D161" s="9"/>
      <c r="E161" s="39"/>
      <c r="F161" s="40"/>
      <c r="G161" s="40"/>
      <c r="H161" s="46"/>
      <c r="I161" s="46"/>
      <c r="J161" s="7"/>
      <c r="K161" s="43"/>
      <c r="L161" s="43"/>
      <c r="M161" s="43"/>
      <c r="N161" s="43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6"/>
      <c r="AV161" s="6"/>
      <c r="AW161" s="6"/>
      <c r="AX161" s="6"/>
    </row>
    <row r="162" spans="1:50" ht="15.75" customHeight="1" x14ac:dyDescent="0.3">
      <c r="A162" s="13"/>
      <c r="B162" s="13"/>
      <c r="C162" s="13"/>
      <c r="D162" s="9"/>
      <c r="E162" s="39"/>
      <c r="F162" s="40"/>
      <c r="G162" s="40"/>
      <c r="H162" s="46"/>
      <c r="I162" s="46"/>
      <c r="J162" s="7"/>
      <c r="K162" s="43"/>
      <c r="L162" s="43"/>
      <c r="M162" s="43"/>
      <c r="N162" s="43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6"/>
      <c r="AV162" s="6"/>
      <c r="AW162" s="6"/>
      <c r="AX162" s="6"/>
    </row>
    <row r="163" spans="1:50" ht="15.75" customHeight="1" x14ac:dyDescent="0.3">
      <c r="A163" s="13"/>
      <c r="B163" s="13"/>
      <c r="C163" s="13"/>
      <c r="D163" s="9"/>
      <c r="E163" s="39"/>
      <c r="F163" s="40"/>
      <c r="G163" s="40"/>
      <c r="H163" s="46"/>
      <c r="I163" s="46"/>
      <c r="J163" s="7"/>
      <c r="K163" s="43"/>
      <c r="L163" s="43"/>
      <c r="M163" s="43"/>
      <c r="N163" s="43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6"/>
      <c r="AV163" s="6"/>
      <c r="AW163" s="6"/>
      <c r="AX163" s="6"/>
    </row>
    <row r="164" spans="1:50" ht="15.75" customHeight="1" x14ac:dyDescent="0.3">
      <c r="A164" s="13"/>
      <c r="B164" s="13"/>
      <c r="C164" s="13"/>
      <c r="D164" s="9"/>
      <c r="E164" s="39"/>
      <c r="F164" s="40"/>
      <c r="G164" s="40"/>
      <c r="H164" s="46"/>
      <c r="I164" s="46"/>
      <c r="J164" s="7"/>
      <c r="K164" s="43"/>
      <c r="L164" s="43"/>
      <c r="M164" s="43"/>
      <c r="N164" s="43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6"/>
      <c r="AV164" s="6"/>
      <c r="AW164" s="6"/>
      <c r="AX164" s="6"/>
    </row>
    <row r="165" spans="1:50" ht="15.75" customHeight="1" x14ac:dyDescent="0.3">
      <c r="A165" s="13"/>
      <c r="B165" s="13"/>
      <c r="C165" s="13"/>
      <c r="D165" s="9"/>
      <c r="E165" s="39"/>
      <c r="F165" s="40"/>
      <c r="G165" s="40"/>
      <c r="H165" s="46"/>
      <c r="I165" s="46"/>
      <c r="J165" s="7"/>
      <c r="K165" s="43"/>
      <c r="L165" s="43"/>
      <c r="M165" s="43"/>
      <c r="N165" s="43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6"/>
      <c r="AV165" s="6"/>
      <c r="AW165" s="6"/>
      <c r="AX165" s="6"/>
    </row>
    <row r="166" spans="1:50" ht="15.75" customHeight="1" x14ac:dyDescent="0.3">
      <c r="A166" s="13"/>
      <c r="B166" s="13"/>
      <c r="C166" s="13"/>
      <c r="D166" s="9"/>
      <c r="E166" s="39"/>
      <c r="F166" s="40"/>
      <c r="G166" s="40"/>
      <c r="H166" s="46"/>
      <c r="I166" s="46"/>
      <c r="J166" s="7"/>
      <c r="K166" s="43"/>
      <c r="L166" s="43"/>
      <c r="M166" s="43"/>
      <c r="N166" s="43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6"/>
      <c r="AV166" s="6"/>
      <c r="AW166" s="6"/>
      <c r="AX166" s="6"/>
    </row>
    <row r="167" spans="1:50" ht="15.75" customHeight="1" x14ac:dyDescent="0.3">
      <c r="A167" s="13"/>
      <c r="B167" s="13"/>
      <c r="C167" s="13"/>
      <c r="D167" s="9"/>
      <c r="E167" s="39"/>
      <c r="F167" s="40"/>
      <c r="G167" s="40"/>
      <c r="H167" s="46"/>
      <c r="I167" s="46"/>
      <c r="J167" s="7"/>
      <c r="K167" s="43"/>
      <c r="L167" s="43"/>
      <c r="M167" s="43"/>
      <c r="N167" s="43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6"/>
      <c r="AV167" s="6"/>
      <c r="AW167" s="6"/>
      <c r="AX167" s="6"/>
    </row>
    <row r="168" spans="1:50" ht="15.75" customHeight="1" x14ac:dyDescent="0.3">
      <c r="A168" s="13"/>
      <c r="B168" s="13"/>
      <c r="C168" s="13"/>
      <c r="D168" s="9"/>
      <c r="E168" s="39"/>
      <c r="F168" s="40"/>
      <c r="G168" s="40"/>
      <c r="H168" s="46"/>
      <c r="I168" s="46"/>
      <c r="J168" s="7"/>
      <c r="K168" s="43"/>
      <c r="L168" s="43"/>
      <c r="M168" s="43"/>
      <c r="N168" s="43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6"/>
      <c r="AV168" s="6"/>
      <c r="AW168" s="6"/>
      <c r="AX168" s="6"/>
    </row>
    <row r="169" spans="1:50" ht="15.75" customHeight="1" x14ac:dyDescent="0.3">
      <c r="A169" s="13"/>
      <c r="B169" s="13"/>
      <c r="C169" s="13"/>
      <c r="D169" s="9"/>
      <c r="E169" s="39"/>
      <c r="F169" s="40"/>
      <c r="G169" s="40"/>
      <c r="H169" s="46"/>
      <c r="I169" s="46"/>
      <c r="J169" s="7"/>
      <c r="K169" s="43"/>
      <c r="L169" s="43"/>
      <c r="M169" s="43"/>
      <c r="N169" s="43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6"/>
      <c r="AV169" s="6"/>
      <c r="AW169" s="6"/>
      <c r="AX169" s="6"/>
    </row>
    <row r="170" spans="1:50" ht="15.75" customHeight="1" x14ac:dyDescent="0.3">
      <c r="A170" s="13"/>
      <c r="B170" s="13"/>
      <c r="C170" s="13"/>
      <c r="D170" s="9"/>
      <c r="E170" s="39"/>
      <c r="F170" s="40"/>
      <c r="G170" s="40"/>
      <c r="H170" s="46"/>
      <c r="I170" s="46"/>
      <c r="J170" s="7"/>
      <c r="K170" s="43"/>
      <c r="L170" s="43"/>
      <c r="M170" s="43"/>
      <c r="N170" s="43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6"/>
      <c r="AV170" s="6"/>
      <c r="AW170" s="6"/>
      <c r="AX170" s="6"/>
    </row>
    <row r="171" spans="1:50" ht="15.75" customHeight="1" x14ac:dyDescent="0.3">
      <c r="A171" s="13"/>
      <c r="B171" s="13"/>
      <c r="C171" s="13"/>
      <c r="D171" s="9"/>
      <c r="E171" s="39"/>
      <c r="F171" s="40"/>
      <c r="G171" s="40"/>
      <c r="H171" s="46"/>
      <c r="I171" s="46"/>
      <c r="J171" s="7"/>
      <c r="K171" s="43"/>
      <c r="L171" s="43"/>
      <c r="M171" s="43"/>
      <c r="N171" s="43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6"/>
      <c r="AV171" s="6"/>
      <c r="AW171" s="6"/>
      <c r="AX171" s="6"/>
    </row>
    <row r="172" spans="1:50" ht="15.75" customHeight="1" x14ac:dyDescent="0.3">
      <c r="A172" s="13"/>
      <c r="B172" s="13"/>
      <c r="C172" s="13"/>
      <c r="D172" s="9"/>
      <c r="E172" s="39"/>
      <c r="F172" s="40"/>
      <c r="G172" s="40"/>
      <c r="H172" s="46"/>
      <c r="I172" s="46"/>
      <c r="J172" s="7"/>
      <c r="K172" s="43"/>
      <c r="L172" s="43"/>
      <c r="M172" s="43"/>
      <c r="N172" s="43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6"/>
      <c r="AV172" s="6"/>
      <c r="AW172" s="6"/>
      <c r="AX172" s="6"/>
    </row>
    <row r="173" spans="1:50" ht="15.75" customHeight="1" x14ac:dyDescent="0.3">
      <c r="A173" s="13"/>
      <c r="B173" s="13"/>
      <c r="C173" s="13"/>
      <c r="D173" s="9"/>
      <c r="E173" s="39"/>
      <c r="F173" s="40"/>
      <c r="G173" s="40"/>
      <c r="H173" s="46"/>
      <c r="I173" s="46"/>
      <c r="J173" s="7"/>
      <c r="K173" s="43"/>
      <c r="L173" s="43"/>
      <c r="M173" s="43"/>
      <c r="N173" s="43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6"/>
      <c r="AV173" s="6"/>
      <c r="AW173" s="6"/>
      <c r="AX173" s="6"/>
    </row>
    <row r="174" spans="1:50" ht="15.75" customHeight="1" x14ac:dyDescent="0.3">
      <c r="A174" s="13"/>
      <c r="B174" s="13"/>
      <c r="C174" s="13"/>
      <c r="D174" s="9"/>
      <c r="E174" s="39"/>
      <c r="F174" s="40"/>
      <c r="G174" s="40"/>
      <c r="H174" s="46"/>
      <c r="I174" s="46"/>
      <c r="J174" s="7"/>
      <c r="K174" s="43"/>
      <c r="L174" s="43"/>
      <c r="M174" s="43"/>
      <c r="N174" s="43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6"/>
      <c r="AV174" s="6"/>
      <c r="AW174" s="6"/>
      <c r="AX174" s="6"/>
    </row>
    <row r="175" spans="1:50" ht="15.75" customHeight="1" x14ac:dyDescent="0.3">
      <c r="A175" s="13"/>
      <c r="B175" s="13"/>
      <c r="C175" s="13"/>
      <c r="D175" s="9"/>
      <c r="E175" s="39"/>
      <c r="F175" s="40"/>
      <c r="G175" s="40"/>
      <c r="H175" s="46"/>
      <c r="I175" s="46"/>
      <c r="J175" s="7"/>
      <c r="K175" s="43"/>
      <c r="L175" s="43"/>
      <c r="M175" s="43"/>
      <c r="N175" s="43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6"/>
      <c r="AV175" s="6"/>
      <c r="AW175" s="6"/>
      <c r="AX175" s="6"/>
    </row>
    <row r="176" spans="1:50" ht="15.75" customHeight="1" x14ac:dyDescent="0.3">
      <c r="A176" s="13"/>
      <c r="B176" s="13"/>
      <c r="C176" s="13"/>
      <c r="D176" s="9"/>
      <c r="E176" s="39"/>
      <c r="F176" s="40"/>
      <c r="G176" s="40"/>
      <c r="H176" s="46"/>
      <c r="I176" s="46"/>
      <c r="J176" s="7"/>
      <c r="K176" s="43"/>
      <c r="L176" s="43"/>
      <c r="M176" s="43"/>
      <c r="N176" s="43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6"/>
      <c r="AV176" s="6"/>
      <c r="AW176" s="6"/>
      <c r="AX176" s="6"/>
    </row>
    <row r="177" spans="1:50" ht="15.75" customHeight="1" x14ac:dyDescent="0.3">
      <c r="A177" s="13"/>
      <c r="B177" s="13"/>
      <c r="C177" s="13"/>
      <c r="D177" s="9"/>
      <c r="E177" s="39"/>
      <c r="F177" s="40"/>
      <c r="G177" s="40"/>
      <c r="H177" s="46"/>
      <c r="I177" s="46"/>
      <c r="J177" s="7"/>
      <c r="K177" s="43"/>
      <c r="L177" s="43"/>
      <c r="M177" s="43"/>
      <c r="N177" s="43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6"/>
      <c r="AV177" s="6"/>
      <c r="AW177" s="6"/>
      <c r="AX177" s="6"/>
    </row>
    <row r="178" spans="1:50" ht="15.75" customHeight="1" x14ac:dyDescent="0.3">
      <c r="A178" s="13"/>
      <c r="B178" s="13"/>
      <c r="C178" s="13"/>
      <c r="D178" s="9"/>
      <c r="E178" s="39"/>
      <c r="F178" s="40"/>
      <c r="G178" s="40"/>
      <c r="H178" s="46"/>
      <c r="I178" s="46"/>
      <c r="J178" s="7"/>
      <c r="K178" s="43"/>
      <c r="L178" s="43"/>
      <c r="M178" s="43"/>
      <c r="N178" s="43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6"/>
      <c r="AV178" s="6"/>
      <c r="AW178" s="6"/>
      <c r="AX178" s="6"/>
    </row>
    <row r="179" spans="1:50" ht="15.75" customHeight="1" x14ac:dyDescent="0.3">
      <c r="A179" s="13"/>
      <c r="B179" s="13"/>
      <c r="C179" s="13"/>
      <c r="D179" s="9"/>
      <c r="E179" s="39"/>
      <c r="F179" s="40"/>
      <c r="G179" s="40"/>
      <c r="H179" s="46"/>
      <c r="I179" s="46"/>
      <c r="J179" s="7"/>
      <c r="K179" s="43"/>
      <c r="L179" s="43"/>
      <c r="M179" s="43"/>
      <c r="N179" s="43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6"/>
      <c r="AV179" s="6"/>
      <c r="AW179" s="6"/>
      <c r="AX179" s="6"/>
    </row>
    <row r="180" spans="1:50" ht="15.75" customHeight="1" x14ac:dyDescent="0.3">
      <c r="A180" s="13"/>
      <c r="B180" s="13"/>
      <c r="C180" s="13"/>
      <c r="D180" s="9"/>
      <c r="E180" s="39"/>
      <c r="F180" s="40"/>
      <c r="G180" s="40"/>
      <c r="H180" s="46"/>
      <c r="I180" s="46"/>
      <c r="J180" s="7"/>
      <c r="K180" s="43"/>
      <c r="L180" s="43"/>
      <c r="M180" s="43"/>
      <c r="N180" s="43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6"/>
      <c r="AV180" s="6"/>
      <c r="AW180" s="6"/>
      <c r="AX180" s="6"/>
    </row>
    <row r="181" spans="1:50" ht="15.75" customHeight="1" x14ac:dyDescent="0.3">
      <c r="A181" s="13"/>
      <c r="B181" s="13"/>
      <c r="C181" s="13"/>
      <c r="D181" s="6"/>
      <c r="E181" s="8"/>
      <c r="F181" s="8"/>
      <c r="G181" s="8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6"/>
      <c r="AV181" s="6"/>
      <c r="AW181" s="6"/>
      <c r="AX181" s="6"/>
    </row>
    <row r="182" spans="1:50" ht="15.75" customHeight="1" x14ac:dyDescent="0.3">
      <c r="A182" s="13"/>
      <c r="B182" s="13"/>
      <c r="C182" s="13"/>
      <c r="D182" s="6"/>
      <c r="E182" s="8"/>
      <c r="F182" s="8"/>
      <c r="G182" s="8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6"/>
      <c r="AV182" s="6"/>
      <c r="AW182" s="6"/>
      <c r="AX182" s="6"/>
    </row>
    <row r="183" spans="1:50" ht="15.75" customHeight="1" x14ac:dyDescent="0.3">
      <c r="A183" s="13"/>
      <c r="B183" s="13"/>
      <c r="C183" s="13"/>
      <c r="D183" s="6"/>
      <c r="E183" s="8"/>
      <c r="F183" s="8"/>
      <c r="G183" s="8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6"/>
      <c r="AV183" s="6"/>
      <c r="AW183" s="6"/>
      <c r="AX183" s="6"/>
    </row>
    <row r="184" spans="1:50" ht="15.75" customHeight="1" x14ac:dyDescent="0.3">
      <c r="A184" s="13"/>
      <c r="B184" s="13"/>
      <c r="C184" s="13"/>
      <c r="D184" s="6"/>
      <c r="E184" s="8"/>
      <c r="F184" s="8"/>
      <c r="G184" s="8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6"/>
      <c r="AV184" s="6"/>
      <c r="AW184" s="6"/>
      <c r="AX184" s="6"/>
    </row>
    <row r="185" spans="1:50" ht="15.75" customHeight="1" x14ac:dyDescent="0.3">
      <c r="A185" s="13"/>
      <c r="B185" s="13"/>
      <c r="C185" s="13"/>
      <c r="D185" s="6"/>
      <c r="E185" s="8"/>
      <c r="F185" s="8"/>
      <c r="G185" s="8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6"/>
      <c r="AV185" s="6"/>
      <c r="AW185" s="6"/>
      <c r="AX185" s="6"/>
    </row>
    <row r="186" spans="1:50" ht="15.75" customHeight="1" x14ac:dyDescent="0.3">
      <c r="A186" s="13"/>
      <c r="B186" s="13"/>
      <c r="C186" s="13"/>
      <c r="D186" s="6"/>
      <c r="E186" s="8"/>
      <c r="F186" s="8"/>
      <c r="G186" s="8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6"/>
      <c r="AV186" s="6"/>
      <c r="AW186" s="6"/>
      <c r="AX186" s="6"/>
    </row>
    <row r="187" spans="1:50" ht="15.75" customHeight="1" x14ac:dyDescent="0.3">
      <c r="A187" s="13"/>
      <c r="B187" s="13"/>
      <c r="C187" s="13"/>
      <c r="D187" s="6"/>
      <c r="E187" s="8"/>
      <c r="F187" s="8"/>
      <c r="G187" s="8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6"/>
      <c r="AV187" s="6"/>
      <c r="AW187" s="6"/>
      <c r="AX187" s="6"/>
    </row>
    <row r="188" spans="1:50" ht="15.75" customHeight="1" x14ac:dyDescent="0.3">
      <c r="A188" s="13"/>
      <c r="B188" s="13"/>
      <c r="C188" s="13"/>
      <c r="D188" s="6"/>
      <c r="E188" s="8"/>
      <c r="F188" s="8"/>
      <c r="G188" s="8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6"/>
      <c r="AV188" s="6"/>
      <c r="AW188" s="6"/>
      <c r="AX188" s="6"/>
    </row>
    <row r="189" spans="1:50" ht="15.75" customHeight="1" x14ac:dyDescent="0.3">
      <c r="A189" s="13"/>
      <c r="B189" s="13"/>
      <c r="C189" s="13"/>
      <c r="D189" s="6"/>
      <c r="E189" s="8"/>
      <c r="F189" s="8"/>
      <c r="G189" s="8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6"/>
      <c r="AV189" s="6"/>
      <c r="AW189" s="6"/>
      <c r="AX189" s="6"/>
    </row>
    <row r="190" spans="1:50" ht="15.75" customHeight="1" x14ac:dyDescent="0.3">
      <c r="A190" s="13"/>
      <c r="B190" s="13"/>
      <c r="C190" s="13"/>
      <c r="D190" s="6"/>
      <c r="E190" s="8"/>
      <c r="F190" s="8"/>
      <c r="G190" s="8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6"/>
      <c r="AV190" s="6"/>
      <c r="AW190" s="6"/>
      <c r="AX190" s="6"/>
    </row>
    <row r="191" spans="1:50" ht="15.75" customHeight="1" x14ac:dyDescent="0.3">
      <c r="A191" s="13"/>
      <c r="B191" s="13"/>
      <c r="C191" s="13"/>
      <c r="D191" s="6"/>
      <c r="E191" s="8"/>
      <c r="F191" s="8"/>
      <c r="G191" s="8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6"/>
      <c r="AV191" s="6"/>
      <c r="AW191" s="6"/>
      <c r="AX191" s="6"/>
    </row>
    <row r="192" spans="1:50" ht="15.75" customHeight="1" x14ac:dyDescent="0.3">
      <c r="A192" s="13"/>
      <c r="B192" s="13"/>
      <c r="C192" s="13"/>
      <c r="D192" s="6"/>
      <c r="E192" s="8"/>
      <c r="F192" s="8"/>
      <c r="G192" s="8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6"/>
      <c r="AV192" s="6"/>
      <c r="AW192" s="6"/>
      <c r="AX192" s="6"/>
    </row>
    <row r="193" spans="1:50" ht="15.75" customHeight="1" x14ac:dyDescent="0.3">
      <c r="A193" s="13"/>
      <c r="B193" s="13"/>
      <c r="C193" s="13"/>
      <c r="D193" s="6"/>
      <c r="E193" s="8"/>
      <c r="F193" s="8"/>
      <c r="G193" s="8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6"/>
      <c r="AV193" s="6"/>
      <c r="AW193" s="6"/>
      <c r="AX193" s="6"/>
    </row>
    <row r="194" spans="1:50" ht="15.75" customHeight="1" x14ac:dyDescent="0.3">
      <c r="A194" s="13"/>
      <c r="B194" s="13"/>
      <c r="C194" s="13"/>
      <c r="D194" s="6"/>
      <c r="E194" s="8"/>
      <c r="F194" s="8"/>
      <c r="G194" s="8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6"/>
      <c r="AV194" s="6"/>
      <c r="AW194" s="6"/>
      <c r="AX194" s="6"/>
    </row>
    <row r="195" spans="1:50" ht="15.75" customHeight="1" x14ac:dyDescent="0.3">
      <c r="A195" s="13"/>
      <c r="B195" s="13"/>
      <c r="C195" s="13"/>
      <c r="D195" s="6"/>
      <c r="E195" s="8"/>
      <c r="F195" s="8"/>
      <c r="G195" s="8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6"/>
      <c r="AV195" s="6"/>
      <c r="AW195" s="6"/>
      <c r="AX195" s="6"/>
    </row>
    <row r="196" spans="1:50" ht="15.75" customHeight="1" x14ac:dyDescent="0.3">
      <c r="A196" s="13"/>
      <c r="B196" s="13"/>
      <c r="C196" s="13"/>
      <c r="D196" s="6"/>
      <c r="E196" s="8"/>
      <c r="F196" s="8"/>
      <c r="G196" s="8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6"/>
      <c r="AV196" s="6"/>
      <c r="AW196" s="6"/>
      <c r="AX196" s="6"/>
    </row>
    <row r="197" spans="1:50" ht="15.75" customHeight="1" x14ac:dyDescent="0.3">
      <c r="A197" s="13"/>
      <c r="B197" s="13"/>
      <c r="C197" s="13"/>
      <c r="D197" s="6"/>
      <c r="E197" s="8"/>
      <c r="F197" s="8"/>
      <c r="G197" s="8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6"/>
      <c r="AV197" s="6"/>
      <c r="AW197" s="6"/>
      <c r="AX197" s="6"/>
    </row>
    <row r="198" spans="1:50" ht="15.75" customHeight="1" x14ac:dyDescent="0.3">
      <c r="A198" s="13"/>
      <c r="B198" s="13"/>
      <c r="C198" s="13"/>
      <c r="D198" s="6"/>
      <c r="E198" s="8"/>
      <c r="F198" s="8"/>
      <c r="G198" s="8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6"/>
      <c r="AV198" s="6"/>
      <c r="AW198" s="6"/>
      <c r="AX198" s="6"/>
    </row>
    <row r="199" spans="1:50" ht="15.75" customHeight="1" x14ac:dyDescent="0.3">
      <c r="A199" s="13"/>
      <c r="B199" s="13"/>
      <c r="C199" s="13"/>
      <c r="D199" s="6"/>
      <c r="E199" s="8"/>
      <c r="F199" s="8"/>
      <c r="G199" s="8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6"/>
      <c r="AV199" s="6"/>
      <c r="AW199" s="6"/>
      <c r="AX199" s="6"/>
    </row>
    <row r="200" spans="1:50" ht="15.75" customHeight="1" x14ac:dyDescent="0.3">
      <c r="A200" s="13"/>
      <c r="B200" s="13"/>
      <c r="C200" s="13"/>
      <c r="D200" s="6"/>
      <c r="E200" s="8"/>
      <c r="F200" s="8"/>
      <c r="G200" s="8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6"/>
      <c r="AV200" s="6"/>
      <c r="AW200" s="6"/>
      <c r="AX200" s="6"/>
    </row>
    <row r="201" spans="1:50" ht="15.75" customHeight="1" x14ac:dyDescent="0.3">
      <c r="A201" s="13"/>
      <c r="B201" s="13"/>
      <c r="C201" s="13"/>
      <c r="D201" s="6"/>
      <c r="E201" s="8"/>
      <c r="F201" s="8"/>
      <c r="G201" s="8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6"/>
      <c r="AV201" s="6"/>
      <c r="AW201" s="6"/>
      <c r="AX201" s="6"/>
    </row>
    <row r="202" spans="1:50" ht="15.75" customHeight="1" x14ac:dyDescent="0.3">
      <c r="A202" s="13"/>
      <c r="B202" s="13"/>
      <c r="C202" s="13"/>
      <c r="D202" s="6"/>
      <c r="E202" s="8"/>
      <c r="F202" s="8"/>
      <c r="G202" s="8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6"/>
      <c r="AV202" s="6"/>
      <c r="AW202" s="6"/>
      <c r="AX202" s="6"/>
    </row>
    <row r="203" spans="1:50" ht="15.75" customHeight="1" x14ac:dyDescent="0.3">
      <c r="A203" s="13"/>
      <c r="B203" s="13"/>
      <c r="C203" s="13"/>
      <c r="D203" s="6"/>
      <c r="E203" s="8"/>
      <c r="F203" s="8"/>
      <c r="G203" s="8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6"/>
      <c r="AV203" s="6"/>
      <c r="AW203" s="6"/>
      <c r="AX203" s="6"/>
    </row>
    <row r="204" spans="1:50" ht="15.75" customHeight="1" x14ac:dyDescent="0.3">
      <c r="A204" s="13"/>
      <c r="B204" s="13"/>
      <c r="C204" s="13"/>
      <c r="D204" s="6"/>
      <c r="E204" s="8"/>
      <c r="F204" s="8"/>
      <c r="G204" s="8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6"/>
      <c r="AV204" s="6"/>
      <c r="AW204" s="6"/>
      <c r="AX204" s="6"/>
    </row>
    <row r="205" spans="1:50" ht="15.75" customHeight="1" x14ac:dyDescent="0.3">
      <c r="A205" s="13"/>
      <c r="B205" s="13"/>
      <c r="C205" s="13"/>
      <c r="D205" s="6"/>
      <c r="E205" s="8"/>
      <c r="F205" s="8"/>
      <c r="G205" s="8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6"/>
      <c r="AV205" s="6"/>
      <c r="AW205" s="6"/>
      <c r="AX205" s="6"/>
    </row>
    <row r="206" spans="1:50" ht="15.75" customHeight="1" x14ac:dyDescent="0.3">
      <c r="A206" s="13"/>
      <c r="B206" s="13"/>
      <c r="C206" s="13"/>
      <c r="D206" s="6"/>
      <c r="E206" s="8"/>
      <c r="F206" s="8"/>
      <c r="G206" s="8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6"/>
      <c r="AV206" s="6"/>
      <c r="AW206" s="6"/>
      <c r="AX206" s="6"/>
    </row>
    <row r="207" spans="1:50" ht="15.75" customHeight="1" x14ac:dyDescent="0.3">
      <c r="A207" s="13"/>
      <c r="B207" s="13"/>
      <c r="C207" s="13"/>
      <c r="D207" s="6"/>
      <c r="E207" s="8"/>
      <c r="F207" s="8"/>
      <c r="G207" s="8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6"/>
      <c r="AV207" s="6"/>
      <c r="AW207" s="6"/>
      <c r="AX207" s="6"/>
    </row>
    <row r="208" spans="1:50" ht="15.75" customHeight="1" x14ac:dyDescent="0.3">
      <c r="A208" s="13"/>
      <c r="B208" s="13"/>
      <c r="C208" s="13"/>
      <c r="D208" s="6"/>
      <c r="E208" s="8"/>
      <c r="F208" s="8"/>
      <c r="G208" s="8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6"/>
      <c r="AV208" s="6"/>
      <c r="AW208" s="6"/>
      <c r="AX208" s="6"/>
    </row>
    <row r="209" spans="1:50" ht="15.75" customHeight="1" x14ac:dyDescent="0.3">
      <c r="A209" s="13"/>
      <c r="B209" s="13"/>
      <c r="C209" s="13"/>
      <c r="D209" s="6"/>
      <c r="E209" s="8"/>
      <c r="F209" s="8"/>
      <c r="G209" s="8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6"/>
      <c r="AV209" s="6"/>
      <c r="AW209" s="6"/>
      <c r="AX209" s="6"/>
    </row>
    <row r="210" spans="1:50" ht="15.75" customHeight="1" x14ac:dyDescent="0.3">
      <c r="A210" s="13"/>
      <c r="B210" s="13"/>
      <c r="C210" s="13"/>
      <c r="D210" s="6"/>
      <c r="E210" s="8"/>
      <c r="F210" s="8"/>
      <c r="G210" s="8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6"/>
      <c r="AV210" s="6"/>
      <c r="AW210" s="6"/>
      <c r="AX210" s="6"/>
    </row>
    <row r="211" spans="1:50" ht="15.75" customHeight="1" x14ac:dyDescent="0.3">
      <c r="A211" s="13"/>
      <c r="B211" s="13"/>
      <c r="C211" s="13"/>
      <c r="D211" s="6"/>
      <c r="E211" s="8"/>
      <c r="F211" s="8"/>
      <c r="G211" s="8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6"/>
      <c r="AV211" s="6"/>
      <c r="AW211" s="6"/>
      <c r="AX211" s="6"/>
    </row>
    <row r="212" spans="1:50" ht="15.75" customHeight="1" x14ac:dyDescent="0.3">
      <c r="A212" s="13"/>
      <c r="B212" s="13"/>
      <c r="C212" s="13"/>
      <c r="D212" s="6"/>
      <c r="E212" s="8"/>
      <c r="F212" s="8"/>
      <c r="G212" s="8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6"/>
      <c r="AV212" s="6"/>
      <c r="AW212" s="6"/>
      <c r="AX212" s="6"/>
    </row>
    <row r="213" spans="1:50" ht="15.75" customHeight="1" x14ac:dyDescent="0.3">
      <c r="A213" s="13"/>
      <c r="B213" s="13"/>
      <c r="C213" s="13"/>
      <c r="D213" s="6"/>
      <c r="E213" s="8"/>
      <c r="F213" s="8"/>
      <c r="G213" s="8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6"/>
      <c r="AV213" s="6"/>
      <c r="AW213" s="6"/>
      <c r="AX213" s="6"/>
    </row>
    <row r="214" spans="1:50" ht="15.75" customHeight="1" x14ac:dyDescent="0.3">
      <c r="A214" s="13"/>
      <c r="B214" s="13"/>
      <c r="C214" s="13"/>
      <c r="D214" s="6"/>
      <c r="E214" s="8"/>
      <c r="F214" s="8"/>
      <c r="G214" s="8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6"/>
      <c r="AV214" s="6"/>
      <c r="AW214" s="6"/>
      <c r="AX214" s="6"/>
    </row>
    <row r="215" spans="1:50" ht="15.75" customHeight="1" x14ac:dyDescent="0.3">
      <c r="A215" s="13"/>
      <c r="B215" s="13"/>
      <c r="C215" s="13"/>
      <c r="D215" s="6"/>
      <c r="E215" s="8"/>
      <c r="F215" s="8"/>
      <c r="G215" s="8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6"/>
      <c r="AV215" s="6"/>
      <c r="AW215" s="6"/>
      <c r="AX215" s="6"/>
    </row>
    <row r="216" spans="1:50" ht="15.75" customHeight="1" x14ac:dyDescent="0.3">
      <c r="A216" s="13"/>
      <c r="B216" s="13"/>
      <c r="C216" s="13"/>
      <c r="D216" s="6"/>
      <c r="E216" s="8"/>
      <c r="F216" s="8"/>
      <c r="G216" s="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6"/>
      <c r="AV216" s="6"/>
      <c r="AW216" s="6"/>
      <c r="AX216" s="6"/>
    </row>
    <row r="217" spans="1:50" ht="15.75" customHeight="1" x14ac:dyDescent="0.3">
      <c r="A217" s="13"/>
      <c r="B217" s="13"/>
      <c r="C217" s="13"/>
      <c r="D217" s="6"/>
      <c r="E217" s="8"/>
      <c r="F217" s="8"/>
      <c r="G217" s="8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6"/>
      <c r="AV217" s="6"/>
      <c r="AW217" s="6"/>
      <c r="AX217" s="6"/>
    </row>
    <row r="218" spans="1:50" ht="15.75" customHeight="1" x14ac:dyDescent="0.3">
      <c r="A218" s="13"/>
      <c r="B218" s="13"/>
      <c r="C218" s="13"/>
      <c r="D218" s="6"/>
      <c r="E218" s="8"/>
      <c r="F218" s="8"/>
      <c r="G218" s="8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6"/>
      <c r="AV218" s="6"/>
      <c r="AW218" s="6"/>
      <c r="AX218" s="6"/>
    </row>
    <row r="219" spans="1:50" ht="15.75" customHeight="1" x14ac:dyDescent="0.3">
      <c r="A219" s="13"/>
      <c r="B219" s="13"/>
      <c r="C219" s="13"/>
      <c r="D219" s="6"/>
      <c r="E219" s="8"/>
      <c r="F219" s="8"/>
      <c r="G219" s="8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6"/>
      <c r="AV219" s="6"/>
      <c r="AW219" s="6"/>
      <c r="AX219" s="6"/>
    </row>
    <row r="220" spans="1:50" ht="15.75" customHeight="1" x14ac:dyDescent="0.3">
      <c r="A220" s="13"/>
      <c r="B220" s="13"/>
      <c r="C220" s="13"/>
      <c r="D220" s="6"/>
      <c r="E220" s="8"/>
      <c r="F220" s="8"/>
      <c r="G220" s="8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6"/>
      <c r="AV220" s="6"/>
      <c r="AW220" s="6"/>
      <c r="AX220" s="6"/>
    </row>
    <row r="221" spans="1:50" ht="15.75" customHeight="1" x14ac:dyDescent="0.3">
      <c r="A221" s="13"/>
      <c r="B221" s="13"/>
      <c r="C221" s="13"/>
      <c r="D221" s="6"/>
      <c r="E221" s="8"/>
      <c r="F221" s="8"/>
      <c r="G221" s="8"/>
      <c r="H221" s="8"/>
      <c r="I221" s="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6"/>
      <c r="AV221" s="6"/>
      <c r="AW221" s="6"/>
      <c r="AX221" s="6"/>
    </row>
    <row r="222" spans="1:50" ht="15.75" customHeight="1" x14ac:dyDescent="0.3">
      <c r="A222" s="13"/>
      <c r="B222" s="13"/>
      <c r="C222" s="13"/>
      <c r="D222" s="6"/>
      <c r="E222" s="8"/>
      <c r="F222" s="8"/>
      <c r="G222" s="8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6"/>
      <c r="AV222" s="6"/>
      <c r="AW222" s="6"/>
      <c r="AX222" s="6"/>
    </row>
    <row r="223" spans="1:50" ht="15.75" customHeight="1" x14ac:dyDescent="0.3">
      <c r="A223" s="13"/>
      <c r="B223" s="13"/>
      <c r="C223" s="13"/>
      <c r="D223" s="6"/>
      <c r="E223" s="8"/>
      <c r="F223" s="8"/>
      <c r="G223" s="8"/>
      <c r="H223" s="8"/>
      <c r="I223" s="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6"/>
      <c r="AV223" s="6"/>
      <c r="AW223" s="6"/>
      <c r="AX223" s="6"/>
    </row>
    <row r="224" spans="1:50" ht="15.75" customHeight="1" x14ac:dyDescent="0.3">
      <c r="A224" s="13"/>
      <c r="B224" s="13"/>
      <c r="C224" s="13"/>
      <c r="D224" s="6"/>
      <c r="E224" s="8"/>
      <c r="F224" s="8"/>
      <c r="G224" s="8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6"/>
      <c r="AV224" s="6"/>
      <c r="AW224" s="6"/>
      <c r="AX224" s="6"/>
    </row>
    <row r="225" spans="1:50" ht="15.75" customHeight="1" x14ac:dyDescent="0.3">
      <c r="A225" s="13"/>
      <c r="B225" s="13"/>
      <c r="C225" s="13"/>
      <c r="D225" s="6"/>
      <c r="E225" s="8"/>
      <c r="F225" s="8"/>
      <c r="G225" s="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6"/>
      <c r="AV225" s="6"/>
      <c r="AW225" s="6"/>
      <c r="AX225" s="6"/>
    </row>
    <row r="226" spans="1:50" ht="15.75" customHeight="1" x14ac:dyDescent="0.3">
      <c r="A226" s="13"/>
      <c r="B226" s="13"/>
      <c r="C226" s="13"/>
      <c r="D226" s="6"/>
      <c r="E226" s="8"/>
      <c r="F226" s="8"/>
      <c r="G226" s="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6"/>
      <c r="AV226" s="6"/>
      <c r="AW226" s="6"/>
      <c r="AX226" s="6"/>
    </row>
    <row r="227" spans="1:50" ht="15.75" customHeight="1" x14ac:dyDescent="0.3">
      <c r="A227" s="13"/>
      <c r="B227" s="13"/>
      <c r="C227" s="13"/>
      <c r="D227" s="6"/>
      <c r="E227" s="8"/>
      <c r="F227" s="8"/>
      <c r="G227" s="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6"/>
      <c r="AV227" s="6"/>
      <c r="AW227" s="6"/>
      <c r="AX227" s="6"/>
    </row>
    <row r="228" spans="1:50" ht="15.75" customHeight="1" x14ac:dyDescent="0.3">
      <c r="A228" s="13"/>
      <c r="B228" s="13"/>
      <c r="C228" s="13"/>
      <c r="D228" s="6"/>
      <c r="E228" s="8"/>
      <c r="F228" s="8"/>
      <c r="G228" s="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6"/>
      <c r="AV228" s="6"/>
      <c r="AW228" s="6"/>
      <c r="AX228" s="6"/>
    </row>
    <row r="229" spans="1:50" ht="15.75" customHeight="1" x14ac:dyDescent="0.3">
      <c r="A229" s="13"/>
      <c r="B229" s="13"/>
      <c r="C229" s="13"/>
      <c r="D229" s="6"/>
      <c r="E229" s="8"/>
      <c r="F229" s="8"/>
      <c r="G229" s="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6"/>
      <c r="AV229" s="6"/>
      <c r="AW229" s="6"/>
      <c r="AX229" s="6"/>
    </row>
    <row r="230" spans="1:50" ht="15.75" customHeight="1" x14ac:dyDescent="0.3">
      <c r="A230" s="13"/>
      <c r="B230" s="13"/>
      <c r="C230" s="13"/>
      <c r="D230" s="6"/>
      <c r="E230" s="8"/>
      <c r="F230" s="8"/>
      <c r="G230" s="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6"/>
      <c r="AV230" s="6"/>
      <c r="AW230" s="6"/>
      <c r="AX230" s="6"/>
    </row>
    <row r="231" spans="1:50" ht="15.75" customHeight="1" x14ac:dyDescent="0.3">
      <c r="A231" s="13"/>
      <c r="B231" s="13"/>
      <c r="C231" s="13"/>
      <c r="D231" s="6"/>
      <c r="E231" s="8"/>
      <c r="F231" s="8"/>
      <c r="G231" s="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6"/>
      <c r="AV231" s="6"/>
      <c r="AW231" s="6"/>
      <c r="AX231" s="6"/>
    </row>
    <row r="232" spans="1:50" ht="15.75" customHeight="1" x14ac:dyDescent="0.3">
      <c r="A232" s="13"/>
      <c r="B232" s="13"/>
      <c r="C232" s="13"/>
      <c r="D232" s="6"/>
      <c r="E232" s="8"/>
      <c r="F232" s="8"/>
      <c r="G232" s="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6"/>
      <c r="AV232" s="6"/>
      <c r="AW232" s="6"/>
      <c r="AX232" s="6"/>
    </row>
    <row r="233" spans="1:50" ht="15.75" customHeight="1" x14ac:dyDescent="0.3">
      <c r="A233" s="13"/>
      <c r="B233" s="13"/>
      <c r="C233" s="13"/>
      <c r="D233" s="6"/>
      <c r="E233" s="8"/>
      <c r="F233" s="8"/>
      <c r="G233" s="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6"/>
      <c r="AV233" s="6"/>
      <c r="AW233" s="6"/>
      <c r="AX233" s="6"/>
    </row>
    <row r="234" spans="1:50" ht="15.75" customHeight="1" x14ac:dyDescent="0.3">
      <c r="A234" s="13"/>
      <c r="B234" s="13"/>
      <c r="C234" s="13"/>
      <c r="D234" s="6"/>
      <c r="E234" s="8"/>
      <c r="F234" s="8"/>
      <c r="G234" s="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6"/>
      <c r="AV234" s="6"/>
      <c r="AW234" s="6"/>
      <c r="AX234" s="6"/>
    </row>
    <row r="235" spans="1:50" ht="15.75" customHeight="1" x14ac:dyDescent="0.3">
      <c r="A235" s="13"/>
      <c r="B235" s="13"/>
      <c r="C235" s="13"/>
      <c r="D235" s="6"/>
      <c r="E235" s="8"/>
      <c r="F235" s="8"/>
      <c r="G235" s="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6"/>
      <c r="AV235" s="6"/>
      <c r="AW235" s="6"/>
      <c r="AX235" s="6"/>
    </row>
    <row r="236" spans="1:50" ht="15.75" customHeight="1" x14ac:dyDescent="0.3">
      <c r="A236" s="13"/>
      <c r="B236" s="13"/>
      <c r="C236" s="13"/>
      <c r="D236" s="6"/>
      <c r="E236" s="8"/>
      <c r="F236" s="8"/>
      <c r="G236" s="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6"/>
      <c r="AV236" s="6"/>
      <c r="AW236" s="6"/>
      <c r="AX236" s="6"/>
    </row>
    <row r="237" spans="1:50" ht="15.75" customHeight="1" x14ac:dyDescent="0.3">
      <c r="A237" s="13"/>
      <c r="B237" s="13"/>
      <c r="C237" s="13"/>
      <c r="D237" s="6"/>
      <c r="E237" s="8"/>
      <c r="F237" s="8"/>
      <c r="G237" s="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6"/>
      <c r="AV237" s="6"/>
      <c r="AW237" s="6"/>
      <c r="AX237" s="6"/>
    </row>
    <row r="238" spans="1:50" ht="15.75" customHeight="1" x14ac:dyDescent="0.3">
      <c r="A238" s="13"/>
      <c r="B238" s="13"/>
      <c r="C238" s="13"/>
      <c r="D238" s="6"/>
      <c r="E238" s="8"/>
      <c r="F238" s="8"/>
      <c r="G238" s="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6"/>
      <c r="AV238" s="6"/>
      <c r="AW238" s="6"/>
      <c r="AX238" s="6"/>
    </row>
    <row r="239" spans="1:50" ht="15.75" customHeight="1" x14ac:dyDescent="0.3">
      <c r="A239" s="13"/>
      <c r="B239" s="13"/>
      <c r="C239" s="13"/>
      <c r="D239" s="6"/>
      <c r="E239" s="8"/>
      <c r="F239" s="8"/>
      <c r="G239" s="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6"/>
      <c r="AV239" s="6"/>
      <c r="AW239" s="6"/>
      <c r="AX239" s="6"/>
    </row>
    <row r="240" spans="1:50" ht="15.75" customHeight="1" x14ac:dyDescent="0.3">
      <c r="A240" s="13"/>
      <c r="B240" s="13"/>
      <c r="C240" s="13"/>
      <c r="D240" s="6"/>
      <c r="E240" s="8"/>
      <c r="F240" s="8"/>
      <c r="G240" s="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6"/>
      <c r="AV240" s="6"/>
      <c r="AW240" s="6"/>
      <c r="AX240" s="6"/>
    </row>
    <row r="241" spans="1:50" ht="15.75" customHeight="1" x14ac:dyDescent="0.3">
      <c r="A241" s="13"/>
      <c r="B241" s="13"/>
      <c r="C241" s="13"/>
      <c r="D241" s="6"/>
      <c r="E241" s="8"/>
      <c r="F241" s="8"/>
      <c r="G241" s="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6"/>
      <c r="AV241" s="6"/>
      <c r="AW241" s="6"/>
      <c r="AX241" s="6"/>
    </row>
    <row r="242" spans="1:50" ht="15.75" customHeight="1" x14ac:dyDescent="0.3">
      <c r="A242" s="13"/>
      <c r="B242" s="13"/>
      <c r="C242" s="13"/>
      <c r="D242" s="6"/>
      <c r="E242" s="8"/>
      <c r="F242" s="8"/>
      <c r="G242" s="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6"/>
      <c r="AV242" s="6"/>
      <c r="AW242" s="6"/>
      <c r="AX242" s="6"/>
    </row>
    <row r="243" spans="1:50" ht="15.75" customHeight="1" x14ac:dyDescent="0.3">
      <c r="A243" s="13"/>
      <c r="B243" s="13"/>
      <c r="C243" s="13"/>
      <c r="D243" s="6"/>
      <c r="E243" s="8"/>
      <c r="F243" s="8"/>
      <c r="G243" s="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6"/>
      <c r="AV243" s="6"/>
      <c r="AW243" s="6"/>
      <c r="AX243" s="6"/>
    </row>
    <row r="244" spans="1:50" ht="15.75" customHeight="1" x14ac:dyDescent="0.3">
      <c r="A244" s="13"/>
      <c r="B244" s="13"/>
      <c r="C244" s="13"/>
      <c r="D244" s="6"/>
      <c r="E244" s="8"/>
      <c r="F244" s="8"/>
      <c r="G244" s="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6"/>
      <c r="AV244" s="6"/>
      <c r="AW244" s="6"/>
      <c r="AX244" s="6"/>
    </row>
    <row r="245" spans="1:50" ht="15.75" customHeight="1" x14ac:dyDescent="0.3">
      <c r="A245" s="13"/>
      <c r="B245" s="13"/>
      <c r="C245" s="13"/>
      <c r="D245" s="6"/>
      <c r="E245" s="8"/>
      <c r="F245" s="8"/>
      <c r="G245" s="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6"/>
      <c r="AV245" s="6"/>
      <c r="AW245" s="6"/>
      <c r="AX245" s="6"/>
    </row>
    <row r="246" spans="1:50" ht="15.75" customHeight="1" x14ac:dyDescent="0.3">
      <c r="A246" s="13"/>
      <c r="B246" s="13"/>
      <c r="C246" s="13"/>
      <c r="D246" s="6"/>
      <c r="E246" s="8"/>
      <c r="F246" s="8"/>
      <c r="G246" s="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6"/>
      <c r="AV246" s="6"/>
      <c r="AW246" s="6"/>
      <c r="AX246" s="6"/>
    </row>
    <row r="247" spans="1:50" ht="15.75" customHeight="1" x14ac:dyDescent="0.3">
      <c r="A247" s="13"/>
      <c r="B247" s="13"/>
      <c r="C247" s="13"/>
      <c r="D247" s="6"/>
      <c r="E247" s="8"/>
      <c r="F247" s="8"/>
      <c r="G247" s="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6"/>
      <c r="AV247" s="6"/>
      <c r="AW247" s="6"/>
      <c r="AX247" s="6"/>
    </row>
    <row r="248" spans="1:50" ht="15.75" customHeight="1" x14ac:dyDescent="0.3">
      <c r="A248" s="13"/>
      <c r="B248" s="13"/>
      <c r="C248" s="13"/>
      <c r="D248" s="6"/>
      <c r="E248" s="8"/>
      <c r="F248" s="8"/>
      <c r="G248" s="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6"/>
      <c r="AV248" s="6"/>
      <c r="AW248" s="6"/>
      <c r="AX248" s="6"/>
    </row>
    <row r="249" spans="1:50" ht="15.75" customHeight="1" x14ac:dyDescent="0.3">
      <c r="A249" s="13"/>
      <c r="B249" s="13"/>
      <c r="C249" s="13"/>
      <c r="D249" s="6"/>
      <c r="E249" s="8"/>
      <c r="F249" s="8"/>
      <c r="G249" s="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6"/>
      <c r="AV249" s="6"/>
      <c r="AW249" s="6"/>
      <c r="AX249" s="6"/>
    </row>
    <row r="250" spans="1:50" ht="15.75" customHeight="1" x14ac:dyDescent="0.3">
      <c r="A250" s="13"/>
      <c r="B250" s="13"/>
      <c r="C250" s="13"/>
      <c r="D250" s="6"/>
      <c r="E250" s="8"/>
      <c r="F250" s="8"/>
      <c r="G250" s="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6"/>
      <c r="AV250" s="6"/>
      <c r="AW250" s="6"/>
      <c r="AX250" s="6"/>
    </row>
    <row r="251" spans="1:50" ht="15.75" customHeight="1" x14ac:dyDescent="0.3">
      <c r="A251" s="13"/>
      <c r="B251" s="13"/>
      <c r="C251" s="13"/>
      <c r="D251" s="6"/>
      <c r="E251" s="8"/>
      <c r="F251" s="8"/>
      <c r="G251" s="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6"/>
      <c r="AV251" s="6"/>
      <c r="AW251" s="6"/>
      <c r="AX251" s="6"/>
    </row>
    <row r="252" spans="1:50" ht="15.75" customHeight="1" x14ac:dyDescent="0.3">
      <c r="A252" s="13"/>
      <c r="B252" s="13"/>
      <c r="C252" s="13"/>
      <c r="D252" s="6"/>
      <c r="E252" s="8"/>
      <c r="F252" s="8"/>
      <c r="G252" s="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6"/>
      <c r="AV252" s="6"/>
      <c r="AW252" s="6"/>
      <c r="AX252" s="6"/>
    </row>
    <row r="253" spans="1:50" ht="15.75" customHeight="1" x14ac:dyDescent="0.3">
      <c r="A253" s="13"/>
      <c r="B253" s="13"/>
      <c r="C253" s="13"/>
      <c r="D253" s="6"/>
      <c r="E253" s="8"/>
      <c r="F253" s="8"/>
      <c r="G253" s="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6"/>
      <c r="AV253" s="6"/>
      <c r="AW253" s="6"/>
      <c r="AX253" s="6"/>
    </row>
    <row r="254" spans="1:50" ht="15.75" customHeight="1" x14ac:dyDescent="0.3">
      <c r="A254" s="13"/>
      <c r="B254" s="13"/>
      <c r="C254" s="13"/>
      <c r="D254" s="6"/>
      <c r="E254" s="8"/>
      <c r="F254" s="8"/>
      <c r="G254" s="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6"/>
      <c r="AV254" s="6"/>
      <c r="AW254" s="6"/>
      <c r="AX254" s="6"/>
    </row>
    <row r="255" spans="1:50" ht="15.75" customHeight="1" x14ac:dyDescent="0.3">
      <c r="A255" s="13"/>
      <c r="B255" s="13"/>
      <c r="C255" s="13"/>
      <c r="D255" s="6"/>
      <c r="E255" s="8"/>
      <c r="F255" s="8"/>
      <c r="G255" s="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6"/>
      <c r="AV255" s="6"/>
      <c r="AW255" s="6"/>
      <c r="AX255" s="6"/>
    </row>
    <row r="256" spans="1:50" ht="15.75" customHeight="1" x14ac:dyDescent="0.3">
      <c r="A256" s="13"/>
      <c r="B256" s="13"/>
      <c r="C256" s="13"/>
      <c r="D256" s="6"/>
      <c r="E256" s="8"/>
      <c r="F256" s="8"/>
      <c r="G256" s="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6"/>
      <c r="AV256" s="6"/>
      <c r="AW256" s="6"/>
      <c r="AX256" s="6"/>
    </row>
    <row r="257" spans="1:50" ht="15.75" customHeight="1" x14ac:dyDescent="0.3">
      <c r="A257" s="13"/>
      <c r="B257" s="13"/>
      <c r="C257" s="13"/>
      <c r="D257" s="6"/>
      <c r="E257" s="8"/>
      <c r="F257" s="8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6"/>
      <c r="AV257" s="6"/>
      <c r="AW257" s="6"/>
      <c r="AX257" s="6"/>
    </row>
    <row r="258" spans="1:50" ht="15.75" customHeight="1" x14ac:dyDescent="0.3">
      <c r="A258" s="13"/>
      <c r="B258" s="13"/>
      <c r="C258" s="13"/>
      <c r="D258" s="6"/>
      <c r="E258" s="8"/>
      <c r="F258" s="8"/>
      <c r="G258" s="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6"/>
      <c r="AV258" s="6"/>
      <c r="AW258" s="6"/>
      <c r="AX258" s="6"/>
    </row>
    <row r="259" spans="1:50" ht="15.75" customHeight="1" x14ac:dyDescent="0.3">
      <c r="A259" s="13"/>
      <c r="B259" s="13"/>
      <c r="C259" s="13"/>
      <c r="D259" s="6"/>
      <c r="E259" s="8"/>
      <c r="F259" s="8"/>
      <c r="G259" s="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6"/>
      <c r="AV259" s="6"/>
      <c r="AW259" s="6"/>
      <c r="AX259" s="6"/>
    </row>
    <row r="260" spans="1:50" ht="15.75" customHeight="1" x14ac:dyDescent="0.3">
      <c r="A260" s="13"/>
      <c r="B260" s="13"/>
      <c r="C260" s="13"/>
      <c r="D260" s="6"/>
      <c r="E260" s="8"/>
      <c r="F260" s="8"/>
      <c r="G260" s="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6"/>
      <c r="AV260" s="6"/>
      <c r="AW260" s="6"/>
      <c r="AX260" s="6"/>
    </row>
    <row r="261" spans="1:50" ht="15.75" customHeight="1" x14ac:dyDescent="0.3">
      <c r="A261" s="13"/>
      <c r="B261" s="13"/>
      <c r="C261" s="13"/>
      <c r="D261" s="6"/>
      <c r="E261" s="8"/>
      <c r="F261" s="8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6"/>
      <c r="AV261" s="6"/>
      <c r="AW261" s="6"/>
      <c r="AX261" s="6"/>
    </row>
    <row r="262" spans="1:50" ht="15.75" customHeight="1" x14ac:dyDescent="0.3">
      <c r="A262" s="13"/>
      <c r="B262" s="13"/>
      <c r="C262" s="13"/>
      <c r="D262" s="6"/>
      <c r="E262" s="8"/>
      <c r="F262" s="8"/>
      <c r="G262" s="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6"/>
      <c r="AV262" s="6"/>
      <c r="AW262" s="6"/>
      <c r="AX262" s="6"/>
    </row>
    <row r="263" spans="1:50" ht="15.75" customHeight="1" x14ac:dyDescent="0.3">
      <c r="A263" s="13"/>
      <c r="B263" s="13"/>
      <c r="C263" s="13"/>
      <c r="D263" s="6"/>
      <c r="E263" s="8"/>
      <c r="F263" s="8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6"/>
      <c r="AV263" s="6"/>
      <c r="AW263" s="6"/>
      <c r="AX263" s="6"/>
    </row>
    <row r="264" spans="1:50" ht="15.75" customHeight="1" x14ac:dyDescent="0.3">
      <c r="A264" s="13"/>
      <c r="B264" s="13"/>
      <c r="C264" s="13"/>
      <c r="D264" s="6"/>
      <c r="E264" s="8"/>
      <c r="F264" s="8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6"/>
      <c r="AV264" s="6"/>
      <c r="AW264" s="6"/>
      <c r="AX264" s="6"/>
    </row>
    <row r="265" spans="1:50" ht="15.75" customHeight="1" x14ac:dyDescent="0.3">
      <c r="A265" s="13"/>
      <c r="B265" s="13"/>
      <c r="C265" s="13"/>
      <c r="D265" s="6"/>
      <c r="E265" s="8"/>
      <c r="F265" s="8"/>
      <c r="G265" s="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6"/>
      <c r="AV265" s="6"/>
      <c r="AW265" s="6"/>
      <c r="AX265" s="6"/>
    </row>
    <row r="266" spans="1:50" ht="15.75" customHeight="1" x14ac:dyDescent="0.3">
      <c r="A266" s="13"/>
      <c r="B266" s="13"/>
      <c r="C266" s="13"/>
      <c r="D266" s="6"/>
      <c r="E266" s="8"/>
      <c r="F266" s="8"/>
      <c r="G266" s="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6"/>
      <c r="AV266" s="6"/>
      <c r="AW266" s="6"/>
      <c r="AX266" s="6"/>
    </row>
    <row r="267" spans="1:50" ht="15.75" customHeight="1" x14ac:dyDescent="0.3">
      <c r="A267" s="13"/>
      <c r="B267" s="13"/>
      <c r="C267" s="13"/>
      <c r="D267" s="6"/>
      <c r="E267" s="8"/>
      <c r="F267" s="8"/>
      <c r="G267" s="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6"/>
      <c r="AV267" s="6"/>
      <c r="AW267" s="6"/>
      <c r="AX267" s="6"/>
    </row>
    <row r="268" spans="1:50" ht="15.75" customHeight="1" x14ac:dyDescent="0.3">
      <c r="A268" s="13"/>
      <c r="B268" s="13"/>
      <c r="C268" s="13"/>
      <c r="D268" s="6"/>
      <c r="E268" s="8"/>
      <c r="F268" s="8"/>
      <c r="G268" s="8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6"/>
      <c r="AV268" s="6"/>
      <c r="AW268" s="6"/>
      <c r="AX268" s="6"/>
    </row>
    <row r="269" spans="1:50" ht="15.75" customHeight="1" x14ac:dyDescent="0.3">
      <c r="A269" s="13"/>
      <c r="B269" s="13"/>
      <c r="C269" s="13"/>
      <c r="D269" s="6"/>
      <c r="E269" s="8"/>
      <c r="F269" s="8"/>
      <c r="G269" s="8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6"/>
      <c r="AV269" s="6"/>
      <c r="AW269" s="6"/>
      <c r="AX269" s="6"/>
    </row>
    <row r="270" spans="1:50" ht="15.75" customHeight="1" x14ac:dyDescent="0.3">
      <c r="A270" s="13"/>
      <c r="B270" s="13"/>
      <c r="C270" s="13"/>
      <c r="D270" s="6"/>
      <c r="E270" s="8"/>
      <c r="F270" s="8"/>
      <c r="G270" s="8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6"/>
      <c r="AV270" s="6"/>
      <c r="AW270" s="6"/>
      <c r="AX270" s="6"/>
    </row>
    <row r="271" spans="1:50" ht="15.75" customHeight="1" x14ac:dyDescent="0.3">
      <c r="A271" s="13"/>
      <c r="B271" s="13"/>
      <c r="C271" s="13"/>
      <c r="D271" s="6"/>
      <c r="E271" s="8"/>
      <c r="F271" s="8"/>
      <c r="G271" s="8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6"/>
      <c r="AV271" s="6"/>
      <c r="AW271" s="6"/>
      <c r="AX271" s="6"/>
    </row>
    <row r="272" spans="1:50" ht="15.75" customHeight="1" x14ac:dyDescent="0.3">
      <c r="A272" s="13"/>
      <c r="B272" s="13"/>
      <c r="C272" s="13"/>
      <c r="D272" s="6"/>
      <c r="E272" s="8"/>
      <c r="F272" s="8"/>
      <c r="G272" s="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6"/>
      <c r="AV272" s="6"/>
      <c r="AW272" s="6"/>
      <c r="AX272" s="6"/>
    </row>
    <row r="273" spans="1:50" ht="15.75" customHeight="1" x14ac:dyDescent="0.3">
      <c r="A273" s="13"/>
      <c r="B273" s="13"/>
      <c r="C273" s="13"/>
      <c r="D273" s="6"/>
      <c r="E273" s="8"/>
      <c r="F273" s="8"/>
      <c r="G273" s="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6"/>
      <c r="AV273" s="6"/>
      <c r="AW273" s="6"/>
      <c r="AX273" s="6"/>
    </row>
    <row r="274" spans="1:50" ht="15.75" customHeight="1" x14ac:dyDescent="0.3">
      <c r="A274" s="13"/>
      <c r="B274" s="13"/>
      <c r="C274" s="13"/>
      <c r="D274" s="6"/>
      <c r="E274" s="8"/>
      <c r="F274" s="8"/>
      <c r="G274" s="8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6"/>
      <c r="AV274" s="6"/>
      <c r="AW274" s="6"/>
      <c r="AX274" s="6"/>
    </row>
    <row r="275" spans="1:50" ht="15.75" customHeight="1" x14ac:dyDescent="0.3">
      <c r="A275" s="13"/>
      <c r="B275" s="13"/>
      <c r="C275" s="13"/>
      <c r="D275" s="6"/>
      <c r="E275" s="8"/>
      <c r="F275" s="8"/>
      <c r="G275" s="8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6"/>
      <c r="AV275" s="6"/>
      <c r="AW275" s="6"/>
      <c r="AX275" s="6"/>
    </row>
    <row r="276" spans="1:50" ht="15.75" customHeight="1" x14ac:dyDescent="0.3">
      <c r="A276" s="13"/>
      <c r="B276" s="13"/>
      <c r="C276" s="13"/>
      <c r="D276" s="6"/>
      <c r="E276" s="8"/>
      <c r="F276" s="8"/>
      <c r="G276" s="8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6"/>
      <c r="AV276" s="6"/>
      <c r="AW276" s="6"/>
      <c r="AX276" s="6"/>
    </row>
    <row r="277" spans="1:50" ht="15.75" customHeight="1" x14ac:dyDescent="0.3">
      <c r="A277" s="13"/>
      <c r="B277" s="13"/>
      <c r="C277" s="13"/>
      <c r="D277" s="6"/>
      <c r="E277" s="8"/>
      <c r="F277" s="8"/>
      <c r="G277" s="8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6"/>
      <c r="AV277" s="6"/>
      <c r="AW277" s="6"/>
      <c r="AX277" s="6"/>
    </row>
    <row r="278" spans="1:50" ht="15.75" customHeight="1" x14ac:dyDescent="0.3">
      <c r="A278" s="13"/>
      <c r="B278" s="13"/>
      <c r="C278" s="13"/>
      <c r="D278" s="6"/>
      <c r="E278" s="8"/>
      <c r="F278" s="8"/>
      <c r="G278" s="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6"/>
      <c r="AV278" s="6"/>
      <c r="AW278" s="6"/>
      <c r="AX278" s="6"/>
    </row>
    <row r="279" spans="1:50" ht="15.75" customHeight="1" x14ac:dyDescent="0.3">
      <c r="A279" s="13"/>
      <c r="B279" s="13"/>
      <c r="C279" s="13"/>
      <c r="D279" s="6"/>
      <c r="E279" s="8"/>
      <c r="F279" s="8"/>
      <c r="G279" s="8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6"/>
      <c r="AV279" s="6"/>
      <c r="AW279" s="6"/>
      <c r="AX279" s="6"/>
    </row>
    <row r="280" spans="1:50" ht="15.75" customHeight="1" x14ac:dyDescent="0.3">
      <c r="A280" s="13"/>
      <c r="B280" s="13"/>
      <c r="C280" s="13"/>
      <c r="D280" s="6"/>
      <c r="E280" s="8"/>
      <c r="F280" s="8"/>
      <c r="G280" s="8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6"/>
      <c r="AV280" s="6"/>
      <c r="AW280" s="6"/>
      <c r="AX280" s="6"/>
    </row>
    <row r="281" spans="1:50" ht="15.75" customHeight="1" x14ac:dyDescent="0.3">
      <c r="A281" s="13"/>
      <c r="B281" s="13"/>
      <c r="C281" s="13"/>
      <c r="D281" s="6"/>
      <c r="E281" s="8"/>
      <c r="F281" s="8"/>
      <c r="G281" s="8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6"/>
      <c r="AV281" s="6"/>
      <c r="AW281" s="6"/>
      <c r="AX281" s="6"/>
    </row>
    <row r="282" spans="1:50" ht="15.75" customHeight="1" x14ac:dyDescent="0.3">
      <c r="A282" s="13"/>
      <c r="B282" s="13"/>
      <c r="C282" s="13"/>
      <c r="D282" s="6"/>
      <c r="E282" s="8"/>
      <c r="F282" s="8"/>
      <c r="G282" s="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6"/>
      <c r="AV282" s="6"/>
      <c r="AW282" s="6"/>
      <c r="AX282" s="6"/>
    </row>
    <row r="283" spans="1:50" ht="15.75" customHeight="1" x14ac:dyDescent="0.3">
      <c r="A283" s="13"/>
      <c r="B283" s="13"/>
      <c r="C283" s="13"/>
      <c r="D283" s="6"/>
      <c r="E283" s="8"/>
      <c r="F283" s="8"/>
      <c r="G283" s="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6"/>
      <c r="AV283" s="6"/>
      <c r="AW283" s="6"/>
      <c r="AX283" s="6"/>
    </row>
    <row r="284" spans="1:50" ht="15.75" customHeight="1" x14ac:dyDescent="0.3">
      <c r="A284" s="13"/>
      <c r="B284" s="13"/>
      <c r="C284" s="13"/>
      <c r="D284" s="6"/>
      <c r="E284" s="8"/>
      <c r="F284" s="8"/>
      <c r="G284" s="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6"/>
      <c r="AV284" s="6"/>
      <c r="AW284" s="6"/>
      <c r="AX284" s="6"/>
    </row>
    <row r="285" spans="1:50" ht="15.75" customHeight="1" x14ac:dyDescent="0.3">
      <c r="A285" s="13"/>
      <c r="B285" s="13"/>
      <c r="C285" s="13"/>
      <c r="D285" s="6"/>
      <c r="E285" s="8"/>
      <c r="F285" s="8"/>
      <c r="G285" s="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6"/>
      <c r="AV285" s="6"/>
      <c r="AW285" s="6"/>
      <c r="AX285" s="6"/>
    </row>
    <row r="286" spans="1:50" ht="15.75" customHeight="1" x14ac:dyDescent="0.3">
      <c r="A286" s="13"/>
      <c r="B286" s="13"/>
      <c r="C286" s="13"/>
      <c r="D286" s="6"/>
      <c r="E286" s="8"/>
      <c r="F286" s="8"/>
      <c r="G286" s="8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6"/>
      <c r="AV286" s="6"/>
      <c r="AW286" s="6"/>
      <c r="AX286" s="6"/>
    </row>
    <row r="287" spans="1:50" ht="15.75" customHeight="1" x14ac:dyDescent="0.3">
      <c r="A287" s="13"/>
      <c r="B287" s="13"/>
      <c r="C287" s="13"/>
      <c r="D287" s="6"/>
      <c r="E287" s="8"/>
      <c r="F287" s="8"/>
      <c r="G287" s="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6"/>
      <c r="AV287" s="6"/>
      <c r="AW287" s="6"/>
      <c r="AX287" s="6"/>
    </row>
    <row r="288" spans="1:50" ht="15.75" customHeight="1" x14ac:dyDescent="0.3">
      <c r="A288" s="13"/>
      <c r="B288" s="13"/>
      <c r="C288" s="13"/>
      <c r="D288" s="6"/>
      <c r="E288" s="8"/>
      <c r="F288" s="8"/>
      <c r="G288" s="8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6"/>
      <c r="AV288" s="6"/>
      <c r="AW288" s="6"/>
      <c r="AX288" s="6"/>
    </row>
    <row r="289" spans="1:50" ht="15.75" customHeight="1" x14ac:dyDescent="0.3">
      <c r="A289" s="13"/>
      <c r="B289" s="13"/>
      <c r="C289" s="13"/>
      <c r="D289" s="6"/>
      <c r="E289" s="8"/>
      <c r="F289" s="8"/>
      <c r="G289" s="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6"/>
      <c r="AV289" s="6"/>
      <c r="AW289" s="6"/>
      <c r="AX289" s="6"/>
    </row>
    <row r="290" spans="1:50" ht="15.75" customHeight="1" x14ac:dyDescent="0.3">
      <c r="A290" s="13"/>
      <c r="B290" s="13"/>
      <c r="C290" s="13"/>
      <c r="D290" s="6"/>
      <c r="E290" s="8"/>
      <c r="F290" s="8"/>
      <c r="G290" s="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6"/>
      <c r="AV290" s="6"/>
      <c r="AW290" s="6"/>
      <c r="AX290" s="6"/>
    </row>
    <row r="291" spans="1:50" ht="15.75" customHeight="1" x14ac:dyDescent="0.3">
      <c r="A291" s="13"/>
      <c r="B291" s="13"/>
      <c r="C291" s="13"/>
      <c r="D291" s="6"/>
      <c r="E291" s="8"/>
      <c r="F291" s="8"/>
      <c r="G291" s="8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6"/>
      <c r="AV291" s="6"/>
      <c r="AW291" s="6"/>
      <c r="AX291" s="6"/>
    </row>
    <row r="292" spans="1:50" ht="15.75" customHeight="1" x14ac:dyDescent="0.3">
      <c r="A292" s="13"/>
      <c r="B292" s="13"/>
      <c r="C292" s="13"/>
      <c r="D292" s="6"/>
      <c r="E292" s="8"/>
      <c r="F292" s="8"/>
      <c r="G292" s="8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6"/>
      <c r="AV292" s="6"/>
      <c r="AW292" s="6"/>
      <c r="AX292" s="6"/>
    </row>
    <row r="293" spans="1:50" ht="15.75" customHeight="1" x14ac:dyDescent="0.3">
      <c r="A293" s="13"/>
      <c r="B293" s="13"/>
      <c r="C293" s="13"/>
      <c r="D293" s="6"/>
      <c r="E293" s="8"/>
      <c r="F293" s="8"/>
      <c r="G293" s="8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6"/>
      <c r="AV293" s="6"/>
      <c r="AW293" s="6"/>
      <c r="AX293" s="6"/>
    </row>
    <row r="294" spans="1:50" ht="15.75" customHeight="1" x14ac:dyDescent="0.3">
      <c r="A294" s="13"/>
      <c r="B294" s="13"/>
      <c r="C294" s="13"/>
      <c r="D294" s="6"/>
      <c r="E294" s="8"/>
      <c r="F294" s="8"/>
      <c r="G294" s="8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6"/>
      <c r="AV294" s="6"/>
      <c r="AW294" s="6"/>
      <c r="AX294" s="6"/>
    </row>
    <row r="295" spans="1:50" ht="15.75" customHeight="1" x14ac:dyDescent="0.3">
      <c r="A295" s="13"/>
      <c r="B295" s="13"/>
      <c r="C295" s="13"/>
      <c r="D295" s="6"/>
      <c r="E295" s="8"/>
      <c r="F295" s="8"/>
      <c r="G295" s="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6"/>
      <c r="AV295" s="6"/>
      <c r="AW295" s="6"/>
      <c r="AX295" s="6"/>
    </row>
    <row r="296" spans="1:50" ht="15.75" customHeight="1" x14ac:dyDescent="0.3">
      <c r="A296" s="13"/>
      <c r="B296" s="13"/>
      <c r="C296" s="13"/>
      <c r="D296" s="6"/>
      <c r="E296" s="8"/>
      <c r="F296" s="8"/>
      <c r="G296" s="8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6"/>
      <c r="AV296" s="6"/>
      <c r="AW296" s="6"/>
      <c r="AX296" s="6"/>
    </row>
    <row r="297" spans="1:50" ht="15.75" customHeight="1" x14ac:dyDescent="0.3">
      <c r="A297" s="13"/>
      <c r="B297" s="13"/>
      <c r="C297" s="13"/>
      <c r="D297" s="6"/>
      <c r="E297" s="8"/>
      <c r="F297" s="8"/>
      <c r="G297" s="8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6"/>
      <c r="AV297" s="6"/>
      <c r="AW297" s="6"/>
      <c r="AX297" s="6"/>
    </row>
    <row r="298" spans="1:50" ht="15.75" customHeight="1" x14ac:dyDescent="0.3">
      <c r="A298" s="13"/>
      <c r="B298" s="13"/>
      <c r="C298" s="13"/>
      <c r="D298" s="6"/>
      <c r="E298" s="8"/>
      <c r="F298" s="8"/>
      <c r="G298" s="8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6"/>
      <c r="AV298" s="6"/>
      <c r="AW298" s="6"/>
      <c r="AX298" s="6"/>
    </row>
    <row r="299" spans="1:50" ht="15.75" customHeight="1" x14ac:dyDescent="0.3">
      <c r="A299" s="13"/>
      <c r="B299" s="13"/>
      <c r="C299" s="13"/>
      <c r="D299" s="6"/>
      <c r="E299" s="8"/>
      <c r="F299" s="8"/>
      <c r="G299" s="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6"/>
      <c r="AV299" s="6"/>
      <c r="AW299" s="6"/>
      <c r="AX299" s="6"/>
    </row>
    <row r="300" spans="1:50" ht="15.75" customHeight="1" x14ac:dyDescent="0.3">
      <c r="A300" s="13"/>
      <c r="B300" s="13"/>
      <c r="C300" s="13"/>
      <c r="D300" s="6"/>
      <c r="E300" s="8"/>
      <c r="F300" s="8"/>
      <c r="G300" s="8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6"/>
      <c r="AV300" s="6"/>
      <c r="AW300" s="6"/>
      <c r="AX300" s="6"/>
    </row>
    <row r="301" spans="1:50" ht="15.75" customHeight="1" x14ac:dyDescent="0.3">
      <c r="A301" s="13"/>
      <c r="B301" s="13"/>
      <c r="C301" s="13"/>
      <c r="D301" s="6"/>
      <c r="E301" s="8"/>
      <c r="F301" s="8"/>
      <c r="G301" s="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6"/>
      <c r="AV301" s="6"/>
      <c r="AW301" s="6"/>
      <c r="AX301" s="6"/>
    </row>
    <row r="302" spans="1:50" ht="15.75" customHeight="1" x14ac:dyDescent="0.3">
      <c r="A302" s="13"/>
      <c r="B302" s="13"/>
      <c r="C302" s="13"/>
      <c r="D302" s="6"/>
      <c r="E302" s="8"/>
      <c r="F302" s="8"/>
      <c r="G302" s="8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6"/>
      <c r="AV302" s="6"/>
      <c r="AW302" s="6"/>
      <c r="AX302" s="6"/>
    </row>
    <row r="303" spans="1:50" ht="15.75" customHeight="1" x14ac:dyDescent="0.3">
      <c r="A303" s="13"/>
      <c r="B303" s="13"/>
      <c r="C303" s="13"/>
      <c r="D303" s="6"/>
      <c r="E303" s="8"/>
      <c r="F303" s="8"/>
      <c r="G303" s="8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6"/>
      <c r="AV303" s="6"/>
      <c r="AW303" s="6"/>
      <c r="AX303" s="6"/>
    </row>
    <row r="304" spans="1:50" ht="15.75" customHeight="1" x14ac:dyDescent="0.3">
      <c r="A304" s="13"/>
      <c r="B304" s="13"/>
      <c r="C304" s="13"/>
      <c r="D304" s="6"/>
      <c r="E304" s="8"/>
      <c r="F304" s="8"/>
      <c r="G304" s="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6"/>
      <c r="AV304" s="6"/>
      <c r="AW304" s="6"/>
      <c r="AX304" s="6"/>
    </row>
    <row r="305" spans="1:50" ht="15.75" customHeight="1" x14ac:dyDescent="0.3">
      <c r="A305" s="13"/>
      <c r="B305" s="13"/>
      <c r="C305" s="13"/>
      <c r="D305" s="6"/>
      <c r="E305" s="8"/>
      <c r="F305" s="8"/>
      <c r="G305" s="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6"/>
      <c r="AV305" s="6"/>
      <c r="AW305" s="6"/>
      <c r="AX305" s="6"/>
    </row>
    <row r="306" spans="1:50" ht="15.75" customHeight="1" x14ac:dyDescent="0.3">
      <c r="A306" s="13"/>
      <c r="B306" s="13"/>
      <c r="C306" s="13"/>
      <c r="D306" s="6"/>
      <c r="E306" s="8"/>
      <c r="F306" s="8"/>
      <c r="G306" s="8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6"/>
      <c r="AV306" s="6"/>
      <c r="AW306" s="6"/>
      <c r="AX306" s="6"/>
    </row>
    <row r="307" spans="1:50" ht="15.75" customHeight="1" x14ac:dyDescent="0.3">
      <c r="A307" s="13"/>
      <c r="B307" s="13"/>
      <c r="C307" s="13"/>
      <c r="D307" s="6"/>
      <c r="E307" s="8"/>
      <c r="F307" s="8"/>
      <c r="G307" s="8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6"/>
      <c r="AV307" s="6"/>
      <c r="AW307" s="6"/>
      <c r="AX307" s="6"/>
    </row>
    <row r="308" spans="1:50" ht="15.75" customHeight="1" x14ac:dyDescent="0.3">
      <c r="A308" s="13"/>
      <c r="B308" s="13"/>
      <c r="C308" s="13"/>
      <c r="D308" s="6"/>
      <c r="E308" s="8"/>
      <c r="F308" s="8"/>
      <c r="G308" s="8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6"/>
      <c r="AV308" s="6"/>
      <c r="AW308" s="6"/>
      <c r="AX308" s="6"/>
    </row>
    <row r="309" spans="1:50" ht="15.75" customHeight="1" x14ac:dyDescent="0.3">
      <c r="A309" s="13"/>
      <c r="B309" s="13"/>
      <c r="C309" s="13"/>
      <c r="D309" s="6"/>
      <c r="E309" s="8"/>
      <c r="F309" s="8"/>
      <c r="G309" s="8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6"/>
      <c r="AV309" s="6"/>
      <c r="AW309" s="6"/>
      <c r="AX309" s="6"/>
    </row>
    <row r="310" spans="1:50" ht="15.75" customHeight="1" x14ac:dyDescent="0.3">
      <c r="A310" s="13"/>
      <c r="B310" s="13"/>
      <c r="C310" s="13"/>
      <c r="D310" s="6"/>
      <c r="E310" s="8"/>
      <c r="F310" s="8"/>
      <c r="G310" s="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6"/>
      <c r="AV310" s="6"/>
      <c r="AW310" s="6"/>
      <c r="AX310" s="6"/>
    </row>
    <row r="311" spans="1:50" ht="15.75" customHeight="1" x14ac:dyDescent="0.3">
      <c r="A311" s="13"/>
      <c r="B311" s="13"/>
      <c r="C311" s="13"/>
      <c r="D311" s="6"/>
      <c r="E311" s="8"/>
      <c r="F311" s="8"/>
      <c r="G311" s="8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6"/>
      <c r="AV311" s="6"/>
      <c r="AW311" s="6"/>
      <c r="AX311" s="6"/>
    </row>
    <row r="312" spans="1:50" ht="15.75" customHeight="1" x14ac:dyDescent="0.3">
      <c r="A312" s="13"/>
      <c r="B312" s="13"/>
      <c r="C312" s="13"/>
      <c r="D312" s="6"/>
      <c r="E312" s="8"/>
      <c r="F312" s="8"/>
      <c r="G312" s="8"/>
      <c r="H312" s="8"/>
      <c r="I312" s="8"/>
      <c r="J312" s="4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6"/>
      <c r="AV312" s="6"/>
      <c r="AW312" s="6"/>
      <c r="AX312" s="6"/>
    </row>
    <row r="313" spans="1:50" ht="15.75" customHeight="1" x14ac:dyDescent="0.3">
      <c r="A313" s="13"/>
      <c r="B313" s="13"/>
      <c r="C313" s="13"/>
      <c r="D313" s="6"/>
      <c r="E313" s="8"/>
      <c r="F313" s="8"/>
      <c r="G313" s="8"/>
      <c r="H313" s="8"/>
      <c r="I313" s="8"/>
      <c r="J313" s="4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6"/>
      <c r="AV313" s="6"/>
      <c r="AW313" s="6"/>
      <c r="AX313" s="6"/>
    </row>
    <row r="314" spans="1:50" ht="15.75" customHeight="1" x14ac:dyDescent="0.3">
      <c r="A314" s="13"/>
      <c r="B314" s="13"/>
      <c r="C314" s="13"/>
      <c r="D314" s="6"/>
      <c r="E314" s="8"/>
      <c r="F314" s="8"/>
      <c r="G314" s="8"/>
      <c r="H314" s="8"/>
      <c r="I314" s="8"/>
      <c r="J314" s="4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6"/>
      <c r="AV314" s="6"/>
      <c r="AW314" s="6"/>
      <c r="AX314" s="6"/>
    </row>
    <row r="315" spans="1:50" ht="15.75" customHeight="1" x14ac:dyDescent="0.3">
      <c r="A315" s="13"/>
      <c r="B315" s="13"/>
      <c r="C315" s="13"/>
      <c r="D315" s="6"/>
      <c r="E315" s="8"/>
      <c r="F315" s="8"/>
      <c r="G315" s="8"/>
      <c r="H315" s="8"/>
      <c r="I315" s="8"/>
      <c r="J315" s="4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6"/>
      <c r="AV315" s="6"/>
      <c r="AW315" s="6"/>
      <c r="AX315" s="6"/>
    </row>
    <row r="316" spans="1:50" ht="15.75" customHeight="1" x14ac:dyDescent="0.3">
      <c r="A316" s="13"/>
      <c r="B316" s="13"/>
      <c r="C316" s="13"/>
      <c r="D316" s="6"/>
      <c r="E316" s="8"/>
      <c r="F316" s="8"/>
      <c r="G316" s="8"/>
      <c r="H316" s="8"/>
      <c r="I316" s="8"/>
      <c r="J316" s="4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6"/>
      <c r="AV316" s="6"/>
      <c r="AW316" s="6"/>
      <c r="AX316" s="6"/>
    </row>
    <row r="317" spans="1:50" ht="15.75" customHeight="1" x14ac:dyDescent="0.3">
      <c r="A317" s="13"/>
      <c r="B317" s="13"/>
      <c r="C317" s="13"/>
      <c r="D317" s="6"/>
      <c r="E317" s="8"/>
      <c r="F317" s="8"/>
      <c r="G317" s="8"/>
      <c r="H317" s="8"/>
      <c r="I317" s="8"/>
      <c r="J317" s="4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6"/>
      <c r="AV317" s="6"/>
      <c r="AW317" s="6"/>
      <c r="AX317" s="6"/>
    </row>
    <row r="318" spans="1:50" ht="15.75" customHeight="1" x14ac:dyDescent="0.3">
      <c r="A318" s="13"/>
      <c r="B318" s="13"/>
      <c r="C318" s="13"/>
      <c r="D318" s="6"/>
      <c r="E318" s="8"/>
      <c r="F318" s="8"/>
      <c r="G318" s="8"/>
      <c r="H318" s="8"/>
      <c r="I318" s="8"/>
      <c r="J318" s="4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6"/>
      <c r="AV318" s="6"/>
      <c r="AW318" s="6"/>
      <c r="AX318" s="6"/>
    </row>
    <row r="319" spans="1:50" ht="15.75" customHeight="1" x14ac:dyDescent="0.3">
      <c r="A319" s="13"/>
      <c r="B319" s="13"/>
      <c r="C319" s="13"/>
      <c r="D319" s="6"/>
      <c r="E319" s="8"/>
      <c r="F319" s="8"/>
      <c r="G319" s="8"/>
      <c r="H319" s="8"/>
      <c r="I319" s="8"/>
      <c r="J319" s="4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6"/>
      <c r="AV319" s="6"/>
      <c r="AW319" s="6"/>
      <c r="AX319" s="6"/>
    </row>
    <row r="320" spans="1:50" ht="15.75" customHeight="1" x14ac:dyDescent="0.3">
      <c r="A320" s="13"/>
      <c r="B320" s="13"/>
      <c r="C320" s="13"/>
      <c r="D320" s="6"/>
      <c r="E320" s="8"/>
      <c r="F320" s="8"/>
      <c r="G320" s="8"/>
      <c r="H320" s="8"/>
      <c r="I320" s="8"/>
      <c r="J320" s="4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6"/>
      <c r="AV320" s="6"/>
      <c r="AW320" s="6"/>
      <c r="AX320" s="6"/>
    </row>
    <row r="321" spans="1:50" ht="15.75" customHeight="1" x14ac:dyDescent="0.3">
      <c r="A321" s="13"/>
      <c r="B321" s="13"/>
      <c r="C321" s="13"/>
      <c r="D321" s="6"/>
      <c r="E321" s="8"/>
      <c r="F321" s="8"/>
      <c r="G321" s="8"/>
      <c r="H321" s="8"/>
      <c r="I321" s="8"/>
      <c r="J321" s="4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6"/>
      <c r="AV321" s="6"/>
      <c r="AW321" s="6"/>
      <c r="AX321" s="6"/>
    </row>
    <row r="322" spans="1:50" ht="15.75" customHeight="1" x14ac:dyDescent="0.3">
      <c r="A322" s="13"/>
      <c r="B322" s="13"/>
      <c r="C322" s="13"/>
      <c r="D322" s="6"/>
      <c r="E322" s="8"/>
      <c r="F322" s="8"/>
      <c r="G322" s="8"/>
      <c r="H322" s="8"/>
      <c r="I322" s="8"/>
      <c r="J322" s="4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6"/>
      <c r="AV322" s="6"/>
      <c r="AW322" s="6"/>
      <c r="AX322" s="6"/>
    </row>
    <row r="323" spans="1:50" ht="15.75" customHeight="1" x14ac:dyDescent="0.3">
      <c r="A323" s="13"/>
      <c r="B323" s="13"/>
      <c r="C323" s="13"/>
      <c r="D323" s="6"/>
      <c r="E323" s="8"/>
      <c r="F323" s="8"/>
      <c r="G323" s="8"/>
      <c r="H323" s="8"/>
      <c r="I323" s="8"/>
      <c r="J323" s="4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6"/>
      <c r="AV323" s="6"/>
      <c r="AW323" s="6"/>
      <c r="AX323" s="6"/>
    </row>
    <row r="324" spans="1:50" ht="15.75" customHeight="1" x14ac:dyDescent="0.3">
      <c r="A324" s="13"/>
      <c r="B324" s="13"/>
      <c r="C324" s="13"/>
      <c r="D324" s="6"/>
      <c r="E324" s="8"/>
      <c r="F324" s="8"/>
      <c r="G324" s="8"/>
      <c r="H324" s="8"/>
      <c r="I324" s="8"/>
      <c r="J324" s="4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6"/>
      <c r="AV324" s="6"/>
      <c r="AW324" s="6"/>
      <c r="AX324" s="6"/>
    </row>
    <row r="325" spans="1:50" ht="15.75" customHeight="1" x14ac:dyDescent="0.3">
      <c r="A325" s="13"/>
      <c r="B325" s="13"/>
      <c r="C325" s="13"/>
      <c r="D325" s="6"/>
      <c r="E325" s="8"/>
      <c r="F325" s="8"/>
      <c r="G325" s="8"/>
      <c r="H325" s="8"/>
      <c r="I325" s="8"/>
      <c r="J325" s="4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6"/>
      <c r="AV325" s="6"/>
      <c r="AW325" s="6"/>
      <c r="AX325" s="6"/>
    </row>
    <row r="326" spans="1:50" ht="15.75" customHeight="1" x14ac:dyDescent="0.3">
      <c r="A326" s="13"/>
      <c r="B326" s="13"/>
      <c r="C326" s="13"/>
      <c r="D326" s="6"/>
      <c r="E326" s="8"/>
      <c r="F326" s="8"/>
      <c r="G326" s="8"/>
      <c r="H326" s="8"/>
      <c r="I326" s="8"/>
      <c r="J326" s="4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6"/>
      <c r="AV326" s="6"/>
      <c r="AW326" s="6"/>
      <c r="AX326" s="6"/>
    </row>
    <row r="327" spans="1:50" ht="15.75" customHeight="1" x14ac:dyDescent="0.3">
      <c r="A327" s="13"/>
      <c r="B327" s="13"/>
      <c r="C327" s="13"/>
      <c r="D327" s="6"/>
      <c r="E327" s="8"/>
      <c r="F327" s="8"/>
      <c r="G327" s="8"/>
      <c r="H327" s="8"/>
      <c r="I327" s="8"/>
      <c r="J327" s="4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6"/>
      <c r="AV327" s="6"/>
      <c r="AW327" s="6"/>
      <c r="AX327" s="6"/>
    </row>
    <row r="328" spans="1:50" ht="15.75" customHeight="1" x14ac:dyDescent="0.3">
      <c r="A328" s="13"/>
      <c r="B328" s="13"/>
      <c r="C328" s="13"/>
      <c r="D328" s="6"/>
      <c r="E328" s="8"/>
      <c r="F328" s="8"/>
      <c r="G328" s="8"/>
      <c r="H328" s="8"/>
      <c r="I328" s="8"/>
      <c r="J328" s="4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6"/>
      <c r="AV328" s="6"/>
      <c r="AW328" s="6"/>
      <c r="AX328" s="6"/>
    </row>
    <row r="329" spans="1:50" ht="15.75" customHeight="1" x14ac:dyDescent="0.3">
      <c r="A329" s="13"/>
      <c r="B329" s="13"/>
      <c r="C329" s="13"/>
      <c r="D329" s="6"/>
      <c r="E329" s="8"/>
      <c r="F329" s="8"/>
      <c r="G329" s="8"/>
      <c r="H329" s="8"/>
      <c r="I329" s="8"/>
      <c r="J329" s="4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6"/>
      <c r="AV329" s="6"/>
      <c r="AW329" s="6"/>
      <c r="AX329" s="6"/>
    </row>
    <row r="330" spans="1:50" ht="15.75" customHeight="1" x14ac:dyDescent="0.3">
      <c r="A330" s="13"/>
      <c r="B330" s="13"/>
      <c r="C330" s="13"/>
      <c r="D330" s="6"/>
      <c r="E330" s="8"/>
      <c r="F330" s="8"/>
      <c r="G330" s="8"/>
      <c r="H330" s="8"/>
      <c r="I330" s="8"/>
      <c r="J330" s="4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6"/>
      <c r="AV330" s="6"/>
      <c r="AW330" s="6"/>
      <c r="AX330" s="6"/>
    </row>
    <row r="331" spans="1:50" ht="15.75" customHeight="1" x14ac:dyDescent="0.3">
      <c r="A331" s="13"/>
      <c r="B331" s="13"/>
      <c r="C331" s="13"/>
      <c r="D331" s="6"/>
      <c r="E331" s="8"/>
      <c r="F331" s="8"/>
      <c r="G331" s="8"/>
      <c r="H331" s="8"/>
      <c r="I331" s="8"/>
      <c r="J331" s="4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6"/>
      <c r="AV331" s="6"/>
      <c r="AW331" s="6"/>
      <c r="AX331" s="6"/>
    </row>
    <row r="332" spans="1:50" ht="15.75" customHeight="1" x14ac:dyDescent="0.3">
      <c r="A332" s="13"/>
      <c r="B332" s="13"/>
      <c r="C332" s="13"/>
      <c r="D332" s="6"/>
      <c r="E332" s="8"/>
      <c r="F332" s="8"/>
      <c r="G332" s="8"/>
      <c r="H332" s="8"/>
      <c r="I332" s="8"/>
      <c r="J332" s="4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6"/>
      <c r="AV332" s="6"/>
      <c r="AW332" s="6"/>
      <c r="AX332" s="6"/>
    </row>
    <row r="333" spans="1:50" ht="15.75" customHeight="1" x14ac:dyDescent="0.3">
      <c r="A333" s="13"/>
      <c r="B333" s="13"/>
      <c r="C333" s="13"/>
      <c r="D333" s="6"/>
      <c r="E333" s="8"/>
      <c r="F333" s="8"/>
      <c r="G333" s="8"/>
      <c r="H333" s="8"/>
      <c r="I333" s="8"/>
      <c r="J333" s="4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6"/>
      <c r="AV333" s="6"/>
      <c r="AW333" s="6"/>
      <c r="AX333" s="6"/>
    </row>
    <row r="334" spans="1:50" ht="15.75" customHeight="1" x14ac:dyDescent="0.3">
      <c r="A334" s="13"/>
      <c r="B334" s="13"/>
      <c r="C334" s="13"/>
      <c r="D334" s="6"/>
      <c r="E334" s="8"/>
      <c r="F334" s="8"/>
      <c r="G334" s="8"/>
      <c r="H334" s="8"/>
      <c r="I334" s="8"/>
      <c r="J334" s="4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6"/>
      <c r="AV334" s="6"/>
      <c r="AW334" s="6"/>
      <c r="AX334" s="6"/>
    </row>
    <row r="335" spans="1:50" ht="15.75" customHeight="1" x14ac:dyDescent="0.3">
      <c r="A335" s="13"/>
      <c r="B335" s="13"/>
      <c r="C335" s="13"/>
      <c r="D335" s="6"/>
      <c r="E335" s="8"/>
      <c r="F335" s="8"/>
      <c r="G335" s="8"/>
      <c r="H335" s="8"/>
      <c r="I335" s="8"/>
      <c r="J335" s="4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6"/>
      <c r="AV335" s="6"/>
      <c r="AW335" s="6"/>
      <c r="AX335" s="6"/>
    </row>
    <row r="336" spans="1:50" ht="15.75" customHeight="1" x14ac:dyDescent="0.3">
      <c r="A336" s="13"/>
      <c r="B336" s="13"/>
      <c r="C336" s="13"/>
      <c r="D336" s="6"/>
      <c r="E336" s="8"/>
      <c r="F336" s="8"/>
      <c r="G336" s="8"/>
      <c r="H336" s="8"/>
      <c r="I336" s="8"/>
      <c r="J336" s="4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6"/>
      <c r="AV336" s="6"/>
      <c r="AW336" s="6"/>
      <c r="AX336" s="6"/>
    </row>
    <row r="337" spans="1:50" ht="15.75" customHeight="1" x14ac:dyDescent="0.3">
      <c r="A337" s="13"/>
      <c r="B337" s="13"/>
      <c r="C337" s="13"/>
      <c r="D337" s="6"/>
      <c r="E337" s="8"/>
      <c r="F337" s="8"/>
      <c r="G337" s="8"/>
      <c r="H337" s="8"/>
      <c r="I337" s="8"/>
      <c r="J337" s="4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6"/>
      <c r="AV337" s="6"/>
      <c r="AW337" s="6"/>
      <c r="AX337" s="6"/>
    </row>
    <row r="338" spans="1:50" ht="15.75" customHeight="1" x14ac:dyDescent="0.3">
      <c r="A338" s="13"/>
      <c r="B338" s="13"/>
      <c r="C338" s="13"/>
      <c r="D338" s="6"/>
      <c r="E338" s="8"/>
      <c r="F338" s="8"/>
      <c r="G338" s="8"/>
      <c r="H338" s="8"/>
      <c r="I338" s="8"/>
      <c r="J338" s="4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6"/>
      <c r="AV338" s="6"/>
      <c r="AW338" s="6"/>
      <c r="AX338" s="6"/>
    </row>
    <row r="339" spans="1:50" ht="15.75" customHeight="1" x14ac:dyDescent="0.3">
      <c r="A339" s="13"/>
      <c r="B339" s="13"/>
      <c r="C339" s="13"/>
      <c r="D339" s="6"/>
      <c r="E339" s="8"/>
      <c r="F339" s="8"/>
      <c r="G339" s="8"/>
      <c r="H339" s="8"/>
      <c r="I339" s="8"/>
      <c r="J339" s="4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6"/>
      <c r="AV339" s="6"/>
      <c r="AW339" s="6"/>
      <c r="AX339" s="6"/>
    </row>
    <row r="340" spans="1:50" ht="15.75" customHeight="1" x14ac:dyDescent="0.3">
      <c r="A340" s="13"/>
      <c r="B340" s="13"/>
      <c r="C340" s="13"/>
      <c r="D340" s="6"/>
      <c r="E340" s="8"/>
      <c r="F340" s="8"/>
      <c r="G340" s="8"/>
      <c r="H340" s="8"/>
      <c r="I340" s="8"/>
      <c r="J340" s="4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6"/>
      <c r="AV340" s="6"/>
      <c r="AW340" s="6"/>
      <c r="AX340" s="6"/>
    </row>
    <row r="341" spans="1:50" ht="15.75" customHeight="1" x14ac:dyDescent="0.3">
      <c r="A341" s="13"/>
      <c r="B341" s="13"/>
      <c r="C341" s="13"/>
      <c r="D341" s="6"/>
      <c r="E341" s="8"/>
      <c r="F341" s="8"/>
      <c r="G341" s="8"/>
      <c r="H341" s="8"/>
      <c r="I341" s="8"/>
      <c r="J341" s="4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6"/>
      <c r="AV341" s="6"/>
      <c r="AW341" s="6"/>
      <c r="AX341" s="6"/>
    </row>
    <row r="342" spans="1:50" ht="15.75" customHeight="1" x14ac:dyDescent="0.3">
      <c r="A342" s="13"/>
      <c r="B342" s="13"/>
      <c r="C342" s="13"/>
      <c r="D342" s="6"/>
      <c r="E342" s="8"/>
      <c r="F342" s="8"/>
      <c r="G342" s="8"/>
      <c r="H342" s="8"/>
      <c r="I342" s="8"/>
      <c r="J342" s="4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6"/>
      <c r="AV342" s="6"/>
      <c r="AW342" s="6"/>
      <c r="AX342" s="6"/>
    </row>
    <row r="343" spans="1:50" ht="15.75" customHeight="1" x14ac:dyDescent="0.3">
      <c r="A343" s="13"/>
      <c r="B343" s="13"/>
      <c r="C343" s="13"/>
      <c r="H343" s="178"/>
      <c r="J343" s="42"/>
      <c r="K343" s="178"/>
      <c r="L343" s="178"/>
      <c r="M343" s="178"/>
      <c r="N343" s="17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6"/>
      <c r="AV343" s="6"/>
      <c r="AW343" s="6"/>
      <c r="AX343" s="6"/>
    </row>
    <row r="344" spans="1:50" ht="15.75" customHeight="1" x14ac:dyDescent="0.3">
      <c r="A344" s="13"/>
      <c r="B344" s="13"/>
      <c r="C344" s="13"/>
      <c r="H344" s="178"/>
      <c r="J344" s="42"/>
      <c r="K344" s="178"/>
      <c r="L344" s="178"/>
      <c r="M344" s="178"/>
      <c r="N344" s="17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6"/>
      <c r="AV344" s="6"/>
      <c r="AW344" s="6"/>
      <c r="AX344" s="6"/>
    </row>
    <row r="345" spans="1:50" ht="15.75" customHeight="1" x14ac:dyDescent="0.3">
      <c r="A345" s="13"/>
      <c r="B345" s="13"/>
      <c r="C345" s="13"/>
      <c r="H345" s="178"/>
      <c r="J345" s="42"/>
      <c r="K345" s="178"/>
      <c r="L345" s="178"/>
      <c r="M345" s="178"/>
      <c r="N345" s="17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6"/>
      <c r="AV345" s="6"/>
      <c r="AW345" s="6"/>
      <c r="AX345" s="6"/>
    </row>
    <row r="346" spans="1:50" ht="15.75" customHeight="1" x14ac:dyDescent="0.3">
      <c r="A346" s="13"/>
      <c r="B346" s="13"/>
      <c r="C346" s="13"/>
      <c r="H346" s="178"/>
      <c r="J346" s="42"/>
      <c r="K346" s="178"/>
      <c r="L346" s="178"/>
      <c r="M346" s="178"/>
      <c r="N346" s="17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6"/>
      <c r="AV346" s="6"/>
      <c r="AW346" s="6"/>
      <c r="AX346" s="6"/>
    </row>
    <row r="347" spans="1:50" ht="15.75" customHeight="1" x14ac:dyDescent="0.3">
      <c r="A347" s="13"/>
      <c r="B347" s="13"/>
      <c r="C347" s="13"/>
      <c r="H347" s="178"/>
      <c r="J347" s="42"/>
      <c r="K347" s="178"/>
      <c r="L347" s="178"/>
      <c r="M347" s="178"/>
      <c r="N347" s="17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6"/>
      <c r="AV347" s="6"/>
      <c r="AW347" s="6"/>
      <c r="AX347" s="6"/>
    </row>
    <row r="348" spans="1:50" ht="15.75" customHeight="1" x14ac:dyDescent="0.3">
      <c r="A348" s="13"/>
      <c r="B348" s="13"/>
      <c r="C348" s="13"/>
      <c r="H348" s="178"/>
      <c r="J348" s="42"/>
      <c r="K348" s="178"/>
      <c r="L348" s="178"/>
      <c r="M348" s="178"/>
      <c r="N348" s="17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6"/>
      <c r="AV348" s="6"/>
      <c r="AW348" s="6"/>
      <c r="AX348" s="6"/>
    </row>
    <row r="349" spans="1:50" ht="15.75" customHeight="1" x14ac:dyDescent="0.3">
      <c r="A349" s="13"/>
      <c r="B349" s="13"/>
      <c r="C349" s="13"/>
      <c r="H349" s="178"/>
      <c r="J349" s="42"/>
      <c r="K349" s="178"/>
      <c r="L349" s="178"/>
      <c r="M349" s="178"/>
      <c r="N349" s="17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6"/>
      <c r="AV349" s="6"/>
      <c r="AW349" s="6"/>
      <c r="AX349" s="6"/>
    </row>
    <row r="350" spans="1:50" ht="15.75" customHeight="1" x14ac:dyDescent="0.3">
      <c r="A350" s="13"/>
      <c r="B350" s="13"/>
      <c r="C350" s="13"/>
      <c r="H350" s="178"/>
      <c r="J350" s="42"/>
      <c r="K350" s="178"/>
      <c r="L350" s="178"/>
      <c r="M350" s="178"/>
      <c r="N350" s="17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6"/>
      <c r="AV350" s="6"/>
      <c r="AW350" s="6"/>
      <c r="AX350" s="6"/>
    </row>
    <row r="351" spans="1:50" ht="15.75" customHeight="1" x14ac:dyDescent="0.3">
      <c r="A351" s="13"/>
      <c r="B351" s="13"/>
      <c r="C351" s="13"/>
      <c r="H351" s="178"/>
      <c r="J351" s="42"/>
      <c r="K351" s="178"/>
      <c r="L351" s="178"/>
      <c r="M351" s="178"/>
      <c r="N351" s="17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6"/>
      <c r="AV351" s="6"/>
      <c r="AW351" s="6"/>
      <c r="AX351" s="6"/>
    </row>
    <row r="352" spans="1:50" ht="15.75" customHeight="1" x14ac:dyDescent="0.3">
      <c r="A352" s="13"/>
      <c r="B352" s="13"/>
      <c r="C352" s="13"/>
      <c r="H352" s="178"/>
      <c r="J352" s="42"/>
      <c r="K352" s="178"/>
      <c r="L352" s="178"/>
      <c r="M352" s="178"/>
      <c r="N352" s="17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6"/>
      <c r="AV352" s="6"/>
      <c r="AW352" s="6"/>
      <c r="AX352" s="6"/>
    </row>
    <row r="353" spans="1:50" ht="15.75" customHeight="1" x14ac:dyDescent="0.3">
      <c r="A353" s="13"/>
      <c r="B353" s="13"/>
      <c r="C353" s="13"/>
      <c r="H353" s="178"/>
      <c r="J353" s="42"/>
      <c r="K353" s="178"/>
      <c r="L353" s="178"/>
      <c r="M353" s="178"/>
      <c r="N353" s="17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6"/>
      <c r="AV353" s="6"/>
      <c r="AW353" s="6"/>
      <c r="AX353" s="6"/>
    </row>
    <row r="354" spans="1:50" ht="15.75" customHeight="1" x14ac:dyDescent="0.3">
      <c r="A354" s="13"/>
      <c r="B354" s="13"/>
      <c r="C354" s="13"/>
      <c r="H354" s="178"/>
      <c r="J354" s="42"/>
      <c r="K354" s="178"/>
      <c r="L354" s="178"/>
      <c r="M354" s="178"/>
      <c r="N354" s="17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6"/>
      <c r="AV354" s="6"/>
      <c r="AW354" s="6"/>
      <c r="AX354" s="6"/>
    </row>
    <row r="355" spans="1:50" ht="15.75" customHeight="1" x14ac:dyDescent="0.3">
      <c r="A355" s="13"/>
      <c r="B355" s="13"/>
      <c r="C355" s="13"/>
      <c r="H355" s="178"/>
      <c r="J355" s="42"/>
      <c r="K355" s="178"/>
      <c r="L355" s="178"/>
      <c r="M355" s="178"/>
      <c r="N355" s="17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6"/>
      <c r="AV355" s="6"/>
      <c r="AW355" s="6"/>
      <c r="AX355" s="6"/>
    </row>
    <row r="356" spans="1:50" ht="15.75" customHeight="1" x14ac:dyDescent="0.3">
      <c r="A356" s="13"/>
      <c r="B356" s="13"/>
      <c r="C356" s="13"/>
      <c r="H356" s="178"/>
      <c r="J356" s="42"/>
      <c r="K356" s="178"/>
      <c r="L356" s="178"/>
      <c r="M356" s="178"/>
      <c r="N356" s="17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6"/>
      <c r="AV356" s="6"/>
      <c r="AW356" s="6"/>
      <c r="AX356" s="6"/>
    </row>
    <row r="357" spans="1:50" ht="15.75" customHeight="1" x14ac:dyDescent="0.3">
      <c r="A357" s="13"/>
      <c r="B357" s="13"/>
      <c r="C357" s="13"/>
      <c r="H357" s="178"/>
      <c r="J357" s="42"/>
      <c r="K357" s="178"/>
      <c r="L357" s="178"/>
      <c r="M357" s="178"/>
      <c r="N357" s="17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6"/>
      <c r="AV357" s="6"/>
      <c r="AW357" s="6"/>
      <c r="AX357" s="6"/>
    </row>
    <row r="358" spans="1:50" ht="15.75" customHeight="1" x14ac:dyDescent="0.3">
      <c r="A358" s="13"/>
      <c r="B358" s="13"/>
      <c r="C358" s="13"/>
      <c r="H358" s="178"/>
      <c r="J358" s="42"/>
      <c r="K358" s="178"/>
      <c r="L358" s="178"/>
      <c r="M358" s="178"/>
      <c r="N358" s="17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6"/>
      <c r="AV358" s="6"/>
      <c r="AW358" s="6"/>
      <c r="AX358" s="6"/>
    </row>
    <row r="359" spans="1:50" ht="15.75" customHeight="1" x14ac:dyDescent="0.3">
      <c r="A359" s="13"/>
      <c r="B359" s="13"/>
      <c r="C359" s="13"/>
      <c r="H359" s="178"/>
      <c r="J359" s="42"/>
      <c r="K359" s="178"/>
      <c r="L359" s="178"/>
      <c r="M359" s="178"/>
      <c r="N359" s="17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6"/>
      <c r="AV359" s="6"/>
      <c r="AW359" s="6"/>
      <c r="AX359" s="6"/>
    </row>
    <row r="360" spans="1:50" ht="15.75" customHeight="1" x14ac:dyDescent="0.3">
      <c r="A360" s="13"/>
      <c r="B360" s="13"/>
      <c r="C360" s="13"/>
      <c r="H360" s="178"/>
      <c r="J360" s="42"/>
      <c r="K360" s="178"/>
      <c r="L360" s="178"/>
      <c r="M360" s="178"/>
      <c r="N360" s="17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6"/>
      <c r="AV360" s="6"/>
      <c r="AW360" s="6"/>
      <c r="AX360" s="6"/>
    </row>
    <row r="361" spans="1:50" ht="15.75" customHeight="1" x14ac:dyDescent="0.3">
      <c r="A361" s="13"/>
      <c r="B361" s="13"/>
      <c r="C361" s="13"/>
      <c r="H361" s="178"/>
      <c r="J361" s="42"/>
      <c r="K361" s="178"/>
      <c r="L361" s="178"/>
      <c r="M361" s="178"/>
      <c r="N361" s="17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6"/>
      <c r="AV361" s="6"/>
      <c r="AW361" s="6"/>
      <c r="AX361" s="6"/>
    </row>
    <row r="362" spans="1:50" ht="15.75" customHeight="1" x14ac:dyDescent="0.3">
      <c r="A362" s="13"/>
      <c r="B362" s="13"/>
      <c r="C362" s="13"/>
      <c r="H362" s="178"/>
      <c r="J362" s="42"/>
      <c r="K362" s="178"/>
      <c r="L362" s="178"/>
      <c r="M362" s="178"/>
      <c r="N362" s="17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6"/>
      <c r="AV362" s="6"/>
      <c r="AW362" s="6"/>
      <c r="AX362" s="6"/>
    </row>
    <row r="363" spans="1:50" ht="15.75" customHeight="1" x14ac:dyDescent="0.3">
      <c r="A363" s="13"/>
      <c r="B363" s="13"/>
      <c r="C363" s="13"/>
      <c r="H363" s="178"/>
      <c r="J363" s="42"/>
      <c r="K363" s="178"/>
      <c r="L363" s="178"/>
      <c r="M363" s="178"/>
      <c r="N363" s="17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6"/>
      <c r="AV363" s="6"/>
      <c r="AW363" s="6"/>
      <c r="AX363" s="6"/>
    </row>
    <row r="364" spans="1:50" ht="15.75" customHeight="1" x14ac:dyDescent="0.3">
      <c r="A364" s="13"/>
      <c r="B364" s="13"/>
      <c r="C364" s="13"/>
      <c r="H364" s="178"/>
      <c r="J364" s="42"/>
      <c r="K364" s="178"/>
      <c r="L364" s="178"/>
      <c r="M364" s="178"/>
      <c r="N364" s="17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6"/>
      <c r="AV364" s="6"/>
      <c r="AW364" s="6"/>
      <c r="AX364" s="6"/>
    </row>
    <row r="365" spans="1:50" ht="15.75" customHeight="1" x14ac:dyDescent="0.3">
      <c r="A365" s="13"/>
      <c r="B365" s="13"/>
      <c r="C365" s="13"/>
      <c r="H365" s="178"/>
      <c r="J365" s="42"/>
      <c r="K365" s="178"/>
      <c r="L365" s="178"/>
      <c r="M365" s="178"/>
      <c r="N365" s="17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6"/>
      <c r="AV365" s="6"/>
      <c r="AW365" s="6"/>
      <c r="AX365" s="6"/>
    </row>
    <row r="366" spans="1:50" ht="15.75" customHeight="1" x14ac:dyDescent="0.3">
      <c r="A366" s="13"/>
      <c r="B366" s="13"/>
      <c r="C366" s="13"/>
      <c r="H366" s="178"/>
      <c r="J366" s="42"/>
      <c r="K366" s="178"/>
      <c r="L366" s="178"/>
      <c r="M366" s="178"/>
      <c r="N366" s="17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6"/>
      <c r="AV366" s="6"/>
      <c r="AW366" s="6"/>
      <c r="AX366" s="6"/>
    </row>
    <row r="367" spans="1:50" ht="15.75" customHeight="1" x14ac:dyDescent="0.3">
      <c r="A367" s="13"/>
      <c r="B367" s="13"/>
      <c r="C367" s="13"/>
      <c r="H367" s="178"/>
      <c r="J367" s="42"/>
      <c r="K367" s="178"/>
      <c r="L367" s="178"/>
      <c r="M367" s="178"/>
      <c r="N367" s="17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6"/>
      <c r="AV367" s="6"/>
      <c r="AW367" s="6"/>
      <c r="AX367" s="6"/>
    </row>
    <row r="368" spans="1:50" ht="15.75" customHeight="1" x14ac:dyDescent="0.3">
      <c r="A368" s="13"/>
      <c r="B368" s="13"/>
      <c r="C368" s="13"/>
      <c r="H368" s="178"/>
      <c r="J368" s="42"/>
      <c r="K368" s="178"/>
      <c r="L368" s="178"/>
      <c r="M368" s="178"/>
      <c r="N368" s="17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6"/>
      <c r="AV368" s="6"/>
      <c r="AW368" s="6"/>
      <c r="AX368" s="6"/>
    </row>
    <row r="369" spans="1:50" ht="15.75" customHeight="1" x14ac:dyDescent="0.3">
      <c r="A369" s="13"/>
      <c r="B369" s="13"/>
      <c r="C369" s="13"/>
      <c r="H369" s="178"/>
      <c r="J369" s="42"/>
      <c r="K369" s="178"/>
      <c r="L369" s="178"/>
      <c r="M369" s="178"/>
      <c r="N369" s="17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6"/>
      <c r="AV369" s="6"/>
      <c r="AW369" s="6"/>
      <c r="AX369" s="6"/>
    </row>
    <row r="370" spans="1:50" ht="15.75" customHeight="1" x14ac:dyDescent="0.3">
      <c r="A370" s="13"/>
      <c r="B370" s="13"/>
      <c r="C370" s="13"/>
      <c r="H370" s="178"/>
      <c r="J370" s="42"/>
      <c r="K370" s="178"/>
      <c r="L370" s="178"/>
      <c r="M370" s="178"/>
      <c r="N370" s="17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6"/>
      <c r="AV370" s="6"/>
      <c r="AW370" s="6"/>
      <c r="AX370" s="6"/>
    </row>
    <row r="371" spans="1:50" ht="15.75" customHeight="1" x14ac:dyDescent="0.3">
      <c r="A371" s="13"/>
      <c r="B371" s="13"/>
      <c r="C371" s="13"/>
      <c r="H371" s="178"/>
      <c r="J371" s="42"/>
      <c r="K371" s="178"/>
      <c r="L371" s="178"/>
      <c r="M371" s="178"/>
      <c r="N371" s="17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6"/>
      <c r="AV371" s="6"/>
      <c r="AW371" s="6"/>
      <c r="AX371" s="6"/>
    </row>
    <row r="372" spans="1:50" ht="15.75" customHeight="1" x14ac:dyDescent="0.3">
      <c r="A372" s="13"/>
      <c r="B372" s="13"/>
      <c r="C372" s="13"/>
      <c r="H372" s="178"/>
      <c r="J372" s="42"/>
      <c r="K372" s="178"/>
      <c r="L372" s="178"/>
      <c r="M372" s="178"/>
      <c r="N372" s="17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6"/>
      <c r="AV372" s="6"/>
      <c r="AW372" s="6"/>
      <c r="AX372" s="6"/>
    </row>
    <row r="373" spans="1:50" ht="15.75" customHeight="1" x14ac:dyDescent="0.3">
      <c r="A373" s="13"/>
      <c r="B373" s="13"/>
      <c r="C373" s="13"/>
      <c r="H373" s="178"/>
      <c r="J373" s="42"/>
      <c r="K373" s="178"/>
      <c r="L373" s="178"/>
      <c r="M373" s="178"/>
      <c r="N373" s="17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6"/>
      <c r="AV373" s="6"/>
      <c r="AW373" s="6"/>
      <c r="AX373" s="6"/>
    </row>
    <row r="374" spans="1:50" ht="15.75" customHeight="1" x14ac:dyDescent="0.3">
      <c r="A374" s="13"/>
      <c r="B374" s="13"/>
      <c r="C374" s="13"/>
      <c r="H374" s="178"/>
      <c r="J374" s="42"/>
      <c r="K374" s="178"/>
      <c r="L374" s="178"/>
      <c r="M374" s="178"/>
      <c r="N374" s="17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6"/>
      <c r="AV374" s="6"/>
      <c r="AW374" s="6"/>
      <c r="AX374" s="6"/>
    </row>
    <row r="375" spans="1:50" ht="15.75" customHeight="1" x14ac:dyDescent="0.3">
      <c r="A375" s="13"/>
      <c r="B375" s="13"/>
      <c r="C375" s="13"/>
      <c r="H375" s="178"/>
      <c r="J375" s="42"/>
      <c r="K375" s="178"/>
      <c r="L375" s="178"/>
      <c r="M375" s="178"/>
      <c r="N375" s="17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6"/>
      <c r="AV375" s="6"/>
      <c r="AW375" s="6"/>
      <c r="AX375" s="6"/>
    </row>
    <row r="376" spans="1:50" ht="15.75" customHeight="1" x14ac:dyDescent="0.3">
      <c r="A376" s="13"/>
      <c r="B376" s="13"/>
      <c r="C376" s="13"/>
      <c r="H376" s="178"/>
      <c r="J376" s="42"/>
      <c r="K376" s="178"/>
      <c r="L376" s="178"/>
      <c r="M376" s="178"/>
      <c r="N376" s="17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6"/>
      <c r="AV376" s="6"/>
      <c r="AW376" s="6"/>
      <c r="AX376" s="6"/>
    </row>
    <row r="377" spans="1:50" ht="15.75" customHeight="1" x14ac:dyDescent="0.3">
      <c r="A377" s="13"/>
      <c r="B377" s="13"/>
      <c r="C377" s="13"/>
      <c r="H377" s="178"/>
      <c r="J377" s="42"/>
      <c r="K377" s="178"/>
      <c r="L377" s="178"/>
      <c r="M377" s="178"/>
      <c r="N377" s="17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6"/>
      <c r="AV377" s="6"/>
      <c r="AW377" s="6"/>
      <c r="AX377" s="6"/>
    </row>
    <row r="378" spans="1:50" ht="15.75" customHeight="1" x14ac:dyDescent="0.3">
      <c r="A378" s="13"/>
      <c r="B378" s="13"/>
      <c r="C378" s="13"/>
      <c r="H378" s="178"/>
      <c r="J378" s="42"/>
      <c r="K378" s="178"/>
      <c r="L378" s="178"/>
      <c r="M378" s="178"/>
      <c r="N378" s="17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6"/>
      <c r="AV378" s="6"/>
      <c r="AW378" s="6"/>
      <c r="AX378" s="6"/>
    </row>
    <row r="379" spans="1:50" ht="15.75" customHeight="1" x14ac:dyDescent="0.3">
      <c r="A379" s="13"/>
      <c r="B379" s="13"/>
      <c r="C379" s="13"/>
      <c r="H379" s="178"/>
      <c r="J379" s="42"/>
      <c r="K379" s="178"/>
      <c r="L379" s="178"/>
      <c r="M379" s="178"/>
      <c r="N379" s="17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6"/>
      <c r="AV379" s="6"/>
      <c r="AW379" s="6"/>
      <c r="AX379" s="6"/>
    </row>
    <row r="380" spans="1:50" ht="15.75" customHeight="1" x14ac:dyDescent="0.3">
      <c r="A380" s="13"/>
      <c r="B380" s="13"/>
      <c r="C380" s="13"/>
      <c r="H380" s="178"/>
      <c r="J380" s="42"/>
      <c r="K380" s="178"/>
      <c r="L380" s="178"/>
      <c r="M380" s="178"/>
      <c r="N380" s="17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6"/>
      <c r="AV380" s="6"/>
      <c r="AW380" s="6"/>
      <c r="AX380" s="6"/>
    </row>
    <row r="381" spans="1:50" ht="15.75" customHeight="1" x14ac:dyDescent="0.3">
      <c r="A381" s="13"/>
      <c r="B381" s="13"/>
      <c r="C381" s="13"/>
      <c r="H381" s="178"/>
      <c r="J381" s="42"/>
      <c r="K381" s="178"/>
      <c r="L381" s="178"/>
      <c r="M381" s="178"/>
      <c r="N381" s="17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6"/>
      <c r="AV381" s="6"/>
      <c r="AW381" s="6"/>
      <c r="AX381" s="6"/>
    </row>
    <row r="382" spans="1:50" ht="15.75" customHeight="1" x14ac:dyDescent="0.3">
      <c r="A382" s="13"/>
      <c r="B382" s="13"/>
      <c r="C382" s="13"/>
      <c r="H382" s="178"/>
      <c r="J382" s="42"/>
      <c r="K382" s="178"/>
      <c r="L382" s="178"/>
      <c r="M382" s="178"/>
      <c r="N382" s="17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6"/>
      <c r="AV382" s="6"/>
      <c r="AW382" s="6"/>
      <c r="AX382" s="6"/>
    </row>
    <row r="383" spans="1:50" ht="15.75" customHeight="1" x14ac:dyDescent="0.3">
      <c r="A383" s="13"/>
      <c r="B383" s="13"/>
      <c r="C383" s="13"/>
      <c r="H383" s="178"/>
      <c r="J383" s="42"/>
      <c r="K383" s="178"/>
      <c r="L383" s="178"/>
      <c r="M383" s="178"/>
      <c r="N383" s="17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6"/>
      <c r="AV383" s="6"/>
      <c r="AW383" s="6"/>
      <c r="AX383" s="6"/>
    </row>
    <row r="384" spans="1:50" ht="15.75" customHeight="1" x14ac:dyDescent="0.3">
      <c r="A384" s="13"/>
      <c r="B384" s="13"/>
      <c r="C384" s="13"/>
      <c r="H384" s="178"/>
      <c r="J384" s="42"/>
      <c r="K384" s="178"/>
      <c r="L384" s="178"/>
      <c r="M384" s="178"/>
      <c r="N384" s="17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6"/>
      <c r="AV384" s="6"/>
      <c r="AW384" s="6"/>
      <c r="AX384" s="6"/>
    </row>
    <row r="385" spans="1:50" ht="15.75" customHeight="1" x14ac:dyDescent="0.3">
      <c r="A385" s="13"/>
      <c r="B385" s="13"/>
      <c r="C385" s="13"/>
      <c r="H385" s="178"/>
      <c r="J385" s="42"/>
      <c r="K385" s="178"/>
      <c r="L385" s="178"/>
      <c r="M385" s="178"/>
      <c r="N385" s="17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6"/>
      <c r="AV385" s="6"/>
      <c r="AW385" s="6"/>
      <c r="AX385" s="6"/>
    </row>
    <row r="386" spans="1:50" ht="15.75" customHeight="1" x14ac:dyDescent="0.3">
      <c r="A386" s="13"/>
      <c r="B386" s="13"/>
      <c r="C386" s="13"/>
      <c r="H386" s="178"/>
      <c r="J386" s="42"/>
      <c r="K386" s="178"/>
      <c r="L386" s="178"/>
      <c r="M386" s="178"/>
      <c r="N386" s="17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6"/>
      <c r="AV386" s="6"/>
      <c r="AW386" s="6"/>
      <c r="AX386" s="6"/>
    </row>
    <row r="387" spans="1:50" ht="15.75" customHeight="1" x14ac:dyDescent="0.3">
      <c r="A387" s="13"/>
      <c r="B387" s="13"/>
      <c r="C387" s="13"/>
      <c r="H387" s="178"/>
      <c r="J387" s="42"/>
      <c r="K387" s="178"/>
      <c r="L387" s="178"/>
      <c r="M387" s="178"/>
      <c r="N387" s="17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6"/>
      <c r="AV387" s="6"/>
      <c r="AW387" s="6"/>
      <c r="AX387" s="6"/>
    </row>
    <row r="388" spans="1:50" ht="15.75" customHeight="1" x14ac:dyDescent="0.3">
      <c r="A388" s="13"/>
      <c r="B388" s="13"/>
      <c r="C388" s="13"/>
      <c r="H388" s="178"/>
      <c r="J388" s="42"/>
      <c r="K388" s="178"/>
      <c r="L388" s="178"/>
      <c r="M388" s="178"/>
      <c r="N388" s="17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6"/>
      <c r="AV388" s="6"/>
      <c r="AW388" s="6"/>
      <c r="AX388" s="6"/>
    </row>
    <row r="389" spans="1:50" ht="15.75" customHeight="1" x14ac:dyDescent="0.3">
      <c r="A389" s="13"/>
      <c r="B389" s="13"/>
      <c r="C389" s="13"/>
      <c r="H389" s="178"/>
      <c r="J389" s="42"/>
      <c r="K389" s="178"/>
      <c r="L389" s="178"/>
      <c r="M389" s="178"/>
      <c r="N389" s="17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6"/>
      <c r="AV389" s="6"/>
      <c r="AW389" s="6"/>
      <c r="AX389" s="6"/>
    </row>
    <row r="390" spans="1:50" ht="15.75" customHeight="1" x14ac:dyDescent="0.3">
      <c r="A390" s="13"/>
      <c r="B390" s="13"/>
      <c r="C390" s="13"/>
      <c r="H390" s="178"/>
      <c r="J390" s="42"/>
      <c r="K390" s="178"/>
      <c r="L390" s="178"/>
      <c r="M390" s="178"/>
      <c r="N390" s="17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6"/>
      <c r="AV390" s="6"/>
      <c r="AW390" s="6"/>
      <c r="AX390" s="6"/>
    </row>
    <row r="391" spans="1:50" ht="15.75" customHeight="1" x14ac:dyDescent="0.3">
      <c r="A391" s="13"/>
      <c r="B391" s="13"/>
      <c r="C391" s="13"/>
      <c r="H391" s="178"/>
      <c r="J391" s="42"/>
      <c r="K391" s="178"/>
      <c r="L391" s="178"/>
      <c r="M391" s="178"/>
      <c r="N391" s="17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6"/>
      <c r="AV391" s="6"/>
      <c r="AW391" s="6"/>
      <c r="AX391" s="6"/>
    </row>
    <row r="392" spans="1:50" ht="15.75" customHeight="1" x14ac:dyDescent="0.3">
      <c r="A392" s="13"/>
      <c r="B392" s="13"/>
      <c r="C392" s="13"/>
      <c r="H392" s="178"/>
      <c r="J392" s="42"/>
      <c r="K392" s="178"/>
      <c r="L392" s="178"/>
      <c r="M392" s="178"/>
      <c r="N392" s="17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6"/>
      <c r="AV392" s="6"/>
      <c r="AW392" s="6"/>
      <c r="AX392" s="6"/>
    </row>
    <row r="393" spans="1:50" ht="15.75" customHeight="1" x14ac:dyDescent="0.3">
      <c r="A393" s="13"/>
      <c r="B393" s="13"/>
      <c r="C393" s="13"/>
      <c r="H393" s="178"/>
      <c r="J393" s="42"/>
      <c r="K393" s="178"/>
      <c r="L393" s="178"/>
      <c r="M393" s="178"/>
      <c r="N393" s="17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6"/>
      <c r="AV393" s="6"/>
      <c r="AW393" s="6"/>
      <c r="AX393" s="6"/>
    </row>
    <row r="394" spans="1:50" ht="15.75" customHeight="1" x14ac:dyDescent="0.3">
      <c r="A394" s="13"/>
      <c r="B394" s="13"/>
      <c r="C394" s="13"/>
      <c r="H394" s="178"/>
      <c r="J394" s="42"/>
      <c r="K394" s="178"/>
      <c r="L394" s="178"/>
      <c r="M394" s="178"/>
      <c r="N394" s="17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6"/>
      <c r="AV394" s="6"/>
      <c r="AW394" s="6"/>
      <c r="AX394" s="6"/>
    </row>
    <row r="395" spans="1:50" ht="15.75" customHeight="1" x14ac:dyDescent="0.3">
      <c r="A395" s="13"/>
      <c r="B395" s="13"/>
      <c r="C395" s="13"/>
      <c r="H395" s="178"/>
      <c r="J395" s="42"/>
      <c r="K395" s="178"/>
      <c r="L395" s="178"/>
      <c r="M395" s="178"/>
      <c r="N395" s="17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6"/>
      <c r="AV395" s="6"/>
      <c r="AW395" s="6"/>
      <c r="AX395" s="6"/>
    </row>
    <row r="396" spans="1:50" ht="15.75" customHeight="1" x14ac:dyDescent="0.3">
      <c r="A396" s="13"/>
      <c r="B396" s="13"/>
      <c r="C396" s="13"/>
      <c r="H396" s="178"/>
      <c r="J396" s="42"/>
      <c r="K396" s="178"/>
      <c r="L396" s="178"/>
      <c r="M396" s="178"/>
      <c r="N396" s="17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6"/>
      <c r="AV396" s="6"/>
      <c r="AW396" s="6"/>
      <c r="AX396" s="6"/>
    </row>
    <row r="397" spans="1:50" ht="15.75" customHeight="1" x14ac:dyDescent="0.3">
      <c r="A397" s="13"/>
      <c r="B397" s="13"/>
      <c r="C397" s="13"/>
      <c r="H397" s="178"/>
      <c r="J397" s="42"/>
      <c r="K397" s="178"/>
      <c r="L397" s="178"/>
      <c r="M397" s="178"/>
      <c r="N397" s="17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6"/>
      <c r="AV397" s="6"/>
      <c r="AW397" s="6"/>
      <c r="AX397" s="6"/>
    </row>
    <row r="398" spans="1:50" ht="15.75" customHeight="1" x14ac:dyDescent="0.3">
      <c r="A398" s="13"/>
      <c r="B398" s="13"/>
      <c r="C398" s="13"/>
      <c r="H398" s="178"/>
      <c r="J398" s="42"/>
      <c r="K398" s="178"/>
      <c r="L398" s="178"/>
      <c r="M398" s="178"/>
      <c r="N398" s="17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6"/>
      <c r="AV398" s="6"/>
      <c r="AW398" s="6"/>
      <c r="AX398" s="6"/>
    </row>
    <row r="399" spans="1:50" ht="15.75" customHeight="1" x14ac:dyDescent="0.3">
      <c r="A399" s="13"/>
      <c r="B399" s="13"/>
      <c r="C399" s="13"/>
      <c r="H399" s="178"/>
      <c r="J399" s="42"/>
      <c r="K399" s="178"/>
      <c r="L399" s="178"/>
      <c r="M399" s="178"/>
      <c r="N399" s="17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6"/>
      <c r="AV399" s="6"/>
      <c r="AW399" s="6"/>
      <c r="AX399" s="6"/>
    </row>
    <row r="400" spans="1:50" ht="15.75" customHeight="1" x14ac:dyDescent="0.3">
      <c r="A400" s="13"/>
      <c r="B400" s="13"/>
      <c r="C400" s="13"/>
      <c r="H400" s="178"/>
      <c r="J400" s="42"/>
      <c r="K400" s="178"/>
      <c r="L400" s="178"/>
      <c r="M400" s="178"/>
      <c r="N400" s="17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6"/>
      <c r="AV400" s="6"/>
      <c r="AW400" s="6"/>
      <c r="AX400" s="6"/>
    </row>
    <row r="401" spans="1:50" ht="15.75" customHeight="1" x14ac:dyDescent="0.3">
      <c r="A401" s="13"/>
      <c r="B401" s="13"/>
      <c r="C401" s="13"/>
      <c r="H401" s="178"/>
      <c r="J401" s="42"/>
      <c r="K401" s="178"/>
      <c r="L401" s="178"/>
      <c r="M401" s="178"/>
      <c r="N401" s="17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6"/>
      <c r="AV401" s="6"/>
      <c r="AW401" s="6"/>
      <c r="AX401" s="6"/>
    </row>
    <row r="402" spans="1:50" ht="15.75" customHeight="1" x14ac:dyDescent="0.3">
      <c r="A402" s="13"/>
      <c r="B402" s="13"/>
      <c r="C402" s="13"/>
      <c r="H402" s="178"/>
      <c r="J402" s="42"/>
      <c r="K402" s="178"/>
      <c r="L402" s="178"/>
      <c r="M402" s="178"/>
      <c r="N402" s="17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6"/>
      <c r="AV402" s="6"/>
      <c r="AW402" s="6"/>
      <c r="AX402" s="6"/>
    </row>
    <row r="403" spans="1:50" ht="15.75" customHeight="1" x14ac:dyDescent="0.3">
      <c r="A403" s="13"/>
      <c r="B403" s="13"/>
      <c r="C403" s="13"/>
      <c r="H403" s="178"/>
      <c r="J403" s="42"/>
      <c r="K403" s="178"/>
      <c r="L403" s="178"/>
      <c r="M403" s="178"/>
      <c r="N403" s="17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6"/>
      <c r="AV403" s="6"/>
      <c r="AW403" s="6"/>
      <c r="AX403" s="6"/>
    </row>
    <row r="404" spans="1:50" ht="15.75" customHeight="1" x14ac:dyDescent="0.3">
      <c r="A404" s="13"/>
      <c r="B404" s="13"/>
      <c r="C404" s="13"/>
      <c r="H404" s="178"/>
      <c r="J404" s="42"/>
      <c r="K404" s="178"/>
      <c r="L404" s="178"/>
      <c r="M404" s="178"/>
      <c r="N404" s="17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6"/>
      <c r="AV404" s="6"/>
      <c r="AW404" s="6"/>
      <c r="AX404" s="6"/>
    </row>
    <row r="405" spans="1:50" ht="15.75" customHeight="1" x14ac:dyDescent="0.3">
      <c r="A405" s="13"/>
      <c r="B405" s="13"/>
      <c r="C405" s="13"/>
      <c r="H405" s="178"/>
      <c r="J405" s="42"/>
      <c r="K405" s="178"/>
      <c r="L405" s="178"/>
      <c r="M405" s="178"/>
      <c r="N405" s="17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6"/>
      <c r="AV405" s="6"/>
      <c r="AW405" s="6"/>
      <c r="AX405" s="6"/>
    </row>
    <row r="406" spans="1:50" ht="15.75" customHeight="1" x14ac:dyDescent="0.3">
      <c r="A406" s="13"/>
      <c r="B406" s="13"/>
      <c r="C406" s="13"/>
      <c r="H406" s="178"/>
      <c r="J406" s="42"/>
      <c r="K406" s="178"/>
      <c r="L406" s="178"/>
      <c r="M406" s="178"/>
      <c r="N406" s="17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6"/>
      <c r="AV406" s="6"/>
      <c r="AW406" s="6"/>
      <c r="AX406" s="6"/>
    </row>
    <row r="407" spans="1:50" ht="15.75" customHeight="1" x14ac:dyDescent="0.3">
      <c r="A407" s="13"/>
      <c r="B407" s="13"/>
      <c r="C407" s="13"/>
      <c r="H407" s="178"/>
      <c r="J407" s="42"/>
      <c r="K407" s="178"/>
      <c r="L407" s="178"/>
      <c r="M407" s="178"/>
      <c r="N407" s="17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6"/>
      <c r="AV407" s="6"/>
      <c r="AW407" s="6"/>
      <c r="AX407" s="6"/>
    </row>
    <row r="408" spans="1:50" ht="15.75" customHeight="1" x14ac:dyDescent="0.3">
      <c r="A408" s="13"/>
      <c r="B408" s="13"/>
      <c r="C408" s="13"/>
      <c r="H408" s="178"/>
      <c r="J408" s="42"/>
      <c r="K408" s="178"/>
      <c r="L408" s="178"/>
      <c r="M408" s="178"/>
      <c r="N408" s="17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6"/>
      <c r="AV408" s="6"/>
      <c r="AW408" s="6"/>
      <c r="AX408" s="6"/>
    </row>
    <row r="409" spans="1:50" ht="15.75" customHeight="1" x14ac:dyDescent="0.3">
      <c r="A409" s="13"/>
      <c r="B409" s="13"/>
      <c r="C409" s="13"/>
      <c r="H409" s="178"/>
      <c r="J409" s="42"/>
      <c r="K409" s="178"/>
      <c r="L409" s="178"/>
      <c r="M409" s="178"/>
      <c r="N409" s="17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6"/>
      <c r="AV409" s="6"/>
      <c r="AW409" s="6"/>
      <c r="AX409" s="6"/>
    </row>
    <row r="410" spans="1:50" ht="15.75" customHeight="1" x14ac:dyDescent="0.3">
      <c r="A410" s="13"/>
      <c r="B410" s="13"/>
      <c r="C410" s="13"/>
      <c r="H410" s="178"/>
      <c r="J410" s="42"/>
      <c r="K410" s="178"/>
      <c r="L410" s="178"/>
      <c r="M410" s="178"/>
      <c r="N410" s="17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6"/>
      <c r="AV410" s="6"/>
      <c r="AW410" s="6"/>
      <c r="AX410" s="6"/>
    </row>
    <row r="411" spans="1:50" ht="15.75" customHeight="1" x14ac:dyDescent="0.3">
      <c r="A411" s="13"/>
      <c r="B411" s="13"/>
      <c r="C411" s="13"/>
      <c r="H411" s="178"/>
      <c r="J411" s="42"/>
      <c r="K411" s="178"/>
      <c r="L411" s="178"/>
      <c r="M411" s="178"/>
      <c r="N411" s="17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6"/>
      <c r="AV411" s="6"/>
      <c r="AW411" s="6"/>
      <c r="AX411" s="6"/>
    </row>
    <row r="412" spans="1:50" ht="15.75" customHeight="1" x14ac:dyDescent="0.3">
      <c r="A412" s="13"/>
      <c r="B412" s="13"/>
      <c r="C412" s="13"/>
      <c r="H412" s="178"/>
      <c r="J412" s="42"/>
      <c r="K412" s="178"/>
      <c r="L412" s="178"/>
      <c r="M412" s="178"/>
      <c r="N412" s="17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6"/>
      <c r="AV412" s="6"/>
      <c r="AW412" s="6"/>
      <c r="AX412" s="6"/>
    </row>
    <row r="413" spans="1:50" ht="15.75" customHeight="1" x14ac:dyDescent="0.3">
      <c r="A413" s="13"/>
      <c r="B413" s="13"/>
      <c r="C413" s="13"/>
      <c r="H413" s="178"/>
      <c r="J413" s="42"/>
      <c r="K413" s="178"/>
      <c r="L413" s="178"/>
      <c r="M413" s="178"/>
      <c r="N413" s="17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6"/>
      <c r="AV413" s="6"/>
      <c r="AW413" s="6"/>
      <c r="AX413" s="6"/>
    </row>
    <row r="414" spans="1:50" ht="15.75" customHeight="1" x14ac:dyDescent="0.3">
      <c r="A414" s="13"/>
      <c r="B414" s="13"/>
      <c r="C414" s="13"/>
      <c r="H414" s="178"/>
      <c r="J414" s="42"/>
      <c r="K414" s="178"/>
      <c r="L414" s="178"/>
      <c r="M414" s="178"/>
      <c r="N414" s="17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6"/>
      <c r="AV414" s="6"/>
      <c r="AW414" s="6"/>
      <c r="AX414" s="6"/>
    </row>
    <row r="415" spans="1:50" ht="15.75" customHeight="1" x14ac:dyDescent="0.3">
      <c r="A415" s="13"/>
      <c r="B415" s="13"/>
      <c r="C415" s="13"/>
      <c r="H415" s="178"/>
      <c r="J415" s="42"/>
      <c r="K415" s="178"/>
      <c r="L415" s="178"/>
      <c r="M415" s="178"/>
      <c r="N415" s="17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6"/>
      <c r="AV415" s="6"/>
      <c r="AW415" s="6"/>
      <c r="AX415" s="6"/>
    </row>
    <row r="416" spans="1:50" ht="15.75" customHeight="1" x14ac:dyDescent="0.3">
      <c r="A416" s="13"/>
      <c r="B416" s="13"/>
      <c r="C416" s="13"/>
      <c r="H416" s="178"/>
      <c r="J416" s="42"/>
      <c r="K416" s="178"/>
      <c r="L416" s="178"/>
      <c r="M416" s="178"/>
      <c r="N416" s="17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6"/>
      <c r="AV416" s="6"/>
      <c r="AW416" s="6"/>
      <c r="AX416" s="6"/>
    </row>
    <row r="417" spans="1:50" ht="15.75" customHeight="1" x14ac:dyDescent="0.3">
      <c r="A417" s="13"/>
      <c r="B417" s="13"/>
      <c r="C417" s="13"/>
      <c r="H417" s="178"/>
      <c r="J417" s="42"/>
      <c r="K417" s="178"/>
      <c r="L417" s="178"/>
      <c r="M417" s="178"/>
      <c r="N417" s="17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6"/>
      <c r="AV417" s="6"/>
      <c r="AW417" s="6"/>
      <c r="AX417" s="6"/>
    </row>
    <row r="418" spans="1:50" ht="15.75" customHeight="1" x14ac:dyDescent="0.3">
      <c r="A418" s="13"/>
      <c r="B418" s="13"/>
      <c r="C418" s="13"/>
      <c r="H418" s="178"/>
      <c r="J418" s="42"/>
      <c r="K418" s="178"/>
      <c r="L418" s="178"/>
      <c r="M418" s="178"/>
      <c r="N418" s="17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6"/>
      <c r="AV418" s="6"/>
      <c r="AW418" s="6"/>
      <c r="AX418" s="6"/>
    </row>
    <row r="419" spans="1:50" ht="15.75" customHeight="1" x14ac:dyDescent="0.3">
      <c r="A419" s="13"/>
      <c r="B419" s="13"/>
      <c r="C419" s="13"/>
      <c r="H419" s="178"/>
      <c r="J419" s="42"/>
      <c r="K419" s="178"/>
      <c r="L419" s="178"/>
      <c r="M419" s="178"/>
      <c r="N419" s="17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6"/>
      <c r="AV419" s="6"/>
      <c r="AW419" s="6"/>
      <c r="AX419" s="6"/>
    </row>
    <row r="420" spans="1:50" ht="15.75" customHeight="1" x14ac:dyDescent="0.3">
      <c r="A420" s="13"/>
      <c r="B420" s="13"/>
      <c r="C420" s="13"/>
      <c r="H420" s="178"/>
      <c r="J420" s="42"/>
      <c r="K420" s="178"/>
      <c r="L420" s="178"/>
      <c r="M420" s="178"/>
      <c r="N420" s="17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6"/>
      <c r="AV420" s="6"/>
      <c r="AW420" s="6"/>
      <c r="AX420" s="6"/>
    </row>
    <row r="421" spans="1:50" ht="15.75" customHeight="1" x14ac:dyDescent="0.3">
      <c r="A421" s="13"/>
      <c r="B421" s="13"/>
      <c r="C421" s="13"/>
      <c r="H421" s="178"/>
      <c r="J421" s="42"/>
      <c r="K421" s="178"/>
      <c r="L421" s="178"/>
      <c r="M421" s="178"/>
      <c r="N421" s="17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6"/>
      <c r="AV421" s="6"/>
      <c r="AW421" s="6"/>
      <c r="AX421" s="6"/>
    </row>
    <row r="422" spans="1:50" ht="15.75" customHeight="1" x14ac:dyDescent="0.3">
      <c r="A422" s="13"/>
      <c r="B422" s="13"/>
      <c r="C422" s="13"/>
      <c r="H422" s="178"/>
      <c r="J422" s="42"/>
      <c r="K422" s="178"/>
      <c r="L422" s="178"/>
      <c r="M422" s="178"/>
      <c r="N422" s="17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6"/>
      <c r="AV422" s="6"/>
      <c r="AW422" s="6"/>
      <c r="AX422" s="6"/>
    </row>
    <row r="423" spans="1:50" ht="15.75" customHeight="1" x14ac:dyDescent="0.3">
      <c r="A423" s="13"/>
      <c r="B423" s="13"/>
      <c r="C423" s="13"/>
      <c r="H423" s="178"/>
      <c r="J423" s="42"/>
      <c r="K423" s="178"/>
      <c r="L423" s="178"/>
      <c r="M423" s="178"/>
      <c r="N423" s="17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6"/>
      <c r="AV423" s="6"/>
      <c r="AW423" s="6"/>
      <c r="AX423" s="6"/>
    </row>
    <row r="424" spans="1:50" ht="15.75" customHeight="1" x14ac:dyDescent="0.3">
      <c r="A424" s="13"/>
      <c r="B424" s="13"/>
      <c r="C424" s="13"/>
      <c r="H424" s="178"/>
      <c r="J424" s="42"/>
      <c r="K424" s="178"/>
      <c r="L424" s="178"/>
      <c r="M424" s="178"/>
      <c r="N424" s="17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6"/>
      <c r="AV424" s="6"/>
      <c r="AW424" s="6"/>
      <c r="AX424" s="6"/>
    </row>
    <row r="425" spans="1:50" ht="15.75" customHeight="1" x14ac:dyDescent="0.3">
      <c r="A425" s="13"/>
      <c r="B425" s="13"/>
      <c r="C425" s="13"/>
      <c r="H425" s="178"/>
      <c r="J425" s="42"/>
      <c r="K425" s="178"/>
      <c r="L425" s="178"/>
      <c r="M425" s="178"/>
      <c r="N425" s="17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6"/>
      <c r="AV425" s="6"/>
      <c r="AW425" s="6"/>
      <c r="AX425" s="6"/>
    </row>
    <row r="426" spans="1:50" ht="15.75" customHeight="1" x14ac:dyDescent="0.3">
      <c r="A426" s="13"/>
      <c r="B426" s="13"/>
      <c r="C426" s="13"/>
      <c r="H426" s="178"/>
      <c r="J426" s="42"/>
      <c r="K426" s="178"/>
      <c r="L426" s="178"/>
      <c r="M426" s="178"/>
      <c r="N426" s="17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6"/>
      <c r="AV426" s="6"/>
      <c r="AW426" s="6"/>
      <c r="AX426" s="6"/>
    </row>
    <row r="427" spans="1:50" ht="15.75" customHeight="1" x14ac:dyDescent="0.3">
      <c r="A427" s="13"/>
      <c r="B427" s="13"/>
      <c r="C427" s="13"/>
      <c r="H427" s="178"/>
      <c r="J427" s="42"/>
      <c r="K427" s="178"/>
      <c r="L427" s="178"/>
      <c r="M427" s="178"/>
      <c r="N427" s="17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6"/>
      <c r="AV427" s="6"/>
      <c r="AW427" s="6"/>
      <c r="AX427" s="6"/>
    </row>
    <row r="428" spans="1:50" ht="15.75" customHeight="1" x14ac:dyDescent="0.3">
      <c r="A428" s="13"/>
      <c r="B428" s="13"/>
      <c r="C428" s="13"/>
      <c r="H428" s="178"/>
      <c r="J428" s="42"/>
      <c r="K428" s="178"/>
      <c r="L428" s="178"/>
      <c r="M428" s="178"/>
      <c r="N428" s="17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6"/>
      <c r="AV428" s="6"/>
      <c r="AW428" s="6"/>
      <c r="AX428" s="6"/>
    </row>
    <row r="429" spans="1:50" ht="15.75" customHeight="1" x14ac:dyDescent="0.3">
      <c r="A429" s="13"/>
      <c r="B429" s="13"/>
      <c r="C429" s="13"/>
      <c r="H429" s="178"/>
      <c r="J429" s="42"/>
      <c r="K429" s="178"/>
      <c r="L429" s="178"/>
      <c r="M429" s="178"/>
      <c r="N429" s="17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6"/>
      <c r="AV429" s="6"/>
      <c r="AW429" s="6"/>
      <c r="AX429" s="6"/>
    </row>
    <row r="430" spans="1:50" ht="15.75" customHeight="1" x14ac:dyDescent="0.3">
      <c r="A430" s="13"/>
      <c r="B430" s="13"/>
      <c r="C430" s="13"/>
      <c r="H430" s="178"/>
      <c r="J430" s="42"/>
      <c r="K430" s="178"/>
      <c r="L430" s="178"/>
      <c r="M430" s="178"/>
      <c r="N430" s="17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6"/>
      <c r="AV430" s="6"/>
      <c r="AW430" s="6"/>
      <c r="AX430" s="6"/>
    </row>
    <row r="431" spans="1:50" ht="15.75" customHeight="1" x14ac:dyDescent="0.3">
      <c r="A431" s="13"/>
      <c r="B431" s="13"/>
      <c r="C431" s="13"/>
      <c r="H431" s="178"/>
      <c r="J431" s="42"/>
      <c r="K431" s="178"/>
      <c r="L431" s="178"/>
      <c r="M431" s="178"/>
      <c r="N431" s="17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6"/>
      <c r="AV431" s="6"/>
      <c r="AW431" s="6"/>
      <c r="AX431" s="6"/>
    </row>
    <row r="432" spans="1:50" ht="15.75" customHeight="1" x14ac:dyDescent="0.3">
      <c r="A432" s="13"/>
      <c r="B432" s="13"/>
      <c r="C432" s="13"/>
      <c r="H432" s="178"/>
      <c r="J432" s="42"/>
      <c r="K432" s="178"/>
      <c r="L432" s="178"/>
      <c r="M432" s="178"/>
      <c r="N432" s="17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6"/>
      <c r="AV432" s="6"/>
      <c r="AW432" s="6"/>
      <c r="AX432" s="6"/>
    </row>
    <row r="433" spans="1:50" ht="15.75" customHeight="1" x14ac:dyDescent="0.3">
      <c r="A433" s="13"/>
      <c r="B433" s="13"/>
      <c r="C433" s="13"/>
      <c r="H433" s="178"/>
      <c r="J433" s="42"/>
      <c r="K433" s="178"/>
      <c r="L433" s="178"/>
      <c r="M433" s="178"/>
      <c r="N433" s="17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6"/>
      <c r="AV433" s="6"/>
      <c r="AW433" s="6"/>
      <c r="AX433" s="6"/>
    </row>
    <row r="434" spans="1:50" ht="15.75" customHeight="1" x14ac:dyDescent="0.3">
      <c r="A434" s="13"/>
      <c r="B434" s="13"/>
      <c r="C434" s="13"/>
      <c r="H434" s="178"/>
      <c r="J434" s="42"/>
      <c r="K434" s="178"/>
      <c r="L434" s="178"/>
      <c r="M434" s="178"/>
      <c r="N434" s="17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6"/>
      <c r="AV434" s="6"/>
      <c r="AW434" s="6"/>
      <c r="AX434" s="6"/>
    </row>
    <row r="435" spans="1:50" ht="15.75" customHeight="1" x14ac:dyDescent="0.3">
      <c r="A435" s="13"/>
      <c r="B435" s="13"/>
      <c r="C435" s="13"/>
      <c r="H435" s="178"/>
      <c r="J435" s="42"/>
      <c r="K435" s="178"/>
      <c r="L435" s="178"/>
      <c r="M435" s="178"/>
      <c r="N435" s="17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6"/>
      <c r="AV435" s="6"/>
      <c r="AW435" s="6"/>
      <c r="AX435" s="6"/>
    </row>
    <row r="436" spans="1:50" ht="15.75" customHeight="1" x14ac:dyDescent="0.3">
      <c r="A436" s="13"/>
      <c r="B436" s="13"/>
      <c r="C436" s="13"/>
      <c r="H436" s="178"/>
      <c r="J436" s="42"/>
      <c r="K436" s="178"/>
      <c r="L436" s="178"/>
      <c r="M436" s="178"/>
      <c r="N436" s="17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6"/>
      <c r="AV436" s="6"/>
      <c r="AW436" s="6"/>
      <c r="AX436" s="6"/>
    </row>
    <row r="437" spans="1:50" ht="15.75" customHeight="1" x14ac:dyDescent="0.3">
      <c r="A437" s="13"/>
      <c r="B437" s="13"/>
      <c r="C437" s="13"/>
      <c r="H437" s="178"/>
      <c r="J437" s="42"/>
      <c r="K437" s="178"/>
      <c r="L437" s="178"/>
      <c r="M437" s="178"/>
      <c r="N437" s="17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6"/>
      <c r="AV437" s="6"/>
      <c r="AW437" s="6"/>
      <c r="AX437" s="6"/>
    </row>
    <row r="438" spans="1:50" ht="15.75" customHeight="1" x14ac:dyDescent="0.3">
      <c r="A438" s="13"/>
      <c r="B438" s="13"/>
      <c r="C438" s="13"/>
      <c r="H438" s="178"/>
      <c r="J438" s="42"/>
      <c r="K438" s="178"/>
      <c r="L438" s="178"/>
      <c r="M438" s="178"/>
      <c r="N438" s="17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6"/>
      <c r="AV438" s="6"/>
      <c r="AW438" s="6"/>
      <c r="AX438" s="6"/>
    </row>
    <row r="439" spans="1:50" ht="15.75" customHeight="1" x14ac:dyDescent="0.3">
      <c r="A439" s="13"/>
      <c r="B439" s="13"/>
      <c r="C439" s="13"/>
      <c r="H439" s="178"/>
      <c r="J439" s="42"/>
      <c r="K439" s="178"/>
      <c r="L439" s="178"/>
      <c r="M439" s="178"/>
      <c r="N439" s="17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6"/>
      <c r="AV439" s="6"/>
      <c r="AW439" s="6"/>
      <c r="AX439" s="6"/>
    </row>
    <row r="440" spans="1:50" ht="15.75" customHeight="1" x14ac:dyDescent="0.3">
      <c r="A440" s="13"/>
      <c r="B440" s="13"/>
      <c r="C440" s="13"/>
      <c r="H440" s="178"/>
      <c r="J440" s="42"/>
      <c r="K440" s="178"/>
      <c r="L440" s="178"/>
      <c r="M440" s="178"/>
      <c r="N440" s="17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6"/>
      <c r="AV440" s="6"/>
      <c r="AW440" s="6"/>
      <c r="AX440" s="6"/>
    </row>
    <row r="441" spans="1:50" ht="15.75" customHeight="1" x14ac:dyDescent="0.3">
      <c r="A441" s="13"/>
      <c r="B441" s="13"/>
      <c r="C441" s="13"/>
      <c r="H441" s="178"/>
      <c r="J441" s="42"/>
      <c r="K441" s="178"/>
      <c r="L441" s="178"/>
      <c r="M441" s="178"/>
      <c r="N441" s="17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6"/>
      <c r="AV441" s="6"/>
      <c r="AW441" s="6"/>
      <c r="AX441" s="6"/>
    </row>
    <row r="442" spans="1:50" ht="15.75" customHeight="1" x14ac:dyDescent="0.3">
      <c r="A442" s="13"/>
      <c r="B442" s="13"/>
      <c r="C442" s="13"/>
      <c r="H442" s="178"/>
      <c r="J442" s="42"/>
      <c r="K442" s="178"/>
      <c r="L442" s="178"/>
      <c r="M442" s="178"/>
      <c r="N442" s="17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6"/>
      <c r="AV442" s="6"/>
      <c r="AW442" s="6"/>
      <c r="AX442" s="6"/>
    </row>
    <row r="443" spans="1:50" ht="15.75" customHeight="1" x14ac:dyDescent="0.3">
      <c r="A443" s="13"/>
      <c r="B443" s="13"/>
      <c r="C443" s="13"/>
      <c r="H443" s="178"/>
      <c r="J443" s="42"/>
      <c r="K443" s="178"/>
      <c r="L443" s="178"/>
      <c r="M443" s="178"/>
      <c r="N443" s="17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6"/>
      <c r="AV443" s="6"/>
      <c r="AW443" s="6"/>
      <c r="AX443" s="6"/>
    </row>
    <row r="444" spans="1:50" ht="15.75" customHeight="1" x14ac:dyDescent="0.3">
      <c r="A444" s="13"/>
      <c r="B444" s="13"/>
      <c r="C444" s="13"/>
      <c r="H444" s="178"/>
      <c r="J444" s="42"/>
      <c r="K444" s="178"/>
      <c r="L444" s="178"/>
      <c r="M444" s="178"/>
      <c r="N444" s="17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6"/>
      <c r="AV444" s="6"/>
      <c r="AW444" s="6"/>
      <c r="AX444" s="6"/>
    </row>
    <row r="445" spans="1:50" ht="15.75" customHeight="1" x14ac:dyDescent="0.3">
      <c r="A445" s="13"/>
      <c r="B445" s="13"/>
      <c r="C445" s="13"/>
      <c r="H445" s="178"/>
      <c r="J445" s="42"/>
      <c r="K445" s="178"/>
      <c r="L445" s="178"/>
      <c r="M445" s="178"/>
      <c r="N445" s="17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6"/>
      <c r="AV445" s="6"/>
      <c r="AW445" s="6"/>
      <c r="AX445" s="6"/>
    </row>
    <row r="446" spans="1:50" ht="15.75" customHeight="1" x14ac:dyDescent="0.3">
      <c r="A446" s="13"/>
      <c r="B446" s="13"/>
      <c r="C446" s="13"/>
      <c r="H446" s="178"/>
      <c r="J446" s="42"/>
      <c r="K446" s="178"/>
      <c r="L446" s="178"/>
      <c r="M446" s="178"/>
      <c r="N446" s="17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6"/>
      <c r="AV446" s="6"/>
      <c r="AW446" s="6"/>
      <c r="AX446" s="6"/>
    </row>
    <row r="447" spans="1:50" ht="15.75" customHeight="1" x14ac:dyDescent="0.3">
      <c r="A447" s="13"/>
      <c r="B447" s="13"/>
      <c r="C447" s="13"/>
      <c r="H447" s="178"/>
      <c r="J447" s="42"/>
      <c r="K447" s="178"/>
      <c r="L447" s="178"/>
      <c r="M447" s="178"/>
      <c r="N447" s="17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6"/>
      <c r="AV447" s="6"/>
      <c r="AW447" s="6"/>
      <c r="AX447" s="6"/>
    </row>
    <row r="448" spans="1:50" ht="15.75" customHeight="1" x14ac:dyDescent="0.3">
      <c r="A448" s="13"/>
      <c r="B448" s="13"/>
      <c r="C448" s="13"/>
      <c r="H448" s="178"/>
      <c r="J448" s="42"/>
      <c r="K448" s="178"/>
      <c r="L448" s="178"/>
      <c r="M448" s="178"/>
      <c r="N448" s="17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6"/>
      <c r="AV448" s="6"/>
      <c r="AW448" s="6"/>
      <c r="AX448" s="6"/>
    </row>
    <row r="449" spans="1:50" ht="15.75" customHeight="1" x14ac:dyDescent="0.3">
      <c r="A449" s="13"/>
      <c r="B449" s="13"/>
      <c r="C449" s="13"/>
      <c r="H449" s="178"/>
      <c r="J449" s="42"/>
      <c r="K449" s="178"/>
      <c r="L449" s="178"/>
      <c r="M449" s="178"/>
      <c r="N449" s="17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6"/>
      <c r="AV449" s="6"/>
      <c r="AW449" s="6"/>
      <c r="AX449" s="6"/>
    </row>
    <row r="450" spans="1:50" ht="15.75" customHeight="1" x14ac:dyDescent="0.3">
      <c r="A450" s="13"/>
      <c r="B450" s="13"/>
      <c r="C450" s="13"/>
      <c r="H450" s="178"/>
      <c r="J450" s="42"/>
      <c r="K450" s="178"/>
      <c r="L450" s="178"/>
      <c r="M450" s="178"/>
      <c r="N450" s="17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6"/>
      <c r="AV450" s="6"/>
      <c r="AW450" s="6"/>
      <c r="AX450" s="6"/>
    </row>
    <row r="451" spans="1:50" ht="15.75" customHeight="1" x14ac:dyDescent="0.3">
      <c r="A451" s="13"/>
      <c r="B451" s="13"/>
      <c r="C451" s="13"/>
      <c r="H451" s="178"/>
      <c r="J451" s="42"/>
      <c r="K451" s="178"/>
      <c r="L451" s="178"/>
      <c r="M451" s="178"/>
      <c r="N451" s="17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6"/>
      <c r="AV451" s="6"/>
      <c r="AW451" s="6"/>
      <c r="AX451" s="6"/>
    </row>
    <row r="452" spans="1:50" ht="15.75" customHeight="1" x14ac:dyDescent="0.3">
      <c r="A452" s="13"/>
      <c r="B452" s="13"/>
      <c r="C452" s="13"/>
      <c r="H452" s="178"/>
      <c r="J452" s="42"/>
      <c r="K452" s="178"/>
      <c r="L452" s="178"/>
      <c r="M452" s="178"/>
      <c r="N452" s="17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6"/>
      <c r="AV452" s="6"/>
      <c r="AW452" s="6"/>
      <c r="AX452" s="6"/>
    </row>
    <row r="453" spans="1:50" ht="15.75" customHeight="1" x14ac:dyDescent="0.3">
      <c r="A453" s="13"/>
      <c r="B453" s="13"/>
      <c r="C453" s="13"/>
      <c r="H453" s="178"/>
      <c r="J453" s="42"/>
      <c r="K453" s="178"/>
      <c r="L453" s="178"/>
      <c r="M453" s="178"/>
      <c r="N453" s="17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6"/>
      <c r="AV453" s="6"/>
      <c r="AW453" s="6"/>
      <c r="AX453" s="6"/>
    </row>
    <row r="454" spans="1:50" ht="15.75" customHeight="1" x14ac:dyDescent="0.3">
      <c r="A454" s="13"/>
      <c r="B454" s="13"/>
      <c r="C454" s="13"/>
      <c r="H454" s="178"/>
      <c r="J454" s="42"/>
      <c r="K454" s="178"/>
      <c r="L454" s="178"/>
      <c r="M454" s="178"/>
      <c r="N454" s="17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6"/>
      <c r="AV454" s="6"/>
      <c r="AW454" s="6"/>
      <c r="AX454" s="6"/>
    </row>
    <row r="455" spans="1:50" ht="15.75" customHeight="1" x14ac:dyDescent="0.3">
      <c r="A455" s="13"/>
      <c r="B455" s="13"/>
      <c r="C455" s="13"/>
      <c r="H455" s="178"/>
      <c r="J455" s="42"/>
      <c r="K455" s="178"/>
      <c r="L455" s="178"/>
      <c r="M455" s="178"/>
      <c r="N455" s="17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6"/>
      <c r="AV455" s="6"/>
      <c r="AW455" s="6"/>
      <c r="AX455" s="6"/>
    </row>
    <row r="456" spans="1:50" ht="15.75" customHeight="1" x14ac:dyDescent="0.3">
      <c r="A456" s="13"/>
      <c r="B456" s="13"/>
      <c r="C456" s="13"/>
      <c r="H456" s="178"/>
      <c r="J456" s="42"/>
      <c r="K456" s="178"/>
      <c r="L456" s="178"/>
      <c r="M456" s="178"/>
      <c r="N456" s="17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6"/>
      <c r="AV456" s="6"/>
      <c r="AW456" s="6"/>
      <c r="AX456" s="6"/>
    </row>
    <row r="457" spans="1:50" ht="15.75" customHeight="1" x14ac:dyDescent="0.3">
      <c r="A457" s="13"/>
      <c r="B457" s="13"/>
      <c r="C457" s="13"/>
      <c r="H457" s="178"/>
      <c r="J457" s="42"/>
      <c r="K457" s="178"/>
      <c r="L457" s="178"/>
      <c r="M457" s="178"/>
      <c r="N457" s="17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6"/>
      <c r="AV457" s="6"/>
      <c r="AW457" s="6"/>
      <c r="AX457" s="6"/>
    </row>
    <row r="458" spans="1:50" ht="15.75" customHeight="1" x14ac:dyDescent="0.3">
      <c r="A458" s="13"/>
      <c r="B458" s="13"/>
      <c r="C458" s="13"/>
      <c r="H458" s="178"/>
      <c r="J458" s="42"/>
      <c r="K458" s="178"/>
      <c r="L458" s="178"/>
      <c r="M458" s="178"/>
      <c r="N458" s="17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6"/>
      <c r="AV458" s="6"/>
      <c r="AW458" s="6"/>
      <c r="AX458" s="6"/>
    </row>
    <row r="459" spans="1:50" ht="15.75" customHeight="1" x14ac:dyDescent="0.3">
      <c r="A459" s="13"/>
      <c r="B459" s="13"/>
      <c r="C459" s="13"/>
      <c r="H459" s="178"/>
      <c r="J459" s="42"/>
      <c r="K459" s="178"/>
      <c r="L459" s="178"/>
      <c r="M459" s="178"/>
      <c r="N459" s="17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6"/>
      <c r="AV459" s="6"/>
      <c r="AW459" s="6"/>
      <c r="AX459" s="6"/>
    </row>
    <row r="460" spans="1:50" ht="15.75" customHeight="1" x14ac:dyDescent="0.3">
      <c r="A460" s="13"/>
      <c r="B460" s="13"/>
      <c r="C460" s="13"/>
      <c r="H460" s="178"/>
      <c r="J460" s="42"/>
      <c r="K460" s="178"/>
      <c r="L460" s="178"/>
      <c r="M460" s="178"/>
      <c r="N460" s="17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6"/>
      <c r="AV460" s="6"/>
      <c r="AW460" s="6"/>
      <c r="AX460" s="6"/>
    </row>
    <row r="461" spans="1:50" ht="15.75" customHeight="1" x14ac:dyDescent="0.3">
      <c r="A461" s="13"/>
      <c r="B461" s="13"/>
      <c r="C461" s="13"/>
      <c r="H461" s="178"/>
      <c r="J461" s="42"/>
      <c r="K461" s="178"/>
      <c r="L461" s="178"/>
      <c r="M461" s="178"/>
      <c r="N461" s="17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6"/>
      <c r="AV461" s="6"/>
      <c r="AW461" s="6"/>
      <c r="AX461" s="6"/>
    </row>
    <row r="462" spans="1:50" ht="15.75" customHeight="1" x14ac:dyDescent="0.3">
      <c r="A462" s="13"/>
      <c r="B462" s="13"/>
      <c r="C462" s="13"/>
      <c r="H462" s="178"/>
      <c r="J462" s="42"/>
      <c r="K462" s="178"/>
      <c r="L462" s="178"/>
      <c r="M462" s="178"/>
      <c r="N462" s="17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6"/>
      <c r="AV462" s="6"/>
      <c r="AW462" s="6"/>
      <c r="AX462" s="6"/>
    </row>
    <row r="463" spans="1:50" ht="15.75" customHeight="1" x14ac:dyDescent="0.3">
      <c r="A463" s="13"/>
      <c r="B463" s="13"/>
      <c r="C463" s="13"/>
      <c r="H463" s="178"/>
      <c r="J463" s="42"/>
      <c r="K463" s="178"/>
      <c r="L463" s="178"/>
      <c r="M463" s="178"/>
      <c r="N463" s="17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6"/>
      <c r="AV463" s="6"/>
      <c r="AW463" s="6"/>
      <c r="AX463" s="6"/>
    </row>
    <row r="464" spans="1:50" ht="15.75" customHeight="1" x14ac:dyDescent="0.3">
      <c r="A464" s="13"/>
      <c r="B464" s="13"/>
      <c r="C464" s="13"/>
      <c r="H464" s="178"/>
      <c r="J464" s="42"/>
      <c r="K464" s="178"/>
      <c r="L464" s="178"/>
      <c r="M464" s="178"/>
      <c r="N464" s="17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6"/>
      <c r="AV464" s="6"/>
      <c r="AW464" s="6"/>
      <c r="AX464" s="6"/>
    </row>
    <row r="465" spans="1:50" ht="15.75" customHeight="1" x14ac:dyDescent="0.3">
      <c r="A465" s="13"/>
      <c r="B465" s="13"/>
      <c r="C465" s="13"/>
      <c r="H465" s="178"/>
      <c r="J465" s="42"/>
      <c r="K465" s="178"/>
      <c r="L465" s="178"/>
      <c r="M465" s="178"/>
      <c r="N465" s="17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6"/>
      <c r="AV465" s="6"/>
      <c r="AW465" s="6"/>
      <c r="AX465" s="6"/>
    </row>
    <row r="466" spans="1:50" ht="15.75" customHeight="1" x14ac:dyDescent="0.3">
      <c r="A466" s="13"/>
      <c r="B466" s="13"/>
      <c r="C466" s="13"/>
      <c r="H466" s="178"/>
      <c r="J466" s="42"/>
      <c r="K466" s="178"/>
      <c r="L466" s="178"/>
      <c r="M466" s="178"/>
      <c r="N466" s="17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6"/>
      <c r="AV466" s="6"/>
      <c r="AW466" s="6"/>
      <c r="AX466" s="6"/>
    </row>
    <row r="467" spans="1:50" ht="15.75" customHeight="1" x14ac:dyDescent="0.3">
      <c r="A467" s="13"/>
      <c r="B467" s="13"/>
      <c r="C467" s="13"/>
      <c r="H467" s="178"/>
      <c r="J467" s="42"/>
      <c r="K467" s="178"/>
      <c r="L467" s="178"/>
      <c r="M467" s="178"/>
      <c r="N467" s="17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6"/>
      <c r="AV467" s="6"/>
      <c r="AW467" s="6"/>
      <c r="AX467" s="6"/>
    </row>
    <row r="468" spans="1:50" ht="15.75" customHeight="1" x14ac:dyDescent="0.3">
      <c r="A468" s="13"/>
      <c r="B468" s="13"/>
      <c r="C468" s="13"/>
      <c r="H468" s="178"/>
      <c r="J468" s="42"/>
      <c r="K468" s="178"/>
      <c r="L468" s="178"/>
      <c r="M468" s="178"/>
      <c r="N468" s="17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6"/>
      <c r="AV468" s="6"/>
      <c r="AW468" s="6"/>
      <c r="AX468" s="6"/>
    </row>
    <row r="469" spans="1:50" ht="15.75" customHeight="1" x14ac:dyDescent="0.3">
      <c r="A469" s="13"/>
      <c r="B469" s="13"/>
      <c r="C469" s="13"/>
      <c r="H469" s="178"/>
      <c r="J469" s="42"/>
      <c r="K469" s="178"/>
      <c r="L469" s="178"/>
      <c r="M469" s="178"/>
      <c r="N469" s="17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6"/>
      <c r="AV469" s="6"/>
      <c r="AW469" s="6"/>
      <c r="AX469" s="6"/>
    </row>
    <row r="470" spans="1:50" ht="15.75" customHeight="1" x14ac:dyDescent="0.3">
      <c r="A470" s="13"/>
      <c r="B470" s="13"/>
      <c r="C470" s="13"/>
      <c r="H470" s="178"/>
      <c r="J470" s="42"/>
      <c r="K470" s="178"/>
      <c r="L470" s="178"/>
      <c r="M470" s="178"/>
      <c r="N470" s="17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6"/>
      <c r="AV470" s="6"/>
      <c r="AW470" s="6"/>
      <c r="AX470" s="6"/>
    </row>
    <row r="471" spans="1:50" ht="15.75" customHeight="1" x14ac:dyDescent="0.3">
      <c r="A471" s="13"/>
      <c r="B471" s="13"/>
      <c r="C471" s="13"/>
      <c r="H471" s="178"/>
      <c r="J471" s="42"/>
      <c r="K471" s="178"/>
      <c r="L471" s="178"/>
      <c r="M471" s="178"/>
      <c r="N471" s="17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6"/>
      <c r="AV471" s="6"/>
      <c r="AW471" s="6"/>
      <c r="AX471" s="6"/>
    </row>
    <row r="472" spans="1:50" ht="15.75" customHeight="1" x14ac:dyDescent="0.3">
      <c r="A472" s="13"/>
      <c r="B472" s="13"/>
      <c r="C472" s="13"/>
      <c r="H472" s="178"/>
      <c r="J472" s="42"/>
      <c r="K472" s="178"/>
      <c r="L472" s="178"/>
      <c r="M472" s="178"/>
      <c r="N472" s="17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6"/>
      <c r="AV472" s="6"/>
      <c r="AW472" s="6"/>
      <c r="AX472" s="6"/>
    </row>
    <row r="473" spans="1:50" ht="15.75" customHeight="1" x14ac:dyDescent="0.3">
      <c r="A473" s="13"/>
      <c r="B473" s="13"/>
      <c r="C473" s="13"/>
      <c r="H473" s="178"/>
      <c r="J473" s="42"/>
      <c r="K473" s="178"/>
      <c r="L473" s="178"/>
      <c r="M473" s="178"/>
      <c r="N473" s="17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6"/>
      <c r="AV473" s="6"/>
      <c r="AW473" s="6"/>
      <c r="AX473" s="6"/>
    </row>
    <row r="474" spans="1:50" ht="15.75" customHeight="1" x14ac:dyDescent="0.3">
      <c r="A474" s="13"/>
      <c r="B474" s="13"/>
      <c r="C474" s="13"/>
      <c r="H474" s="178"/>
      <c r="J474" s="42"/>
      <c r="K474" s="178"/>
      <c r="L474" s="178"/>
      <c r="M474" s="178"/>
      <c r="N474" s="17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6"/>
      <c r="AV474" s="6"/>
      <c r="AW474" s="6"/>
      <c r="AX474" s="6"/>
    </row>
    <row r="475" spans="1:50" ht="15.75" customHeight="1" x14ac:dyDescent="0.3">
      <c r="A475" s="13"/>
      <c r="B475" s="13"/>
      <c r="C475" s="13"/>
      <c r="H475" s="178"/>
      <c r="J475" s="42"/>
      <c r="K475" s="178"/>
      <c r="L475" s="178"/>
      <c r="M475" s="178"/>
      <c r="N475" s="17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6"/>
      <c r="AV475" s="6"/>
      <c r="AW475" s="6"/>
      <c r="AX475" s="6"/>
    </row>
    <row r="476" spans="1:50" ht="15.75" customHeight="1" x14ac:dyDescent="0.3">
      <c r="A476" s="13"/>
      <c r="B476" s="13"/>
      <c r="C476" s="13"/>
      <c r="H476" s="178"/>
      <c r="J476" s="42"/>
      <c r="K476" s="178"/>
      <c r="L476" s="178"/>
      <c r="M476" s="178"/>
      <c r="N476" s="17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6"/>
      <c r="AV476" s="6"/>
      <c r="AW476" s="6"/>
      <c r="AX476" s="6"/>
    </row>
    <row r="477" spans="1:50" ht="15.75" customHeight="1" x14ac:dyDescent="0.3">
      <c r="A477" s="13"/>
      <c r="B477" s="13"/>
      <c r="C477" s="13"/>
      <c r="H477" s="178"/>
      <c r="J477" s="42"/>
      <c r="K477" s="178"/>
      <c r="L477" s="178"/>
      <c r="M477" s="178"/>
      <c r="N477" s="17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6"/>
      <c r="AV477" s="6"/>
      <c r="AW477" s="6"/>
      <c r="AX477" s="6"/>
    </row>
    <row r="478" spans="1:50" ht="15.75" customHeight="1" x14ac:dyDescent="0.3">
      <c r="A478" s="13"/>
      <c r="B478" s="13"/>
      <c r="C478" s="13"/>
      <c r="H478" s="178"/>
      <c r="J478" s="42"/>
      <c r="K478" s="178"/>
      <c r="L478" s="178"/>
      <c r="M478" s="178"/>
      <c r="N478" s="17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6"/>
      <c r="AV478" s="6"/>
      <c r="AW478" s="6"/>
      <c r="AX478" s="6"/>
    </row>
    <row r="479" spans="1:50" ht="15.75" customHeight="1" x14ac:dyDescent="0.3">
      <c r="A479" s="13"/>
      <c r="B479" s="13"/>
      <c r="C479" s="13"/>
      <c r="H479" s="178"/>
      <c r="J479" s="42"/>
      <c r="K479" s="178"/>
      <c r="L479" s="178"/>
      <c r="M479" s="178"/>
      <c r="N479" s="17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6"/>
      <c r="AV479" s="6"/>
      <c r="AW479" s="6"/>
      <c r="AX479" s="6"/>
    </row>
    <row r="480" spans="1:50" ht="15.75" customHeight="1" x14ac:dyDescent="0.3">
      <c r="A480" s="13"/>
      <c r="B480" s="13"/>
      <c r="C480" s="13"/>
      <c r="H480" s="178"/>
      <c r="J480" s="42"/>
      <c r="K480" s="178"/>
      <c r="L480" s="178"/>
      <c r="M480" s="178"/>
      <c r="N480" s="17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6"/>
      <c r="AV480" s="6"/>
      <c r="AW480" s="6"/>
      <c r="AX480" s="6"/>
    </row>
    <row r="481" spans="1:50" ht="15.75" customHeight="1" x14ac:dyDescent="0.3">
      <c r="A481" s="13"/>
      <c r="B481" s="13"/>
      <c r="C481" s="13"/>
      <c r="H481" s="178"/>
      <c r="J481" s="42"/>
      <c r="K481" s="178"/>
      <c r="L481" s="178"/>
      <c r="M481" s="178"/>
      <c r="N481" s="17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6"/>
      <c r="AV481" s="6"/>
      <c r="AW481" s="6"/>
      <c r="AX481" s="6"/>
    </row>
    <row r="482" spans="1:50" ht="15.75" customHeight="1" x14ac:dyDescent="0.3">
      <c r="A482" s="13"/>
      <c r="B482" s="13"/>
      <c r="C482" s="13"/>
      <c r="H482" s="178"/>
      <c r="J482" s="42"/>
      <c r="K482" s="178"/>
      <c r="L482" s="178"/>
      <c r="M482" s="178"/>
      <c r="N482" s="17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6"/>
      <c r="AV482" s="6"/>
      <c r="AW482" s="6"/>
      <c r="AX482" s="6"/>
    </row>
    <row r="483" spans="1:50" ht="15.75" customHeight="1" x14ac:dyDescent="0.3">
      <c r="A483" s="13"/>
      <c r="B483" s="13"/>
      <c r="C483" s="13"/>
      <c r="H483" s="178"/>
      <c r="J483" s="42"/>
      <c r="K483" s="178"/>
      <c r="L483" s="178"/>
      <c r="M483" s="178"/>
      <c r="N483" s="17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6"/>
      <c r="AV483" s="6"/>
      <c r="AW483" s="6"/>
      <c r="AX483" s="6"/>
    </row>
    <row r="484" spans="1:50" ht="15.75" customHeight="1" x14ac:dyDescent="0.3">
      <c r="A484" s="13"/>
      <c r="B484" s="13"/>
      <c r="C484" s="13"/>
      <c r="H484" s="178"/>
      <c r="J484" s="42"/>
      <c r="K484" s="178"/>
      <c r="L484" s="178"/>
      <c r="M484" s="178"/>
      <c r="N484" s="17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6"/>
      <c r="AV484" s="6"/>
      <c r="AW484" s="6"/>
      <c r="AX484" s="6"/>
    </row>
    <row r="485" spans="1:50" ht="15.75" customHeight="1" x14ac:dyDescent="0.3">
      <c r="A485" s="13"/>
      <c r="B485" s="13"/>
      <c r="C485" s="13"/>
      <c r="H485" s="178"/>
      <c r="J485" s="42"/>
      <c r="K485" s="178"/>
      <c r="L485" s="178"/>
      <c r="M485" s="178"/>
      <c r="N485" s="17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6"/>
      <c r="AV485" s="6"/>
      <c r="AW485" s="6"/>
      <c r="AX485" s="6"/>
    </row>
    <row r="486" spans="1:50" ht="15.75" customHeight="1" x14ac:dyDescent="0.3">
      <c r="A486" s="13"/>
      <c r="B486" s="13"/>
      <c r="C486" s="13"/>
      <c r="H486" s="178"/>
      <c r="J486" s="42"/>
      <c r="K486" s="178"/>
      <c r="L486" s="178"/>
      <c r="M486" s="178"/>
      <c r="N486" s="17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6"/>
      <c r="AV486" s="6"/>
      <c r="AW486" s="6"/>
      <c r="AX486" s="6"/>
    </row>
    <row r="487" spans="1:50" ht="15.75" customHeight="1" x14ac:dyDescent="0.3">
      <c r="A487" s="13"/>
      <c r="B487" s="13"/>
      <c r="C487" s="13"/>
      <c r="H487" s="178"/>
      <c r="J487" s="42"/>
      <c r="K487" s="178"/>
      <c r="L487" s="178"/>
      <c r="M487" s="178"/>
      <c r="N487" s="17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6"/>
      <c r="AV487" s="6"/>
      <c r="AW487" s="6"/>
      <c r="AX487" s="6"/>
    </row>
    <row r="488" spans="1:50" ht="15.75" customHeight="1" x14ac:dyDescent="0.3">
      <c r="A488" s="13"/>
      <c r="B488" s="13"/>
      <c r="C488" s="13"/>
      <c r="H488" s="178"/>
      <c r="J488" s="42"/>
      <c r="K488" s="178"/>
      <c r="L488" s="178"/>
      <c r="M488" s="178"/>
      <c r="N488" s="17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6"/>
      <c r="AV488" s="6"/>
      <c r="AW488" s="6"/>
      <c r="AX488" s="6"/>
    </row>
    <row r="489" spans="1:50" ht="15.75" customHeight="1" x14ac:dyDescent="0.3">
      <c r="A489" s="13"/>
      <c r="B489" s="13"/>
      <c r="C489" s="13"/>
      <c r="H489" s="178"/>
      <c r="J489" s="42"/>
      <c r="K489" s="178"/>
      <c r="L489" s="178"/>
      <c r="M489" s="178"/>
      <c r="N489" s="17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6"/>
      <c r="AV489" s="6"/>
      <c r="AW489" s="6"/>
      <c r="AX489" s="6"/>
    </row>
    <row r="490" spans="1:50" ht="15.75" customHeight="1" x14ac:dyDescent="0.3">
      <c r="A490" s="13"/>
      <c r="B490" s="13"/>
      <c r="C490" s="13"/>
      <c r="H490" s="178"/>
      <c r="J490" s="42"/>
      <c r="K490" s="178"/>
      <c r="L490" s="178"/>
      <c r="M490" s="178"/>
      <c r="N490" s="17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6"/>
      <c r="AV490" s="6"/>
      <c r="AW490" s="6"/>
      <c r="AX490" s="6"/>
    </row>
    <row r="491" spans="1:50" ht="15.75" customHeight="1" x14ac:dyDescent="0.3">
      <c r="A491" s="13"/>
      <c r="B491" s="13"/>
      <c r="C491" s="13"/>
      <c r="H491" s="178"/>
      <c r="J491" s="42"/>
      <c r="K491" s="178"/>
      <c r="L491" s="178"/>
      <c r="M491" s="178"/>
      <c r="N491" s="17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6"/>
      <c r="AV491" s="6"/>
      <c r="AW491" s="6"/>
      <c r="AX491" s="6"/>
    </row>
    <row r="492" spans="1:50" ht="15.75" customHeight="1" x14ac:dyDescent="0.3">
      <c r="A492" s="13"/>
      <c r="B492" s="13"/>
      <c r="C492" s="13"/>
      <c r="H492" s="178"/>
      <c r="J492" s="42"/>
      <c r="K492" s="178"/>
      <c r="L492" s="178"/>
      <c r="M492" s="178"/>
      <c r="N492" s="17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6"/>
      <c r="AV492" s="6"/>
      <c r="AW492" s="6"/>
      <c r="AX492" s="6"/>
    </row>
    <row r="493" spans="1:50" ht="15.75" customHeight="1" x14ac:dyDescent="0.3">
      <c r="A493" s="13"/>
      <c r="B493" s="13"/>
      <c r="C493" s="13"/>
      <c r="H493" s="178"/>
      <c r="J493" s="42"/>
      <c r="K493" s="178"/>
      <c r="L493" s="178"/>
      <c r="M493" s="178"/>
      <c r="N493" s="17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6"/>
      <c r="AV493" s="6"/>
      <c r="AW493" s="6"/>
      <c r="AX493" s="6"/>
    </row>
    <row r="494" spans="1:50" ht="15.75" customHeight="1" x14ac:dyDescent="0.3">
      <c r="A494" s="13"/>
      <c r="B494" s="13"/>
      <c r="C494" s="13"/>
      <c r="H494" s="178"/>
      <c r="J494" s="42"/>
      <c r="K494" s="178"/>
      <c r="L494" s="178"/>
      <c r="M494" s="178"/>
      <c r="N494" s="17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6"/>
      <c r="AV494" s="6"/>
      <c r="AW494" s="6"/>
      <c r="AX494" s="6"/>
    </row>
    <row r="495" spans="1:50" ht="15.75" customHeight="1" x14ac:dyDescent="0.3">
      <c r="A495" s="13"/>
      <c r="B495" s="13"/>
      <c r="C495" s="13"/>
      <c r="H495" s="178"/>
      <c r="J495" s="42"/>
      <c r="K495" s="178"/>
      <c r="L495" s="178"/>
      <c r="M495" s="178"/>
      <c r="N495" s="17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6"/>
      <c r="AV495" s="6"/>
      <c r="AW495" s="6"/>
      <c r="AX495" s="6"/>
    </row>
    <row r="496" spans="1:50" ht="15.75" customHeight="1" x14ac:dyDescent="0.3">
      <c r="A496" s="13"/>
      <c r="B496" s="13"/>
      <c r="C496" s="13"/>
      <c r="H496" s="178"/>
      <c r="J496" s="42"/>
      <c r="K496" s="178"/>
      <c r="L496" s="178"/>
      <c r="M496" s="178"/>
      <c r="N496" s="17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6"/>
      <c r="AV496" s="6"/>
      <c r="AW496" s="6"/>
      <c r="AX496" s="6"/>
    </row>
    <row r="497" spans="1:50" ht="15.75" customHeight="1" x14ac:dyDescent="0.3">
      <c r="A497" s="13"/>
      <c r="B497" s="13"/>
      <c r="C497" s="13"/>
      <c r="H497" s="178"/>
      <c r="J497" s="42"/>
      <c r="K497" s="178"/>
      <c r="L497" s="178"/>
      <c r="M497" s="178"/>
      <c r="N497" s="17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6"/>
      <c r="AV497" s="6"/>
      <c r="AW497" s="6"/>
      <c r="AX497" s="6"/>
    </row>
    <row r="498" spans="1:50" ht="15.75" customHeight="1" x14ac:dyDescent="0.3">
      <c r="A498" s="13"/>
      <c r="B498" s="13"/>
      <c r="C498" s="13"/>
      <c r="H498" s="178"/>
      <c r="J498" s="42"/>
      <c r="K498" s="178"/>
      <c r="L498" s="178"/>
      <c r="M498" s="178"/>
      <c r="N498" s="17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6"/>
      <c r="AV498" s="6"/>
      <c r="AW498" s="6"/>
      <c r="AX498" s="6"/>
    </row>
    <row r="499" spans="1:50" ht="15.75" customHeight="1" x14ac:dyDescent="0.3">
      <c r="A499" s="13"/>
      <c r="B499" s="13"/>
      <c r="C499" s="13"/>
      <c r="H499" s="178"/>
      <c r="J499" s="42"/>
      <c r="K499" s="178"/>
      <c r="L499" s="178"/>
      <c r="M499" s="178"/>
      <c r="N499" s="17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6"/>
      <c r="AV499" s="6"/>
      <c r="AW499" s="6"/>
      <c r="AX499" s="6"/>
    </row>
    <row r="500" spans="1:50" ht="15.75" customHeight="1" x14ac:dyDescent="0.3">
      <c r="A500" s="13"/>
      <c r="B500" s="13"/>
      <c r="C500" s="13"/>
      <c r="H500" s="178"/>
      <c r="J500" s="42"/>
      <c r="K500" s="178"/>
      <c r="L500" s="178"/>
      <c r="M500" s="178"/>
      <c r="N500" s="17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6"/>
      <c r="AV500" s="6"/>
      <c r="AW500" s="6"/>
      <c r="AX500" s="6"/>
    </row>
    <row r="501" spans="1:50" ht="15.75" customHeight="1" x14ac:dyDescent="0.3">
      <c r="A501" s="13"/>
      <c r="B501" s="13"/>
      <c r="C501" s="13"/>
      <c r="H501" s="178"/>
      <c r="J501" s="42"/>
      <c r="K501" s="178"/>
      <c r="L501" s="178"/>
      <c r="M501" s="178"/>
      <c r="N501" s="17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6"/>
      <c r="AV501" s="6"/>
      <c r="AW501" s="6"/>
      <c r="AX501" s="6"/>
    </row>
    <row r="502" spans="1:50" ht="15.75" customHeight="1" x14ac:dyDescent="0.3">
      <c r="A502" s="13"/>
      <c r="B502" s="13"/>
      <c r="C502" s="13"/>
      <c r="H502" s="178"/>
      <c r="J502" s="42"/>
      <c r="K502" s="178"/>
      <c r="L502" s="178"/>
      <c r="M502" s="178"/>
      <c r="N502" s="17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6"/>
      <c r="AV502" s="6"/>
      <c r="AW502" s="6"/>
      <c r="AX502" s="6"/>
    </row>
    <row r="503" spans="1:50" ht="15.75" customHeight="1" x14ac:dyDescent="0.3">
      <c r="A503" s="13"/>
      <c r="B503" s="13"/>
      <c r="C503" s="13"/>
      <c r="H503" s="178"/>
      <c r="J503" s="42"/>
      <c r="K503" s="178"/>
      <c r="L503" s="178"/>
      <c r="M503" s="178"/>
      <c r="N503" s="17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6"/>
      <c r="AV503" s="6"/>
      <c r="AW503" s="6"/>
      <c r="AX503" s="6"/>
    </row>
    <row r="504" spans="1:50" ht="15.75" customHeight="1" x14ac:dyDescent="0.3">
      <c r="A504" s="13"/>
      <c r="B504" s="13"/>
      <c r="C504" s="13"/>
      <c r="H504" s="178"/>
      <c r="J504" s="42"/>
      <c r="K504" s="178"/>
      <c r="L504" s="178"/>
      <c r="M504" s="178"/>
      <c r="N504" s="17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6"/>
      <c r="AV504" s="6"/>
      <c r="AW504" s="6"/>
      <c r="AX504" s="6"/>
    </row>
    <row r="505" spans="1:50" ht="15.75" customHeight="1" x14ac:dyDescent="0.3">
      <c r="A505" s="13"/>
      <c r="B505" s="13"/>
      <c r="C505" s="13"/>
      <c r="H505" s="178"/>
      <c r="J505" s="42"/>
      <c r="K505" s="178"/>
      <c r="L505" s="178"/>
      <c r="M505" s="178"/>
      <c r="N505" s="17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6"/>
      <c r="AV505" s="6"/>
      <c r="AW505" s="6"/>
      <c r="AX505" s="6"/>
    </row>
    <row r="506" spans="1:50" ht="15.75" customHeight="1" x14ac:dyDescent="0.3">
      <c r="A506" s="13"/>
      <c r="B506" s="13"/>
      <c r="C506" s="13"/>
      <c r="H506" s="178"/>
      <c r="J506" s="42"/>
      <c r="K506" s="178"/>
      <c r="L506" s="178"/>
      <c r="M506" s="178"/>
      <c r="N506" s="17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6"/>
      <c r="AV506" s="6"/>
      <c r="AW506" s="6"/>
      <c r="AX506" s="6"/>
    </row>
    <row r="507" spans="1:50" ht="15.75" customHeight="1" x14ac:dyDescent="0.3">
      <c r="A507" s="13"/>
      <c r="B507" s="13"/>
      <c r="C507" s="13"/>
      <c r="H507" s="178"/>
      <c r="J507" s="42"/>
      <c r="K507" s="178"/>
      <c r="L507" s="178"/>
      <c r="M507" s="178"/>
      <c r="N507" s="17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6"/>
      <c r="AV507" s="6"/>
      <c r="AW507" s="6"/>
      <c r="AX507" s="6"/>
    </row>
    <row r="508" spans="1:50" ht="15.75" customHeight="1" x14ac:dyDescent="0.3">
      <c r="A508" s="13"/>
      <c r="B508" s="13"/>
      <c r="C508" s="13"/>
      <c r="H508" s="178"/>
      <c r="J508" s="42"/>
      <c r="K508" s="178"/>
      <c r="L508" s="178"/>
      <c r="M508" s="178"/>
      <c r="N508" s="17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6"/>
      <c r="AV508" s="6"/>
      <c r="AW508" s="6"/>
      <c r="AX508" s="6"/>
    </row>
    <row r="509" spans="1:50" ht="15.75" customHeight="1" x14ac:dyDescent="0.3">
      <c r="A509" s="13"/>
      <c r="B509" s="13"/>
      <c r="C509" s="13"/>
      <c r="H509" s="178"/>
      <c r="J509" s="42"/>
      <c r="K509" s="178"/>
      <c r="L509" s="178"/>
      <c r="M509" s="178"/>
      <c r="N509" s="17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6"/>
      <c r="AV509" s="6"/>
      <c r="AW509" s="6"/>
      <c r="AX509" s="6"/>
    </row>
    <row r="510" spans="1:50" ht="15.75" customHeight="1" x14ac:dyDescent="0.3">
      <c r="A510" s="13"/>
      <c r="B510" s="13"/>
      <c r="C510" s="13"/>
      <c r="H510" s="178"/>
      <c r="J510" s="42"/>
      <c r="K510" s="178"/>
      <c r="L510" s="178"/>
      <c r="M510" s="178"/>
      <c r="N510" s="17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6"/>
      <c r="AV510" s="6"/>
      <c r="AW510" s="6"/>
      <c r="AX510" s="6"/>
    </row>
    <row r="511" spans="1:50" ht="15.75" customHeight="1" x14ac:dyDescent="0.3">
      <c r="A511" s="13"/>
      <c r="B511" s="13"/>
      <c r="C511" s="13"/>
      <c r="H511" s="178"/>
      <c r="J511" s="42"/>
      <c r="K511" s="178"/>
      <c r="L511" s="178"/>
      <c r="M511" s="178"/>
      <c r="N511" s="17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6"/>
      <c r="AV511" s="6"/>
      <c r="AW511" s="6"/>
      <c r="AX511" s="6"/>
    </row>
    <row r="512" spans="1:50" ht="15.75" customHeight="1" x14ac:dyDescent="0.3">
      <c r="A512" s="13"/>
      <c r="B512" s="13"/>
      <c r="C512" s="13"/>
      <c r="H512" s="178"/>
      <c r="J512" s="42"/>
      <c r="K512" s="178"/>
      <c r="L512" s="178"/>
      <c r="M512" s="178"/>
      <c r="N512" s="17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6"/>
      <c r="AV512" s="6"/>
      <c r="AW512" s="6"/>
      <c r="AX512" s="6"/>
    </row>
    <row r="513" spans="1:50" ht="15.75" customHeight="1" x14ac:dyDescent="0.3">
      <c r="A513" s="13"/>
      <c r="B513" s="13"/>
      <c r="C513" s="13"/>
      <c r="H513" s="178"/>
      <c r="J513" s="42"/>
      <c r="K513" s="178"/>
      <c r="L513" s="178"/>
      <c r="M513" s="178"/>
      <c r="N513" s="17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6"/>
      <c r="AV513" s="6"/>
      <c r="AW513" s="6"/>
      <c r="AX513" s="6"/>
    </row>
    <row r="514" spans="1:50" ht="15.75" customHeight="1" x14ac:dyDescent="0.3">
      <c r="A514" s="13"/>
      <c r="B514" s="13"/>
      <c r="C514" s="13"/>
      <c r="H514" s="178"/>
      <c r="J514" s="42"/>
      <c r="K514" s="178"/>
      <c r="L514" s="178"/>
      <c r="M514" s="178"/>
      <c r="N514" s="17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6"/>
      <c r="AV514" s="6"/>
      <c r="AW514" s="6"/>
      <c r="AX514" s="6"/>
    </row>
    <row r="515" spans="1:50" ht="15.75" customHeight="1" x14ac:dyDescent="0.3">
      <c r="A515" s="13"/>
      <c r="B515" s="13"/>
      <c r="C515" s="13"/>
      <c r="H515" s="178"/>
      <c r="J515" s="42"/>
      <c r="K515" s="178"/>
      <c r="L515" s="178"/>
      <c r="M515" s="178"/>
      <c r="N515" s="17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6"/>
      <c r="AV515" s="6"/>
      <c r="AW515" s="6"/>
      <c r="AX515" s="6"/>
    </row>
    <row r="516" spans="1:50" ht="15.75" customHeight="1" x14ac:dyDescent="0.3">
      <c r="A516" s="13"/>
      <c r="B516" s="13"/>
      <c r="C516" s="13"/>
      <c r="H516" s="178"/>
      <c r="J516" s="42"/>
      <c r="K516" s="178"/>
      <c r="L516" s="178"/>
      <c r="M516" s="178"/>
      <c r="N516" s="17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6"/>
      <c r="AV516" s="6"/>
      <c r="AW516" s="6"/>
      <c r="AX516" s="6"/>
    </row>
    <row r="517" spans="1:50" ht="15.75" customHeight="1" x14ac:dyDescent="0.3">
      <c r="A517" s="13"/>
      <c r="B517" s="13"/>
      <c r="C517" s="13"/>
      <c r="H517" s="178"/>
      <c r="J517" s="42"/>
      <c r="K517" s="178"/>
      <c r="L517" s="178"/>
      <c r="M517" s="178"/>
      <c r="N517" s="17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6"/>
      <c r="AV517" s="6"/>
      <c r="AW517" s="6"/>
      <c r="AX517" s="6"/>
    </row>
    <row r="518" spans="1:50" ht="15.75" customHeight="1" x14ac:dyDescent="0.3">
      <c r="A518" s="13"/>
      <c r="B518" s="13"/>
      <c r="C518" s="13"/>
      <c r="H518" s="178"/>
      <c r="J518" s="42"/>
      <c r="K518" s="178"/>
      <c r="L518" s="178"/>
      <c r="M518" s="178"/>
      <c r="N518" s="17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6"/>
      <c r="AV518" s="6"/>
      <c r="AW518" s="6"/>
      <c r="AX518" s="6"/>
    </row>
    <row r="519" spans="1:50" ht="15.75" customHeight="1" x14ac:dyDescent="0.3">
      <c r="A519" s="13"/>
      <c r="B519" s="13"/>
      <c r="C519" s="13"/>
      <c r="H519" s="178"/>
      <c r="J519" s="42"/>
      <c r="K519" s="178"/>
      <c r="L519" s="178"/>
      <c r="M519" s="178"/>
      <c r="N519" s="17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6"/>
      <c r="AV519" s="6"/>
      <c r="AW519" s="6"/>
      <c r="AX519" s="6"/>
    </row>
    <row r="520" spans="1:50" ht="15.75" customHeight="1" x14ac:dyDescent="0.3">
      <c r="A520" s="13"/>
      <c r="B520" s="13"/>
      <c r="C520" s="13"/>
      <c r="H520" s="178"/>
      <c r="J520" s="42"/>
      <c r="K520" s="178"/>
      <c r="L520" s="178"/>
      <c r="M520" s="178"/>
      <c r="N520" s="17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6"/>
      <c r="AV520" s="6"/>
      <c r="AW520" s="6"/>
      <c r="AX520" s="6"/>
    </row>
    <row r="521" spans="1:50" ht="15.75" customHeight="1" x14ac:dyDescent="0.3">
      <c r="A521" s="13"/>
      <c r="B521" s="13"/>
      <c r="C521" s="13"/>
      <c r="H521" s="178"/>
      <c r="J521" s="42"/>
      <c r="K521" s="178"/>
      <c r="L521" s="178"/>
      <c r="M521" s="178"/>
      <c r="N521" s="17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6"/>
      <c r="AV521" s="6"/>
      <c r="AW521" s="6"/>
      <c r="AX521" s="6"/>
    </row>
    <row r="522" spans="1:50" ht="15.75" customHeight="1" x14ac:dyDescent="0.3">
      <c r="A522" s="13"/>
      <c r="B522" s="13"/>
      <c r="C522" s="13"/>
      <c r="H522" s="178"/>
      <c r="J522" s="42"/>
      <c r="K522" s="178"/>
      <c r="L522" s="178"/>
      <c r="M522" s="178"/>
      <c r="N522" s="17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6"/>
      <c r="AV522" s="6"/>
      <c r="AW522" s="6"/>
      <c r="AX522" s="6"/>
    </row>
    <row r="523" spans="1:50" ht="15.75" customHeight="1" x14ac:dyDescent="0.3">
      <c r="A523" s="13"/>
      <c r="B523" s="13"/>
      <c r="C523" s="13"/>
      <c r="H523" s="178"/>
      <c r="J523" s="42"/>
      <c r="K523" s="178"/>
      <c r="L523" s="178"/>
      <c r="M523" s="178"/>
      <c r="N523" s="17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6"/>
      <c r="AV523" s="6"/>
      <c r="AW523" s="6"/>
      <c r="AX523" s="6"/>
    </row>
    <row r="524" spans="1:50" ht="15.75" customHeight="1" x14ac:dyDescent="0.3">
      <c r="A524" s="13"/>
      <c r="B524" s="13"/>
      <c r="C524" s="13"/>
      <c r="H524" s="178"/>
      <c r="J524" s="42"/>
      <c r="K524" s="178"/>
      <c r="L524" s="178"/>
      <c r="M524" s="178"/>
      <c r="N524" s="17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6"/>
      <c r="AV524" s="6"/>
      <c r="AW524" s="6"/>
      <c r="AX524" s="6"/>
    </row>
    <row r="525" spans="1:50" ht="15.75" customHeight="1" x14ac:dyDescent="0.3">
      <c r="A525" s="13"/>
      <c r="B525" s="13"/>
      <c r="C525" s="13"/>
      <c r="H525" s="178"/>
      <c r="J525" s="42"/>
      <c r="K525" s="178"/>
      <c r="L525" s="178"/>
      <c r="M525" s="178"/>
      <c r="N525" s="17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6"/>
      <c r="AV525" s="6"/>
      <c r="AW525" s="6"/>
      <c r="AX525" s="6"/>
    </row>
    <row r="526" spans="1:50" ht="15.75" customHeight="1" x14ac:dyDescent="0.3">
      <c r="A526" s="13"/>
      <c r="B526" s="13"/>
      <c r="C526" s="13"/>
      <c r="H526" s="178"/>
      <c r="J526" s="42"/>
      <c r="K526" s="178"/>
      <c r="L526" s="178"/>
      <c r="M526" s="178"/>
      <c r="N526" s="17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6"/>
      <c r="AV526" s="6"/>
      <c r="AW526" s="6"/>
      <c r="AX526" s="6"/>
    </row>
    <row r="527" spans="1:50" ht="15.75" customHeight="1" x14ac:dyDescent="0.3">
      <c r="A527" s="13"/>
      <c r="B527" s="13"/>
      <c r="C527" s="13"/>
      <c r="H527" s="178"/>
      <c r="J527" s="42"/>
      <c r="K527" s="178"/>
      <c r="L527" s="178"/>
      <c r="M527" s="178"/>
      <c r="N527" s="17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6"/>
      <c r="AV527" s="6"/>
      <c r="AW527" s="6"/>
      <c r="AX527" s="6"/>
    </row>
    <row r="528" spans="1:50" ht="15.75" customHeight="1" x14ac:dyDescent="0.3">
      <c r="A528" s="13"/>
      <c r="B528" s="13"/>
      <c r="C528" s="13"/>
      <c r="H528" s="178"/>
      <c r="J528" s="42"/>
      <c r="K528" s="178"/>
      <c r="L528" s="178"/>
      <c r="M528" s="178"/>
      <c r="N528" s="17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6"/>
      <c r="AV528" s="6"/>
      <c r="AW528" s="6"/>
      <c r="AX528" s="6"/>
    </row>
    <row r="529" spans="1:50" ht="15.75" customHeight="1" x14ac:dyDescent="0.3">
      <c r="A529" s="13"/>
      <c r="B529" s="13"/>
      <c r="C529" s="13"/>
      <c r="H529" s="178"/>
      <c r="J529" s="42"/>
      <c r="K529" s="178"/>
      <c r="L529" s="178"/>
      <c r="M529" s="178"/>
      <c r="N529" s="17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6"/>
      <c r="AV529" s="6"/>
      <c r="AW529" s="6"/>
      <c r="AX529" s="6"/>
    </row>
    <row r="530" spans="1:50" ht="15.75" customHeight="1" x14ac:dyDescent="0.3">
      <c r="A530" s="13"/>
      <c r="B530" s="13"/>
      <c r="C530" s="13"/>
      <c r="H530" s="178"/>
      <c r="J530" s="42"/>
      <c r="K530" s="178"/>
      <c r="L530" s="178"/>
      <c r="M530" s="178"/>
      <c r="N530" s="17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6"/>
      <c r="AV530" s="6"/>
      <c r="AW530" s="6"/>
      <c r="AX530" s="6"/>
    </row>
    <row r="531" spans="1:50" ht="15.75" customHeight="1" x14ac:dyDescent="0.3">
      <c r="A531" s="13"/>
      <c r="B531" s="13"/>
      <c r="C531" s="13"/>
      <c r="H531" s="178"/>
      <c r="J531" s="42"/>
      <c r="K531" s="178"/>
      <c r="L531" s="178"/>
      <c r="M531" s="178"/>
      <c r="N531" s="17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6"/>
      <c r="AV531" s="6"/>
      <c r="AW531" s="6"/>
      <c r="AX531" s="6"/>
    </row>
    <row r="532" spans="1:50" ht="15.75" customHeight="1" x14ac:dyDescent="0.3">
      <c r="A532" s="13"/>
      <c r="B532" s="13"/>
      <c r="C532" s="13"/>
      <c r="H532" s="178"/>
      <c r="J532" s="42"/>
      <c r="K532" s="178"/>
      <c r="L532" s="178"/>
      <c r="M532" s="178"/>
      <c r="N532" s="17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6"/>
      <c r="AV532" s="6"/>
      <c r="AW532" s="6"/>
      <c r="AX532" s="6"/>
    </row>
    <row r="533" spans="1:50" ht="15.75" customHeight="1" x14ac:dyDescent="0.3">
      <c r="A533" s="13"/>
      <c r="B533" s="13"/>
      <c r="C533" s="13"/>
      <c r="H533" s="178"/>
      <c r="J533" s="42"/>
      <c r="K533" s="178"/>
      <c r="L533" s="178"/>
      <c r="M533" s="178"/>
      <c r="N533" s="17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6"/>
      <c r="AV533" s="6"/>
      <c r="AW533" s="6"/>
      <c r="AX533" s="6"/>
    </row>
    <row r="534" spans="1:50" ht="15.75" customHeight="1" x14ac:dyDescent="0.3">
      <c r="A534" s="13"/>
      <c r="B534" s="13"/>
      <c r="C534" s="13"/>
      <c r="H534" s="178"/>
      <c r="J534" s="42"/>
      <c r="K534" s="178"/>
      <c r="L534" s="178"/>
      <c r="M534" s="178"/>
      <c r="N534" s="17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6"/>
      <c r="AV534" s="6"/>
      <c r="AW534" s="6"/>
      <c r="AX534" s="6"/>
    </row>
    <row r="535" spans="1:50" ht="15.75" customHeight="1" x14ac:dyDescent="0.3">
      <c r="A535" s="13"/>
      <c r="B535" s="13"/>
      <c r="C535" s="13"/>
      <c r="H535" s="178"/>
      <c r="J535" s="42"/>
      <c r="K535" s="178"/>
      <c r="L535" s="178"/>
      <c r="M535" s="178"/>
      <c r="N535" s="17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6"/>
      <c r="AV535" s="6"/>
      <c r="AW535" s="6"/>
      <c r="AX535" s="6"/>
    </row>
    <row r="536" spans="1:50" ht="15.75" customHeight="1" x14ac:dyDescent="0.3">
      <c r="A536" s="13"/>
      <c r="B536" s="13"/>
      <c r="C536" s="13"/>
      <c r="H536" s="178"/>
      <c r="J536" s="42"/>
      <c r="K536" s="178"/>
      <c r="L536" s="178"/>
      <c r="M536" s="178"/>
      <c r="N536" s="17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6"/>
      <c r="AV536" s="6"/>
      <c r="AW536" s="6"/>
      <c r="AX536" s="6"/>
    </row>
    <row r="537" spans="1:50" ht="15.75" customHeight="1" x14ac:dyDescent="0.3">
      <c r="A537" s="13"/>
      <c r="B537" s="13"/>
      <c r="C537" s="13"/>
      <c r="H537" s="178"/>
      <c r="J537" s="42"/>
      <c r="K537" s="178"/>
      <c r="L537" s="178"/>
      <c r="M537" s="178"/>
      <c r="N537" s="17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6"/>
      <c r="AV537" s="6"/>
      <c r="AW537" s="6"/>
      <c r="AX537" s="6"/>
    </row>
    <row r="538" spans="1:50" ht="15.75" customHeight="1" x14ac:dyDescent="0.3">
      <c r="A538" s="13"/>
      <c r="B538" s="13"/>
      <c r="C538" s="13"/>
      <c r="H538" s="178"/>
      <c r="J538" s="42"/>
      <c r="K538" s="178"/>
      <c r="L538" s="178"/>
      <c r="M538" s="178"/>
      <c r="N538" s="17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6"/>
      <c r="AV538" s="6"/>
      <c r="AW538" s="6"/>
      <c r="AX538" s="6"/>
    </row>
    <row r="539" spans="1:50" ht="15.75" customHeight="1" x14ac:dyDescent="0.3">
      <c r="A539" s="13"/>
      <c r="B539" s="13"/>
      <c r="C539" s="13"/>
      <c r="H539" s="178"/>
      <c r="J539" s="42"/>
      <c r="K539" s="178"/>
      <c r="L539" s="178"/>
      <c r="M539" s="178"/>
      <c r="N539" s="17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6"/>
      <c r="AV539" s="6"/>
      <c r="AW539" s="6"/>
      <c r="AX539" s="6"/>
    </row>
    <row r="540" spans="1:50" ht="15.75" customHeight="1" x14ac:dyDescent="0.3">
      <c r="A540" s="13"/>
      <c r="B540" s="13"/>
      <c r="C540" s="13"/>
      <c r="H540" s="178"/>
      <c r="J540" s="42"/>
      <c r="K540" s="178"/>
      <c r="L540" s="178"/>
      <c r="M540" s="178"/>
      <c r="N540" s="17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6"/>
      <c r="AV540" s="6"/>
      <c r="AW540" s="6"/>
      <c r="AX540" s="6"/>
    </row>
    <row r="541" spans="1:50" ht="15.75" customHeight="1" x14ac:dyDescent="0.3">
      <c r="A541" s="13"/>
      <c r="B541" s="13"/>
      <c r="C541" s="13"/>
      <c r="H541" s="178"/>
      <c r="J541" s="42"/>
      <c r="K541" s="178"/>
      <c r="L541" s="178"/>
      <c r="M541" s="178"/>
      <c r="N541" s="17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6"/>
      <c r="AV541" s="6"/>
      <c r="AW541" s="6"/>
      <c r="AX541" s="6"/>
    </row>
    <row r="542" spans="1:50" ht="15.75" customHeight="1" x14ac:dyDescent="0.3">
      <c r="A542" s="13"/>
      <c r="B542" s="13"/>
      <c r="C542" s="13"/>
      <c r="H542" s="178"/>
      <c r="J542" s="42"/>
      <c r="K542" s="178"/>
      <c r="L542" s="178"/>
      <c r="M542" s="178"/>
      <c r="N542" s="17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6"/>
      <c r="AV542" s="6"/>
      <c r="AW542" s="6"/>
      <c r="AX542" s="6"/>
    </row>
    <row r="543" spans="1:50" ht="15.75" customHeight="1" x14ac:dyDescent="0.3">
      <c r="A543" s="13"/>
      <c r="B543" s="13"/>
      <c r="C543" s="13"/>
      <c r="H543" s="178"/>
      <c r="J543" s="42"/>
      <c r="K543" s="178"/>
      <c r="L543" s="178"/>
      <c r="M543" s="178"/>
      <c r="N543" s="17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6"/>
      <c r="AV543" s="6"/>
      <c r="AW543" s="6"/>
      <c r="AX543" s="6"/>
    </row>
    <row r="544" spans="1:50" ht="15.75" customHeight="1" x14ac:dyDescent="0.3">
      <c r="A544" s="13"/>
      <c r="B544" s="13"/>
      <c r="C544" s="13"/>
      <c r="H544" s="178"/>
      <c r="J544" s="42"/>
      <c r="K544" s="178"/>
      <c r="L544" s="178"/>
      <c r="M544" s="178"/>
      <c r="N544" s="17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6"/>
      <c r="AV544" s="6"/>
      <c r="AW544" s="6"/>
      <c r="AX544" s="6"/>
    </row>
    <row r="545" spans="1:50" ht="15.75" customHeight="1" x14ac:dyDescent="0.3">
      <c r="A545" s="13"/>
      <c r="B545" s="13"/>
      <c r="C545" s="13"/>
      <c r="H545" s="178"/>
      <c r="J545" s="42"/>
      <c r="K545" s="178"/>
      <c r="L545" s="178"/>
      <c r="M545" s="178"/>
      <c r="N545" s="17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6"/>
      <c r="AV545" s="6"/>
      <c r="AW545" s="6"/>
      <c r="AX545" s="6"/>
    </row>
    <row r="546" spans="1:50" ht="15.75" customHeight="1" x14ac:dyDescent="0.3">
      <c r="A546" s="13"/>
      <c r="B546" s="13"/>
      <c r="C546" s="13"/>
      <c r="H546" s="178"/>
      <c r="J546" s="42"/>
      <c r="K546" s="178"/>
      <c r="L546" s="178"/>
      <c r="M546" s="178"/>
      <c r="N546" s="17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6"/>
      <c r="AV546" s="6"/>
      <c r="AW546" s="6"/>
      <c r="AX546" s="6"/>
    </row>
    <row r="547" spans="1:50" ht="15.75" customHeight="1" x14ac:dyDescent="0.3">
      <c r="A547" s="13"/>
      <c r="B547" s="13"/>
      <c r="C547" s="13"/>
      <c r="H547" s="178"/>
      <c r="J547" s="42"/>
      <c r="K547" s="178"/>
      <c r="L547" s="178"/>
      <c r="M547" s="178"/>
      <c r="N547" s="17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6"/>
      <c r="AV547" s="6"/>
      <c r="AW547" s="6"/>
      <c r="AX547" s="6"/>
    </row>
    <row r="548" spans="1:50" ht="15.75" customHeight="1" x14ac:dyDescent="0.3">
      <c r="A548" s="13"/>
      <c r="B548" s="13"/>
      <c r="C548" s="13"/>
      <c r="H548" s="178"/>
      <c r="J548" s="42"/>
      <c r="K548" s="178"/>
      <c r="L548" s="178"/>
      <c r="M548" s="178"/>
      <c r="N548" s="17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6"/>
      <c r="AV548" s="6"/>
      <c r="AW548" s="6"/>
      <c r="AX548" s="6"/>
    </row>
    <row r="549" spans="1:50" ht="15.75" customHeight="1" x14ac:dyDescent="0.3">
      <c r="A549" s="13"/>
      <c r="B549" s="13"/>
      <c r="C549" s="13"/>
      <c r="H549" s="178"/>
      <c r="J549" s="42"/>
      <c r="K549" s="178"/>
      <c r="L549" s="178"/>
      <c r="M549" s="178"/>
      <c r="N549" s="17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6"/>
      <c r="AV549" s="6"/>
      <c r="AW549" s="6"/>
      <c r="AX549" s="6"/>
    </row>
    <row r="550" spans="1:50" ht="15.75" customHeight="1" x14ac:dyDescent="0.3">
      <c r="A550" s="13"/>
      <c r="B550" s="13"/>
      <c r="C550" s="13"/>
      <c r="H550" s="178"/>
      <c r="J550" s="42"/>
      <c r="K550" s="178"/>
      <c r="L550" s="178"/>
      <c r="M550" s="178"/>
      <c r="N550" s="17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6"/>
      <c r="AV550" s="6"/>
      <c r="AW550" s="6"/>
      <c r="AX550" s="6"/>
    </row>
    <row r="551" spans="1:50" ht="15.75" customHeight="1" x14ac:dyDescent="0.3">
      <c r="A551" s="13"/>
      <c r="B551" s="13"/>
      <c r="C551" s="13"/>
      <c r="H551" s="178"/>
      <c r="J551" s="42"/>
      <c r="K551" s="178"/>
      <c r="L551" s="178"/>
      <c r="M551" s="178"/>
      <c r="N551" s="17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6"/>
      <c r="AV551" s="6"/>
      <c r="AW551" s="6"/>
      <c r="AX551" s="6"/>
    </row>
    <row r="552" spans="1:50" ht="15.75" customHeight="1" x14ac:dyDescent="0.3">
      <c r="A552" s="13"/>
      <c r="B552" s="13"/>
      <c r="C552" s="13"/>
      <c r="H552" s="178"/>
      <c r="J552" s="42"/>
      <c r="K552" s="178"/>
      <c r="L552" s="178"/>
      <c r="M552" s="178"/>
      <c r="N552" s="17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6"/>
      <c r="AV552" s="6"/>
      <c r="AW552" s="6"/>
      <c r="AX552" s="6"/>
    </row>
    <row r="553" spans="1:50" ht="15.75" customHeight="1" x14ac:dyDescent="0.3">
      <c r="A553" s="13"/>
      <c r="B553" s="13"/>
      <c r="C553" s="13"/>
      <c r="H553" s="178"/>
      <c r="J553" s="42"/>
      <c r="K553" s="178"/>
      <c r="L553" s="178"/>
      <c r="M553" s="178"/>
      <c r="N553" s="17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6"/>
      <c r="AV553" s="6"/>
      <c r="AW553" s="6"/>
      <c r="AX553" s="6"/>
    </row>
    <row r="554" spans="1:50" ht="15.75" customHeight="1" x14ac:dyDescent="0.3">
      <c r="A554" s="13"/>
      <c r="B554" s="13"/>
      <c r="C554" s="13"/>
      <c r="H554" s="178"/>
      <c r="J554" s="42"/>
      <c r="K554" s="178"/>
      <c r="L554" s="178"/>
      <c r="M554" s="178"/>
      <c r="N554" s="17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6"/>
      <c r="AV554" s="6"/>
      <c r="AW554" s="6"/>
      <c r="AX554" s="6"/>
    </row>
    <row r="555" spans="1:50" ht="15.75" customHeight="1" x14ac:dyDescent="0.3">
      <c r="A555" s="13"/>
      <c r="B555" s="13"/>
      <c r="C555" s="13"/>
      <c r="H555" s="178"/>
      <c r="J555" s="42"/>
      <c r="K555" s="178"/>
      <c r="L555" s="178"/>
      <c r="M555" s="178"/>
      <c r="N555" s="17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6"/>
      <c r="AV555" s="6"/>
      <c r="AW555" s="6"/>
      <c r="AX555" s="6"/>
    </row>
    <row r="556" spans="1:50" ht="15.75" customHeight="1" x14ac:dyDescent="0.3">
      <c r="A556" s="13"/>
      <c r="B556" s="13"/>
      <c r="C556" s="13"/>
      <c r="H556" s="178"/>
      <c r="J556" s="42"/>
      <c r="K556" s="178"/>
      <c r="L556" s="178"/>
      <c r="M556" s="178"/>
      <c r="N556" s="17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6"/>
      <c r="AV556" s="6"/>
      <c r="AW556" s="6"/>
      <c r="AX556" s="6"/>
    </row>
    <row r="557" spans="1:50" ht="15.75" customHeight="1" x14ac:dyDescent="0.3">
      <c r="A557" s="13"/>
      <c r="B557" s="13"/>
      <c r="C557" s="13"/>
      <c r="H557" s="178"/>
      <c r="J557" s="42"/>
      <c r="K557" s="178"/>
      <c r="L557" s="178"/>
      <c r="M557" s="178"/>
      <c r="N557" s="17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6"/>
      <c r="AV557" s="6"/>
      <c r="AW557" s="6"/>
      <c r="AX557" s="6"/>
    </row>
    <row r="558" spans="1:50" ht="15.75" customHeight="1" x14ac:dyDescent="0.3">
      <c r="A558" s="13"/>
      <c r="B558" s="13"/>
      <c r="C558" s="13"/>
      <c r="H558" s="178"/>
      <c r="J558" s="42"/>
      <c r="K558" s="178"/>
      <c r="L558" s="178"/>
      <c r="M558" s="178"/>
      <c r="N558" s="17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6"/>
      <c r="AV558" s="6"/>
      <c r="AW558" s="6"/>
      <c r="AX558" s="6"/>
    </row>
    <row r="559" spans="1:50" ht="15.75" customHeight="1" x14ac:dyDescent="0.3">
      <c r="A559" s="13"/>
      <c r="B559" s="13"/>
      <c r="C559" s="13"/>
      <c r="H559" s="178"/>
      <c r="J559" s="42"/>
      <c r="K559" s="178"/>
      <c r="L559" s="178"/>
      <c r="M559" s="178"/>
      <c r="N559" s="17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6"/>
      <c r="AV559" s="6"/>
      <c r="AW559" s="6"/>
      <c r="AX559" s="6"/>
    </row>
    <row r="560" spans="1:50" ht="15.75" customHeight="1" x14ac:dyDescent="0.3">
      <c r="A560" s="13"/>
      <c r="B560" s="13"/>
      <c r="C560" s="13"/>
      <c r="H560" s="178"/>
      <c r="J560" s="42"/>
      <c r="K560" s="178"/>
      <c r="L560" s="178"/>
      <c r="M560" s="178"/>
      <c r="N560" s="17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6"/>
      <c r="AV560" s="6"/>
      <c r="AW560" s="6"/>
      <c r="AX560" s="6"/>
    </row>
    <row r="561" spans="1:50" ht="15.75" customHeight="1" x14ac:dyDescent="0.3">
      <c r="A561" s="13"/>
      <c r="B561" s="13"/>
      <c r="C561" s="13"/>
      <c r="H561" s="178"/>
      <c r="J561" s="42"/>
      <c r="K561" s="178"/>
      <c r="L561" s="178"/>
      <c r="M561" s="178"/>
      <c r="N561" s="17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6"/>
      <c r="AV561" s="6"/>
      <c r="AW561" s="6"/>
      <c r="AX561" s="6"/>
    </row>
    <row r="562" spans="1:50" ht="15.75" customHeight="1" x14ac:dyDescent="0.3">
      <c r="A562" s="13"/>
      <c r="B562" s="13"/>
      <c r="C562" s="13"/>
      <c r="H562" s="178"/>
      <c r="J562" s="42"/>
      <c r="K562" s="178"/>
      <c r="L562" s="178"/>
      <c r="M562" s="178"/>
      <c r="N562" s="17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6"/>
      <c r="AV562" s="6"/>
      <c r="AW562" s="6"/>
      <c r="AX562" s="6"/>
    </row>
    <row r="563" spans="1:50" ht="15.75" customHeight="1" x14ac:dyDescent="0.3">
      <c r="A563" s="13"/>
      <c r="B563" s="13"/>
      <c r="C563" s="13"/>
      <c r="H563" s="178"/>
      <c r="J563" s="42"/>
      <c r="K563" s="178"/>
      <c r="L563" s="178"/>
      <c r="M563" s="178"/>
      <c r="N563" s="17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6"/>
      <c r="AV563" s="6"/>
      <c r="AW563" s="6"/>
      <c r="AX563" s="6"/>
    </row>
    <row r="564" spans="1:50" ht="15.75" customHeight="1" x14ac:dyDescent="0.3">
      <c r="A564" s="13"/>
      <c r="B564" s="13"/>
      <c r="C564" s="13"/>
      <c r="H564" s="178"/>
      <c r="J564" s="42"/>
      <c r="K564" s="178"/>
      <c r="L564" s="178"/>
      <c r="M564" s="178"/>
      <c r="N564" s="17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6"/>
      <c r="AV564" s="6"/>
      <c r="AW564" s="6"/>
      <c r="AX564" s="6"/>
    </row>
    <row r="565" spans="1:50" ht="15.75" customHeight="1" x14ac:dyDescent="0.3">
      <c r="A565" s="13"/>
      <c r="B565" s="13"/>
      <c r="C565" s="13"/>
      <c r="H565" s="178"/>
      <c r="J565" s="42"/>
      <c r="K565" s="178"/>
      <c r="L565" s="178"/>
      <c r="M565" s="178"/>
      <c r="N565" s="17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6"/>
      <c r="AV565" s="6"/>
      <c r="AW565" s="6"/>
      <c r="AX565" s="6"/>
    </row>
    <row r="566" spans="1:50" ht="15.75" customHeight="1" x14ac:dyDescent="0.3">
      <c r="A566" s="13"/>
      <c r="B566" s="13"/>
      <c r="C566" s="13"/>
      <c r="H566" s="178"/>
      <c r="J566" s="42"/>
      <c r="K566" s="178"/>
      <c r="L566" s="178"/>
      <c r="M566" s="178"/>
      <c r="N566" s="17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6"/>
      <c r="AV566" s="6"/>
      <c r="AW566" s="6"/>
      <c r="AX566" s="6"/>
    </row>
    <row r="567" spans="1:50" ht="15.75" customHeight="1" x14ac:dyDescent="0.3">
      <c r="A567" s="13"/>
      <c r="B567" s="13"/>
      <c r="C567" s="13"/>
      <c r="H567" s="178"/>
      <c r="J567" s="42"/>
      <c r="K567" s="178"/>
      <c r="L567" s="178"/>
      <c r="M567" s="178"/>
      <c r="N567" s="17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6"/>
      <c r="AV567" s="6"/>
      <c r="AW567" s="6"/>
      <c r="AX567" s="6"/>
    </row>
    <row r="568" spans="1:50" ht="15.75" customHeight="1" x14ac:dyDescent="0.3">
      <c r="A568" s="13"/>
      <c r="B568" s="13"/>
      <c r="C568" s="13"/>
      <c r="H568" s="178"/>
      <c r="J568" s="42"/>
      <c r="K568" s="178"/>
      <c r="L568" s="178"/>
      <c r="M568" s="178"/>
      <c r="N568" s="17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6"/>
      <c r="AV568" s="6"/>
      <c r="AW568" s="6"/>
      <c r="AX568" s="6"/>
    </row>
    <row r="569" spans="1:50" ht="15.75" customHeight="1" x14ac:dyDescent="0.3">
      <c r="A569" s="13"/>
      <c r="B569" s="13"/>
      <c r="C569" s="13"/>
      <c r="H569" s="178"/>
      <c r="J569" s="42"/>
      <c r="K569" s="178"/>
      <c r="L569" s="178"/>
      <c r="M569" s="178"/>
      <c r="N569" s="17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6"/>
      <c r="AV569" s="6"/>
      <c r="AW569" s="6"/>
      <c r="AX569" s="6"/>
    </row>
    <row r="570" spans="1:50" ht="15.75" customHeight="1" x14ac:dyDescent="0.3">
      <c r="A570" s="13"/>
      <c r="B570" s="13"/>
      <c r="C570" s="13"/>
      <c r="H570" s="178"/>
      <c r="J570" s="42"/>
      <c r="K570" s="178"/>
      <c r="L570" s="178"/>
      <c r="M570" s="178"/>
      <c r="N570" s="17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6"/>
      <c r="AV570" s="6"/>
      <c r="AW570" s="6"/>
      <c r="AX570" s="6"/>
    </row>
    <row r="571" spans="1:50" ht="15.75" customHeight="1" x14ac:dyDescent="0.3">
      <c r="A571" s="13"/>
      <c r="B571" s="13"/>
      <c r="C571" s="13"/>
      <c r="H571" s="178"/>
      <c r="J571" s="42"/>
      <c r="K571" s="178"/>
      <c r="L571" s="178"/>
      <c r="M571" s="178"/>
      <c r="N571" s="17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6"/>
      <c r="AV571" s="6"/>
      <c r="AW571" s="6"/>
      <c r="AX571" s="6"/>
    </row>
    <row r="572" spans="1:50" ht="15.75" customHeight="1" x14ac:dyDescent="0.3">
      <c r="A572" s="13"/>
      <c r="B572" s="13"/>
      <c r="C572" s="13"/>
      <c r="H572" s="178"/>
      <c r="J572" s="42"/>
      <c r="K572" s="178"/>
      <c r="L572" s="178"/>
      <c r="M572" s="178"/>
      <c r="N572" s="17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6"/>
      <c r="AV572" s="6"/>
      <c r="AW572" s="6"/>
      <c r="AX572" s="6"/>
    </row>
    <row r="573" spans="1:50" ht="15.75" customHeight="1" x14ac:dyDescent="0.3">
      <c r="A573" s="13"/>
      <c r="B573" s="13"/>
      <c r="C573" s="13"/>
      <c r="H573" s="178"/>
      <c r="J573" s="42"/>
      <c r="K573" s="178"/>
      <c r="L573" s="178"/>
      <c r="M573" s="178"/>
      <c r="N573" s="17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6"/>
      <c r="AV573" s="6"/>
      <c r="AW573" s="6"/>
      <c r="AX573" s="6"/>
    </row>
    <row r="574" spans="1:50" ht="15.75" customHeight="1" x14ac:dyDescent="0.3">
      <c r="A574" s="13"/>
      <c r="B574" s="13"/>
      <c r="C574" s="13"/>
      <c r="H574" s="178"/>
      <c r="J574" s="42"/>
      <c r="K574" s="178"/>
      <c r="L574" s="178"/>
      <c r="M574" s="178"/>
      <c r="N574" s="17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6"/>
      <c r="AV574" s="6"/>
      <c r="AW574" s="6"/>
      <c r="AX574" s="6"/>
    </row>
    <row r="575" spans="1:50" ht="15.75" customHeight="1" x14ac:dyDescent="0.3">
      <c r="A575" s="13"/>
      <c r="B575" s="13"/>
      <c r="C575" s="13"/>
      <c r="H575" s="178"/>
      <c r="J575" s="42"/>
      <c r="K575" s="178"/>
      <c r="L575" s="178"/>
      <c r="M575" s="178"/>
      <c r="N575" s="17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6"/>
      <c r="AV575" s="6"/>
      <c r="AW575" s="6"/>
      <c r="AX575" s="6"/>
    </row>
    <row r="576" spans="1:50" ht="15.75" customHeight="1" x14ac:dyDescent="0.3">
      <c r="A576" s="13"/>
      <c r="B576" s="13"/>
      <c r="C576" s="13"/>
      <c r="H576" s="178"/>
      <c r="J576" s="42"/>
      <c r="K576" s="178"/>
      <c r="L576" s="178"/>
      <c r="M576" s="178"/>
      <c r="N576" s="17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6"/>
      <c r="AV576" s="6"/>
      <c r="AW576" s="6"/>
      <c r="AX576" s="6"/>
    </row>
    <row r="577" spans="1:50" ht="15.75" customHeight="1" x14ac:dyDescent="0.3">
      <c r="A577" s="13"/>
      <c r="B577" s="13"/>
      <c r="C577" s="13"/>
      <c r="H577" s="178"/>
      <c r="J577" s="42"/>
      <c r="K577" s="178"/>
      <c r="L577" s="178"/>
      <c r="M577" s="178"/>
      <c r="N577" s="17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6"/>
      <c r="AV577" s="6"/>
      <c r="AW577" s="6"/>
      <c r="AX577" s="6"/>
    </row>
    <row r="578" spans="1:50" ht="15.75" customHeight="1" x14ac:dyDescent="0.3">
      <c r="A578" s="13"/>
      <c r="B578" s="13"/>
      <c r="C578" s="13"/>
      <c r="H578" s="178"/>
      <c r="J578" s="42"/>
      <c r="K578" s="178"/>
      <c r="L578" s="178"/>
      <c r="M578" s="178"/>
      <c r="N578" s="17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6"/>
      <c r="AV578" s="6"/>
      <c r="AW578" s="6"/>
      <c r="AX578" s="6"/>
    </row>
    <row r="579" spans="1:50" ht="15.75" customHeight="1" x14ac:dyDescent="0.3">
      <c r="A579" s="13"/>
      <c r="B579" s="13"/>
      <c r="C579" s="13"/>
      <c r="H579" s="178"/>
      <c r="J579" s="42"/>
      <c r="K579" s="178"/>
      <c r="L579" s="178"/>
      <c r="M579" s="178"/>
      <c r="N579" s="17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6"/>
      <c r="AV579" s="6"/>
      <c r="AW579" s="6"/>
      <c r="AX579" s="6"/>
    </row>
    <row r="580" spans="1:50" ht="15.75" customHeight="1" x14ac:dyDescent="0.3">
      <c r="A580" s="13"/>
      <c r="B580" s="13"/>
      <c r="C580" s="13"/>
      <c r="H580" s="178"/>
      <c r="J580" s="42"/>
      <c r="K580" s="178"/>
      <c r="L580" s="178"/>
      <c r="M580" s="178"/>
      <c r="N580" s="17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6"/>
      <c r="AV580" s="6"/>
      <c r="AW580" s="6"/>
      <c r="AX580" s="6"/>
    </row>
    <row r="581" spans="1:50" ht="15.75" customHeight="1" x14ac:dyDescent="0.3">
      <c r="A581" s="13"/>
      <c r="B581" s="13"/>
      <c r="C581" s="13"/>
      <c r="H581" s="178"/>
      <c r="J581" s="42"/>
      <c r="K581" s="178"/>
      <c r="L581" s="178"/>
      <c r="M581" s="178"/>
      <c r="N581" s="17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6"/>
      <c r="AV581" s="6"/>
      <c r="AW581" s="6"/>
      <c r="AX581" s="6"/>
    </row>
    <row r="582" spans="1:50" ht="15.75" customHeight="1" x14ac:dyDescent="0.3">
      <c r="A582" s="13"/>
      <c r="B582" s="13"/>
      <c r="C582" s="13"/>
      <c r="H582" s="178"/>
      <c r="J582" s="42"/>
      <c r="K582" s="178"/>
      <c r="L582" s="178"/>
      <c r="M582" s="178"/>
      <c r="N582" s="17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6"/>
      <c r="AV582" s="6"/>
      <c r="AW582" s="6"/>
      <c r="AX582" s="6"/>
    </row>
    <row r="583" spans="1:50" ht="15.75" customHeight="1" x14ac:dyDescent="0.3">
      <c r="A583" s="13"/>
      <c r="B583" s="13"/>
      <c r="C583" s="13"/>
      <c r="H583" s="178"/>
      <c r="J583" s="42"/>
      <c r="K583" s="178"/>
      <c r="L583" s="178"/>
      <c r="M583" s="178"/>
      <c r="N583" s="17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6"/>
      <c r="AV583" s="6"/>
      <c r="AW583" s="6"/>
      <c r="AX583" s="6"/>
    </row>
    <row r="584" spans="1:50" ht="15.75" customHeight="1" x14ac:dyDescent="0.3">
      <c r="A584" s="13"/>
      <c r="B584" s="13"/>
      <c r="C584" s="13"/>
      <c r="H584" s="178"/>
      <c r="J584" s="42"/>
      <c r="K584" s="178"/>
      <c r="L584" s="178"/>
      <c r="M584" s="178"/>
      <c r="N584" s="17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6"/>
      <c r="AV584" s="6"/>
      <c r="AW584" s="6"/>
      <c r="AX584" s="6"/>
    </row>
    <row r="585" spans="1:50" ht="15.75" customHeight="1" x14ac:dyDescent="0.3">
      <c r="A585" s="13"/>
      <c r="B585" s="13"/>
      <c r="C585" s="13"/>
      <c r="H585" s="178"/>
      <c r="J585" s="42"/>
      <c r="K585" s="178"/>
      <c r="L585" s="178"/>
      <c r="M585" s="178"/>
      <c r="N585" s="17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6"/>
      <c r="AV585" s="6"/>
      <c r="AW585" s="6"/>
      <c r="AX585" s="6"/>
    </row>
    <row r="586" spans="1:50" ht="15.75" customHeight="1" x14ac:dyDescent="0.3">
      <c r="A586" s="13"/>
      <c r="B586" s="13"/>
      <c r="C586" s="13"/>
      <c r="H586" s="178"/>
      <c r="J586" s="42"/>
      <c r="K586" s="178"/>
      <c r="L586" s="178"/>
      <c r="M586" s="178"/>
      <c r="N586" s="17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6"/>
      <c r="AV586" s="6"/>
      <c r="AW586" s="6"/>
      <c r="AX586" s="6"/>
    </row>
    <row r="587" spans="1:50" ht="15.75" customHeight="1" x14ac:dyDescent="0.3">
      <c r="A587" s="13"/>
      <c r="B587" s="13"/>
      <c r="C587" s="13"/>
      <c r="H587" s="178"/>
      <c r="J587" s="42"/>
      <c r="K587" s="178"/>
      <c r="L587" s="178"/>
      <c r="M587" s="178"/>
      <c r="N587" s="17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6"/>
      <c r="AV587" s="6"/>
      <c r="AW587" s="6"/>
      <c r="AX587" s="6"/>
    </row>
    <row r="588" spans="1:50" ht="15.75" customHeight="1" x14ac:dyDescent="0.3">
      <c r="A588" s="13"/>
      <c r="B588" s="13"/>
      <c r="C588" s="13"/>
      <c r="H588" s="178"/>
      <c r="J588" s="42"/>
      <c r="K588" s="178"/>
      <c r="L588" s="178"/>
      <c r="M588" s="178"/>
      <c r="N588" s="17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6"/>
      <c r="AV588" s="6"/>
      <c r="AW588" s="6"/>
      <c r="AX588" s="6"/>
    </row>
    <row r="589" spans="1:50" ht="15.75" customHeight="1" x14ac:dyDescent="0.3">
      <c r="A589" s="13"/>
      <c r="B589" s="13"/>
      <c r="C589" s="13"/>
      <c r="H589" s="178"/>
      <c r="J589" s="42"/>
      <c r="K589" s="178"/>
      <c r="L589" s="178"/>
      <c r="M589" s="178"/>
      <c r="N589" s="17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6"/>
      <c r="AV589" s="6"/>
      <c r="AW589" s="6"/>
      <c r="AX589" s="6"/>
    </row>
    <row r="590" spans="1:50" ht="15.75" customHeight="1" x14ac:dyDescent="0.3">
      <c r="A590" s="13"/>
      <c r="B590" s="13"/>
      <c r="C590" s="13"/>
      <c r="H590" s="178"/>
      <c r="J590" s="42"/>
      <c r="K590" s="178"/>
      <c r="L590" s="178"/>
      <c r="M590" s="178"/>
      <c r="N590" s="17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6"/>
      <c r="AV590" s="6"/>
      <c r="AW590" s="6"/>
      <c r="AX590" s="6"/>
    </row>
    <row r="591" spans="1:50" ht="15.75" customHeight="1" x14ac:dyDescent="0.3">
      <c r="A591" s="13"/>
      <c r="B591" s="13"/>
      <c r="C591" s="13"/>
      <c r="H591" s="178"/>
      <c r="J591" s="42"/>
      <c r="K591" s="178"/>
      <c r="L591" s="178"/>
      <c r="M591" s="178"/>
      <c r="N591" s="17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6"/>
      <c r="AV591" s="6"/>
      <c r="AW591" s="6"/>
      <c r="AX591" s="6"/>
    </row>
    <row r="592" spans="1:50" ht="15.75" customHeight="1" x14ac:dyDescent="0.3">
      <c r="A592" s="13"/>
      <c r="B592" s="13"/>
      <c r="C592" s="13"/>
      <c r="H592" s="178"/>
      <c r="J592" s="42"/>
      <c r="K592" s="178"/>
      <c r="L592" s="178"/>
      <c r="M592" s="178"/>
      <c r="N592" s="17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6"/>
      <c r="AV592" s="6"/>
      <c r="AW592" s="6"/>
      <c r="AX592" s="6"/>
    </row>
    <row r="593" spans="1:50" ht="15.75" customHeight="1" x14ac:dyDescent="0.3">
      <c r="A593" s="13"/>
      <c r="B593" s="13"/>
      <c r="C593" s="13"/>
      <c r="H593" s="178"/>
      <c r="J593" s="42"/>
      <c r="K593" s="178"/>
      <c r="L593" s="178"/>
      <c r="M593" s="178"/>
      <c r="N593" s="17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6"/>
      <c r="AV593" s="6"/>
      <c r="AW593" s="6"/>
      <c r="AX593" s="6"/>
    </row>
    <row r="594" spans="1:50" ht="15.75" customHeight="1" x14ac:dyDescent="0.3">
      <c r="A594" s="13"/>
      <c r="B594" s="13"/>
      <c r="C594" s="13"/>
      <c r="H594" s="178"/>
      <c r="J594" s="42"/>
      <c r="K594" s="178"/>
      <c r="L594" s="178"/>
      <c r="M594" s="178"/>
      <c r="N594" s="17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6"/>
      <c r="AV594" s="6"/>
      <c r="AW594" s="6"/>
      <c r="AX594" s="6"/>
    </row>
    <row r="595" spans="1:50" ht="15.75" customHeight="1" x14ac:dyDescent="0.3">
      <c r="A595" s="13"/>
      <c r="B595" s="13"/>
      <c r="C595" s="13"/>
      <c r="H595" s="178"/>
      <c r="J595" s="42"/>
      <c r="K595" s="178"/>
      <c r="L595" s="178"/>
      <c r="M595" s="178"/>
      <c r="N595" s="17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6"/>
      <c r="AV595" s="6"/>
      <c r="AW595" s="6"/>
      <c r="AX595" s="6"/>
    </row>
    <row r="596" spans="1:50" ht="15.75" customHeight="1" x14ac:dyDescent="0.3">
      <c r="A596" s="13"/>
      <c r="B596" s="13"/>
      <c r="C596" s="13"/>
      <c r="H596" s="178"/>
      <c r="J596" s="42"/>
      <c r="K596" s="178"/>
      <c r="L596" s="178"/>
      <c r="M596" s="178"/>
      <c r="N596" s="17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6"/>
      <c r="AV596" s="6"/>
      <c r="AW596" s="6"/>
      <c r="AX596" s="6"/>
    </row>
    <row r="597" spans="1:50" ht="15.75" customHeight="1" x14ac:dyDescent="0.3">
      <c r="A597" s="13"/>
      <c r="B597" s="13"/>
      <c r="C597" s="13"/>
      <c r="H597" s="178"/>
      <c r="J597" s="42"/>
      <c r="K597" s="178"/>
      <c r="L597" s="178"/>
      <c r="M597" s="178"/>
      <c r="N597" s="17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6"/>
      <c r="AV597" s="6"/>
      <c r="AW597" s="6"/>
      <c r="AX597" s="6"/>
    </row>
    <row r="598" spans="1:50" ht="15.75" customHeight="1" x14ac:dyDescent="0.3">
      <c r="A598" s="13"/>
      <c r="B598" s="13"/>
      <c r="C598" s="13"/>
      <c r="H598" s="178"/>
      <c r="J598" s="42"/>
      <c r="K598" s="178"/>
      <c r="L598" s="178"/>
      <c r="M598" s="178"/>
      <c r="N598" s="17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6"/>
      <c r="AV598" s="6"/>
      <c r="AW598" s="6"/>
      <c r="AX598" s="6"/>
    </row>
    <row r="599" spans="1:50" ht="15.75" customHeight="1" x14ac:dyDescent="0.3">
      <c r="A599" s="13"/>
      <c r="B599" s="13"/>
      <c r="C599" s="13"/>
      <c r="H599" s="178"/>
      <c r="J599" s="42"/>
      <c r="K599" s="178"/>
      <c r="L599" s="178"/>
      <c r="M599" s="178"/>
      <c r="N599" s="17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6"/>
      <c r="AV599" s="6"/>
      <c r="AW599" s="6"/>
      <c r="AX599" s="6"/>
    </row>
    <row r="600" spans="1:50" ht="15.75" customHeight="1" x14ac:dyDescent="0.3">
      <c r="A600" s="13"/>
      <c r="B600" s="13"/>
      <c r="C600" s="13"/>
      <c r="H600" s="178"/>
      <c r="J600" s="42"/>
      <c r="K600" s="178"/>
      <c r="L600" s="178"/>
      <c r="M600" s="178"/>
      <c r="N600" s="17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6"/>
      <c r="AV600" s="6"/>
      <c r="AW600" s="6"/>
      <c r="AX600" s="6"/>
    </row>
    <row r="601" spans="1:50" ht="15.75" customHeight="1" x14ac:dyDescent="0.3">
      <c r="A601" s="13"/>
      <c r="B601" s="13"/>
      <c r="C601" s="13"/>
      <c r="H601" s="178"/>
      <c r="J601" s="42"/>
      <c r="K601" s="178"/>
      <c r="L601" s="178"/>
      <c r="M601" s="178"/>
      <c r="N601" s="17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6"/>
      <c r="AV601" s="6"/>
      <c r="AW601" s="6"/>
      <c r="AX601" s="6"/>
    </row>
    <row r="602" spans="1:50" ht="15.75" customHeight="1" x14ac:dyDescent="0.3">
      <c r="A602" s="13"/>
      <c r="B602" s="13"/>
      <c r="C602" s="13"/>
      <c r="H602" s="178"/>
      <c r="J602" s="42"/>
      <c r="K602" s="178"/>
      <c r="L602" s="178"/>
      <c r="M602" s="178"/>
      <c r="N602" s="17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6"/>
      <c r="AV602" s="6"/>
      <c r="AW602" s="6"/>
      <c r="AX602" s="6"/>
    </row>
    <row r="603" spans="1:50" ht="15.75" customHeight="1" x14ac:dyDescent="0.3">
      <c r="A603" s="13"/>
      <c r="B603" s="13"/>
      <c r="C603" s="13"/>
      <c r="H603" s="178"/>
      <c r="J603" s="42"/>
      <c r="K603" s="178"/>
      <c r="L603" s="178"/>
      <c r="M603" s="178"/>
      <c r="N603" s="17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6"/>
      <c r="AV603" s="6"/>
      <c r="AW603" s="6"/>
      <c r="AX603" s="6"/>
    </row>
    <row r="604" spans="1:50" ht="15.75" customHeight="1" x14ac:dyDescent="0.3">
      <c r="A604" s="13"/>
      <c r="B604" s="13"/>
      <c r="C604" s="13"/>
      <c r="H604" s="178"/>
      <c r="J604" s="42"/>
      <c r="K604" s="178"/>
      <c r="L604" s="178"/>
      <c r="M604" s="178"/>
      <c r="N604" s="17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6"/>
      <c r="AV604" s="6"/>
      <c r="AW604" s="6"/>
      <c r="AX604" s="6"/>
    </row>
    <row r="605" spans="1:50" ht="15.75" customHeight="1" x14ac:dyDescent="0.3">
      <c r="A605" s="13"/>
      <c r="B605" s="13"/>
      <c r="C605" s="13"/>
      <c r="H605" s="178"/>
      <c r="J605" s="42"/>
      <c r="K605" s="178"/>
      <c r="L605" s="178"/>
      <c r="M605" s="178"/>
      <c r="N605" s="17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6"/>
      <c r="AV605" s="6"/>
      <c r="AW605" s="6"/>
      <c r="AX605" s="6"/>
    </row>
    <row r="606" spans="1:50" ht="15.75" customHeight="1" x14ac:dyDescent="0.3">
      <c r="A606" s="13"/>
      <c r="B606" s="13"/>
      <c r="C606" s="13"/>
      <c r="H606" s="178"/>
      <c r="J606" s="42"/>
      <c r="K606" s="178"/>
      <c r="L606" s="178"/>
      <c r="M606" s="178"/>
      <c r="N606" s="17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6"/>
      <c r="AV606" s="6"/>
      <c r="AW606" s="6"/>
      <c r="AX606" s="6"/>
    </row>
    <row r="607" spans="1:50" ht="15.75" customHeight="1" x14ac:dyDescent="0.3">
      <c r="A607" s="13"/>
      <c r="B607" s="13"/>
      <c r="C607" s="13"/>
      <c r="H607" s="178"/>
      <c r="J607" s="42"/>
      <c r="K607" s="178"/>
      <c r="L607" s="178"/>
      <c r="M607" s="178"/>
      <c r="N607" s="17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6"/>
      <c r="AV607" s="6"/>
      <c r="AW607" s="6"/>
      <c r="AX607" s="6"/>
    </row>
    <row r="608" spans="1:50" ht="15.75" customHeight="1" x14ac:dyDescent="0.3">
      <c r="A608" s="13"/>
      <c r="B608" s="13"/>
      <c r="C608" s="13"/>
      <c r="H608" s="178"/>
      <c r="J608" s="42"/>
      <c r="K608" s="178"/>
      <c r="L608" s="178"/>
      <c r="M608" s="178"/>
      <c r="N608" s="17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6"/>
      <c r="AV608" s="6"/>
      <c r="AW608" s="6"/>
      <c r="AX608" s="6"/>
    </row>
    <row r="609" spans="1:50" ht="15.75" customHeight="1" x14ac:dyDescent="0.3">
      <c r="A609" s="13"/>
      <c r="B609" s="13"/>
      <c r="C609" s="13"/>
      <c r="H609" s="178"/>
      <c r="J609" s="42"/>
      <c r="K609" s="178"/>
      <c r="L609" s="178"/>
      <c r="M609" s="178"/>
      <c r="N609" s="17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6"/>
      <c r="AV609" s="6"/>
      <c r="AW609" s="6"/>
      <c r="AX609" s="6"/>
    </row>
    <row r="610" spans="1:50" ht="15.75" customHeight="1" x14ac:dyDescent="0.3">
      <c r="A610" s="13"/>
      <c r="B610" s="13"/>
      <c r="C610" s="13"/>
      <c r="H610" s="178"/>
      <c r="J610" s="42"/>
      <c r="K610" s="178"/>
      <c r="L610" s="178"/>
      <c r="M610" s="178"/>
      <c r="N610" s="17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6"/>
      <c r="AV610" s="6"/>
      <c r="AW610" s="6"/>
      <c r="AX610" s="6"/>
    </row>
    <row r="611" spans="1:50" ht="15.75" customHeight="1" x14ac:dyDescent="0.3">
      <c r="A611" s="13"/>
      <c r="B611" s="13"/>
      <c r="C611" s="13"/>
      <c r="H611" s="178"/>
      <c r="J611" s="42"/>
      <c r="K611" s="178"/>
      <c r="L611" s="178"/>
      <c r="M611" s="178"/>
      <c r="N611" s="17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6"/>
      <c r="AV611" s="6"/>
      <c r="AW611" s="6"/>
      <c r="AX611" s="6"/>
    </row>
    <row r="612" spans="1:50" ht="15.75" customHeight="1" x14ac:dyDescent="0.3">
      <c r="A612" s="13"/>
      <c r="B612" s="13"/>
      <c r="C612" s="13"/>
      <c r="H612" s="178"/>
      <c r="J612" s="42"/>
      <c r="K612" s="178"/>
      <c r="L612" s="178"/>
      <c r="M612" s="178"/>
      <c r="N612" s="17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6"/>
      <c r="AV612" s="6"/>
      <c r="AW612" s="6"/>
      <c r="AX612" s="6"/>
    </row>
    <row r="613" spans="1:50" ht="15.75" customHeight="1" x14ac:dyDescent="0.3">
      <c r="A613" s="13"/>
      <c r="B613" s="13"/>
      <c r="C613" s="13"/>
      <c r="H613" s="178"/>
      <c r="J613" s="42"/>
      <c r="K613" s="178"/>
      <c r="L613" s="178"/>
      <c r="M613" s="178"/>
      <c r="N613" s="17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6"/>
      <c r="AV613" s="6"/>
      <c r="AW613" s="6"/>
      <c r="AX613" s="6"/>
    </row>
    <row r="614" spans="1:50" ht="15.75" customHeight="1" x14ac:dyDescent="0.3">
      <c r="A614" s="13"/>
      <c r="B614" s="13"/>
      <c r="C614" s="13"/>
      <c r="H614" s="178"/>
      <c r="J614" s="42"/>
      <c r="K614" s="178"/>
      <c r="L614" s="178"/>
      <c r="M614" s="178"/>
      <c r="N614" s="17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6"/>
      <c r="AV614" s="6"/>
      <c r="AW614" s="6"/>
      <c r="AX614" s="6"/>
    </row>
    <row r="615" spans="1:50" ht="15.75" customHeight="1" x14ac:dyDescent="0.3">
      <c r="A615" s="13"/>
      <c r="B615" s="13"/>
      <c r="C615" s="13"/>
      <c r="H615" s="178"/>
      <c r="J615" s="42"/>
      <c r="K615" s="178"/>
      <c r="L615" s="178"/>
      <c r="M615" s="178"/>
      <c r="N615" s="17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6"/>
      <c r="AV615" s="6"/>
      <c r="AW615" s="6"/>
      <c r="AX615" s="6"/>
    </row>
    <row r="616" spans="1:50" ht="15.75" customHeight="1" x14ac:dyDescent="0.3">
      <c r="A616" s="13"/>
      <c r="B616" s="13"/>
      <c r="C616" s="13"/>
      <c r="H616" s="178"/>
      <c r="J616" s="42"/>
      <c r="K616" s="178"/>
      <c r="L616" s="178"/>
      <c r="M616" s="178"/>
      <c r="N616" s="17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6"/>
      <c r="AV616" s="6"/>
      <c r="AW616" s="6"/>
      <c r="AX616" s="6"/>
    </row>
    <row r="617" spans="1:50" ht="15.75" customHeight="1" x14ac:dyDescent="0.3">
      <c r="A617" s="13"/>
      <c r="B617" s="13"/>
      <c r="C617" s="13"/>
      <c r="H617" s="178"/>
      <c r="J617" s="42"/>
      <c r="K617" s="178"/>
      <c r="L617" s="178"/>
      <c r="M617" s="178"/>
      <c r="N617" s="17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6"/>
      <c r="AV617" s="6"/>
      <c r="AW617" s="6"/>
      <c r="AX617" s="6"/>
    </row>
    <row r="618" spans="1:50" ht="15.75" customHeight="1" x14ac:dyDescent="0.3">
      <c r="A618" s="13"/>
      <c r="B618" s="13"/>
      <c r="C618" s="13"/>
      <c r="H618" s="178"/>
      <c r="J618" s="42"/>
      <c r="K618" s="178"/>
      <c r="L618" s="178"/>
      <c r="M618" s="178"/>
      <c r="N618" s="17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6"/>
      <c r="AV618" s="6"/>
      <c r="AW618" s="6"/>
      <c r="AX618" s="6"/>
    </row>
    <row r="619" spans="1:50" ht="15.75" customHeight="1" x14ac:dyDescent="0.3">
      <c r="A619" s="13"/>
      <c r="B619" s="13"/>
      <c r="C619" s="13"/>
      <c r="H619" s="178"/>
      <c r="J619" s="42"/>
      <c r="K619" s="178"/>
      <c r="L619" s="178"/>
      <c r="M619" s="178"/>
      <c r="N619" s="17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6"/>
      <c r="AV619" s="6"/>
      <c r="AW619" s="6"/>
      <c r="AX619" s="6"/>
    </row>
    <row r="620" spans="1:50" ht="15.75" customHeight="1" x14ac:dyDescent="0.3">
      <c r="A620" s="13"/>
      <c r="B620" s="13"/>
      <c r="C620" s="13"/>
      <c r="H620" s="178"/>
      <c r="J620" s="42"/>
      <c r="K620" s="178"/>
      <c r="L620" s="178"/>
      <c r="M620" s="178"/>
      <c r="N620" s="17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6"/>
      <c r="AV620" s="6"/>
      <c r="AW620" s="6"/>
      <c r="AX620" s="6"/>
    </row>
    <row r="621" spans="1:50" ht="15.75" customHeight="1" x14ac:dyDescent="0.3">
      <c r="A621" s="13"/>
      <c r="B621" s="13"/>
      <c r="C621" s="13"/>
      <c r="H621" s="178"/>
      <c r="J621" s="42"/>
      <c r="K621" s="178"/>
      <c r="L621" s="178"/>
      <c r="M621" s="178"/>
      <c r="N621" s="17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6"/>
      <c r="AV621" s="6"/>
      <c r="AW621" s="6"/>
      <c r="AX621" s="6"/>
    </row>
    <row r="622" spans="1:50" ht="15.75" customHeight="1" x14ac:dyDescent="0.3">
      <c r="A622" s="13"/>
      <c r="B622" s="13"/>
      <c r="C622" s="13"/>
      <c r="H622" s="178"/>
      <c r="J622" s="42"/>
      <c r="K622" s="178"/>
      <c r="L622" s="178"/>
      <c r="M622" s="178"/>
      <c r="N622" s="17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6"/>
      <c r="AV622" s="6"/>
      <c r="AW622" s="6"/>
      <c r="AX622" s="6"/>
    </row>
    <row r="623" spans="1:50" ht="15.75" customHeight="1" x14ac:dyDescent="0.3">
      <c r="A623" s="13"/>
      <c r="B623" s="13"/>
      <c r="C623" s="13"/>
      <c r="H623" s="178"/>
      <c r="J623" s="42"/>
      <c r="K623" s="178"/>
      <c r="L623" s="178"/>
      <c r="M623" s="178"/>
      <c r="N623" s="17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6"/>
      <c r="AV623" s="6"/>
      <c r="AW623" s="6"/>
      <c r="AX623" s="6"/>
    </row>
    <row r="624" spans="1:50" ht="15.75" customHeight="1" x14ac:dyDescent="0.3">
      <c r="A624" s="13"/>
      <c r="B624" s="13"/>
      <c r="C624" s="13"/>
      <c r="H624" s="178"/>
      <c r="J624" s="42"/>
      <c r="K624" s="178"/>
      <c r="L624" s="178"/>
      <c r="M624" s="178"/>
      <c r="N624" s="17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6"/>
      <c r="AV624" s="6"/>
      <c r="AW624" s="6"/>
      <c r="AX624" s="6"/>
    </row>
    <row r="625" spans="1:50" ht="15.75" customHeight="1" x14ac:dyDescent="0.3">
      <c r="A625" s="13"/>
      <c r="B625" s="13"/>
      <c r="C625" s="13"/>
      <c r="H625" s="178"/>
      <c r="J625" s="42"/>
      <c r="K625" s="178"/>
      <c r="L625" s="178"/>
      <c r="M625" s="178"/>
      <c r="N625" s="17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6"/>
      <c r="AV625" s="6"/>
      <c r="AW625" s="6"/>
      <c r="AX625" s="6"/>
    </row>
    <row r="626" spans="1:50" ht="15.75" customHeight="1" x14ac:dyDescent="0.3">
      <c r="A626" s="13"/>
      <c r="B626" s="13"/>
      <c r="C626" s="13"/>
      <c r="H626" s="178"/>
      <c r="J626" s="42"/>
      <c r="K626" s="178"/>
      <c r="L626" s="178"/>
      <c r="M626" s="178"/>
      <c r="N626" s="17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6"/>
      <c r="AV626" s="6"/>
      <c r="AW626" s="6"/>
      <c r="AX626" s="6"/>
    </row>
    <row r="627" spans="1:50" ht="15.75" customHeight="1" x14ac:dyDescent="0.3">
      <c r="A627" s="13"/>
      <c r="B627" s="13"/>
      <c r="C627" s="13"/>
      <c r="H627" s="178"/>
      <c r="J627" s="42"/>
      <c r="K627" s="178"/>
      <c r="L627" s="178"/>
      <c r="M627" s="178"/>
      <c r="N627" s="17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6"/>
      <c r="AV627" s="6"/>
      <c r="AW627" s="6"/>
      <c r="AX627" s="6"/>
    </row>
    <row r="628" spans="1:50" ht="15.75" customHeight="1" x14ac:dyDescent="0.3">
      <c r="A628" s="13"/>
      <c r="B628" s="13"/>
      <c r="C628" s="13"/>
      <c r="H628" s="178"/>
      <c r="J628" s="42"/>
      <c r="K628" s="178"/>
      <c r="L628" s="178"/>
      <c r="M628" s="178"/>
      <c r="N628" s="17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6"/>
      <c r="AV628" s="6"/>
      <c r="AW628" s="6"/>
      <c r="AX628" s="6"/>
    </row>
    <row r="629" spans="1:50" ht="15.75" customHeight="1" x14ac:dyDescent="0.3">
      <c r="A629" s="13"/>
      <c r="B629" s="13"/>
      <c r="C629" s="13"/>
      <c r="H629" s="178"/>
      <c r="J629" s="42"/>
      <c r="K629" s="178"/>
      <c r="L629" s="178"/>
      <c r="M629" s="178"/>
      <c r="N629" s="17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6"/>
      <c r="AV629" s="6"/>
      <c r="AW629" s="6"/>
      <c r="AX629" s="6"/>
    </row>
    <row r="630" spans="1:50" ht="15.75" customHeight="1" x14ac:dyDescent="0.3">
      <c r="A630" s="13"/>
      <c r="B630" s="13"/>
      <c r="C630" s="13"/>
      <c r="H630" s="178"/>
      <c r="J630" s="42"/>
      <c r="K630" s="178"/>
      <c r="L630" s="178"/>
      <c r="M630" s="178"/>
      <c r="N630" s="17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6"/>
      <c r="AV630" s="6"/>
      <c r="AW630" s="6"/>
      <c r="AX630" s="6"/>
    </row>
    <row r="631" spans="1:50" ht="15.75" customHeight="1" x14ac:dyDescent="0.3">
      <c r="A631" s="13"/>
      <c r="B631" s="13"/>
      <c r="C631" s="13"/>
      <c r="H631" s="178"/>
      <c r="J631" s="42"/>
      <c r="K631" s="178"/>
      <c r="L631" s="178"/>
      <c r="M631" s="178"/>
      <c r="N631" s="17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6"/>
      <c r="AV631" s="6"/>
      <c r="AW631" s="6"/>
      <c r="AX631" s="6"/>
    </row>
    <row r="632" spans="1:50" ht="15.75" customHeight="1" x14ac:dyDescent="0.3">
      <c r="A632" s="13"/>
      <c r="B632" s="13"/>
      <c r="C632" s="13"/>
      <c r="H632" s="178"/>
      <c r="J632" s="42"/>
      <c r="K632" s="178"/>
      <c r="L632" s="178"/>
      <c r="M632" s="178"/>
      <c r="N632" s="17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6"/>
      <c r="AV632" s="6"/>
      <c r="AW632" s="6"/>
      <c r="AX632" s="6"/>
    </row>
    <row r="633" spans="1:50" ht="15.75" customHeight="1" x14ac:dyDescent="0.3">
      <c r="A633" s="13"/>
      <c r="B633" s="13"/>
      <c r="C633" s="13"/>
      <c r="H633" s="178"/>
      <c r="J633" s="42"/>
      <c r="K633" s="178"/>
      <c r="L633" s="178"/>
      <c r="M633" s="178"/>
      <c r="N633" s="17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6"/>
      <c r="AV633" s="6"/>
      <c r="AW633" s="6"/>
      <c r="AX633" s="6"/>
    </row>
    <row r="634" spans="1:50" ht="15.75" customHeight="1" x14ac:dyDescent="0.3">
      <c r="A634" s="13"/>
      <c r="B634" s="13"/>
      <c r="C634" s="13"/>
      <c r="H634" s="178"/>
      <c r="J634" s="42"/>
      <c r="K634" s="178"/>
      <c r="L634" s="178"/>
      <c r="M634" s="178"/>
      <c r="N634" s="17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6"/>
      <c r="AV634" s="6"/>
      <c r="AW634" s="6"/>
      <c r="AX634" s="6"/>
    </row>
    <row r="635" spans="1:50" ht="15.75" customHeight="1" x14ac:dyDescent="0.3">
      <c r="A635" s="13"/>
      <c r="B635" s="13"/>
      <c r="C635" s="13"/>
      <c r="H635" s="178"/>
      <c r="J635" s="42"/>
      <c r="K635" s="178"/>
      <c r="L635" s="178"/>
      <c r="M635" s="178"/>
      <c r="N635" s="17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6"/>
      <c r="AV635" s="6"/>
      <c r="AW635" s="6"/>
      <c r="AX635" s="6"/>
    </row>
    <row r="636" spans="1:50" ht="15.75" customHeight="1" x14ac:dyDescent="0.3">
      <c r="A636" s="13"/>
      <c r="B636" s="13"/>
      <c r="C636" s="13"/>
      <c r="H636" s="178"/>
      <c r="J636" s="42"/>
      <c r="K636" s="178"/>
      <c r="L636" s="178"/>
      <c r="M636" s="178"/>
      <c r="N636" s="17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6"/>
      <c r="AV636" s="6"/>
      <c r="AW636" s="6"/>
      <c r="AX636" s="6"/>
    </row>
    <row r="637" spans="1:50" ht="15.75" customHeight="1" x14ac:dyDescent="0.3">
      <c r="A637" s="13"/>
      <c r="B637" s="13"/>
      <c r="C637" s="13"/>
      <c r="H637" s="178"/>
      <c r="J637" s="42"/>
      <c r="K637" s="178"/>
      <c r="L637" s="178"/>
      <c r="M637" s="178"/>
      <c r="N637" s="17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6"/>
      <c r="AV637" s="6"/>
      <c r="AW637" s="6"/>
      <c r="AX637" s="6"/>
    </row>
    <row r="638" spans="1:50" ht="15.75" customHeight="1" x14ac:dyDescent="0.3">
      <c r="A638" s="13"/>
      <c r="B638" s="13"/>
      <c r="C638" s="13"/>
      <c r="H638" s="178"/>
      <c r="J638" s="42"/>
      <c r="K638" s="178"/>
      <c r="L638" s="178"/>
      <c r="M638" s="178"/>
      <c r="N638" s="17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6"/>
      <c r="AV638" s="6"/>
      <c r="AW638" s="6"/>
      <c r="AX638" s="6"/>
    </row>
    <row r="639" spans="1:50" ht="15.75" customHeight="1" x14ac:dyDescent="0.3">
      <c r="A639" s="13"/>
      <c r="B639" s="13"/>
      <c r="C639" s="13"/>
      <c r="H639" s="178"/>
      <c r="J639" s="42"/>
      <c r="K639" s="178"/>
      <c r="L639" s="178"/>
      <c r="M639" s="178"/>
      <c r="N639" s="17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6"/>
      <c r="AV639" s="6"/>
      <c r="AW639" s="6"/>
      <c r="AX639" s="6"/>
    </row>
    <row r="640" spans="1:50" ht="15.75" customHeight="1" x14ac:dyDescent="0.3">
      <c r="A640" s="13"/>
      <c r="B640" s="13"/>
      <c r="C640" s="13"/>
      <c r="H640" s="178"/>
      <c r="J640" s="42"/>
      <c r="K640" s="178"/>
      <c r="L640" s="178"/>
      <c r="M640" s="178"/>
      <c r="N640" s="17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6"/>
      <c r="AV640" s="6"/>
      <c r="AW640" s="6"/>
      <c r="AX640" s="6"/>
    </row>
    <row r="641" spans="1:50" ht="15.75" customHeight="1" x14ac:dyDescent="0.3">
      <c r="A641" s="13"/>
      <c r="B641" s="13"/>
      <c r="C641" s="13"/>
      <c r="H641" s="178"/>
      <c r="J641" s="42"/>
      <c r="K641" s="178"/>
      <c r="L641" s="178"/>
      <c r="M641" s="178"/>
      <c r="N641" s="17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6"/>
      <c r="AV641" s="6"/>
      <c r="AW641" s="6"/>
      <c r="AX641" s="6"/>
    </row>
    <row r="642" spans="1:50" ht="15.75" customHeight="1" x14ac:dyDescent="0.3">
      <c r="A642" s="13"/>
      <c r="B642" s="13"/>
      <c r="C642" s="13"/>
      <c r="H642" s="178"/>
      <c r="J642" s="42"/>
      <c r="K642" s="178"/>
      <c r="L642" s="178"/>
      <c r="M642" s="178"/>
      <c r="N642" s="17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6"/>
      <c r="AV642" s="6"/>
      <c r="AW642" s="6"/>
      <c r="AX642" s="6"/>
    </row>
    <row r="643" spans="1:50" ht="15.75" customHeight="1" x14ac:dyDescent="0.3">
      <c r="A643" s="13"/>
      <c r="B643" s="13"/>
      <c r="C643" s="13"/>
      <c r="H643" s="178"/>
      <c r="J643" s="42"/>
      <c r="K643" s="178"/>
      <c r="L643" s="178"/>
      <c r="M643" s="178"/>
      <c r="N643" s="17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6"/>
      <c r="AV643" s="6"/>
      <c r="AW643" s="6"/>
      <c r="AX643" s="6"/>
    </row>
    <row r="644" spans="1:50" ht="15.75" customHeight="1" x14ac:dyDescent="0.3">
      <c r="A644" s="13"/>
      <c r="B644" s="13"/>
      <c r="C644" s="13"/>
      <c r="H644" s="178"/>
      <c r="J644" s="42"/>
      <c r="K644" s="178"/>
      <c r="L644" s="178"/>
      <c r="M644" s="178"/>
      <c r="N644" s="17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6"/>
      <c r="AV644" s="6"/>
      <c r="AW644" s="6"/>
      <c r="AX644" s="6"/>
    </row>
    <row r="645" spans="1:50" ht="15.75" customHeight="1" x14ac:dyDescent="0.3">
      <c r="A645" s="13"/>
      <c r="B645" s="13"/>
      <c r="C645" s="13"/>
      <c r="H645" s="178"/>
      <c r="J645" s="42"/>
      <c r="K645" s="178"/>
      <c r="L645" s="178"/>
      <c r="M645" s="178"/>
      <c r="N645" s="17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6"/>
      <c r="AV645" s="6"/>
      <c r="AW645" s="6"/>
      <c r="AX645" s="6"/>
    </row>
    <row r="646" spans="1:50" ht="15.75" customHeight="1" x14ac:dyDescent="0.3">
      <c r="A646" s="13"/>
      <c r="B646" s="13"/>
      <c r="C646" s="13"/>
      <c r="H646" s="178"/>
      <c r="J646" s="42"/>
      <c r="K646" s="178"/>
      <c r="L646" s="178"/>
      <c r="M646" s="178"/>
      <c r="N646" s="17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6"/>
      <c r="AV646" s="6"/>
      <c r="AW646" s="6"/>
      <c r="AX646" s="6"/>
    </row>
    <row r="647" spans="1:50" ht="15.75" customHeight="1" x14ac:dyDescent="0.3">
      <c r="A647" s="13"/>
      <c r="B647" s="13"/>
      <c r="C647" s="13"/>
      <c r="H647" s="178"/>
      <c r="J647" s="42"/>
      <c r="K647" s="178"/>
      <c r="L647" s="178"/>
      <c r="M647" s="178"/>
      <c r="N647" s="17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6"/>
      <c r="AV647" s="6"/>
      <c r="AW647" s="6"/>
      <c r="AX647" s="6"/>
    </row>
    <row r="648" spans="1:50" ht="15.75" customHeight="1" x14ac:dyDescent="0.3">
      <c r="A648" s="13"/>
      <c r="B648" s="13"/>
      <c r="C648" s="13"/>
      <c r="H648" s="178"/>
      <c r="J648" s="42"/>
      <c r="K648" s="178"/>
      <c r="L648" s="178"/>
      <c r="M648" s="178"/>
      <c r="N648" s="17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6"/>
      <c r="AV648" s="6"/>
      <c r="AW648" s="6"/>
      <c r="AX648" s="6"/>
    </row>
    <row r="649" spans="1:50" ht="15.75" customHeight="1" x14ac:dyDescent="0.3">
      <c r="A649" s="13"/>
      <c r="B649" s="13"/>
      <c r="C649" s="13"/>
      <c r="H649" s="178"/>
      <c r="J649" s="42"/>
      <c r="K649" s="178"/>
      <c r="L649" s="178"/>
      <c r="M649" s="178"/>
      <c r="N649" s="17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6"/>
      <c r="AV649" s="6"/>
      <c r="AW649" s="6"/>
      <c r="AX649" s="6"/>
    </row>
    <row r="650" spans="1:50" ht="15.75" customHeight="1" x14ac:dyDescent="0.3">
      <c r="A650" s="13"/>
      <c r="B650" s="13"/>
      <c r="C650" s="13"/>
      <c r="H650" s="178"/>
      <c r="J650" s="42"/>
      <c r="K650" s="178"/>
      <c r="L650" s="178"/>
      <c r="M650" s="178"/>
      <c r="N650" s="17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6"/>
      <c r="AV650" s="6"/>
      <c r="AW650" s="6"/>
      <c r="AX650" s="6"/>
    </row>
    <row r="651" spans="1:50" ht="15.75" customHeight="1" x14ac:dyDescent="0.3">
      <c r="A651" s="13"/>
      <c r="B651" s="13"/>
      <c r="C651" s="13"/>
      <c r="H651" s="178"/>
      <c r="J651" s="42"/>
      <c r="K651" s="178"/>
      <c r="L651" s="178"/>
      <c r="M651" s="178"/>
      <c r="N651" s="17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6"/>
      <c r="AV651" s="6"/>
      <c r="AW651" s="6"/>
      <c r="AX651" s="6"/>
    </row>
    <row r="652" spans="1:50" ht="15.75" customHeight="1" x14ac:dyDescent="0.3">
      <c r="A652" s="13"/>
      <c r="B652" s="13"/>
      <c r="C652" s="13"/>
      <c r="H652" s="178"/>
      <c r="J652" s="42"/>
      <c r="K652" s="178"/>
      <c r="L652" s="178"/>
      <c r="M652" s="178"/>
      <c r="N652" s="17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6"/>
      <c r="AV652" s="6"/>
      <c r="AW652" s="6"/>
      <c r="AX652" s="6"/>
    </row>
    <row r="653" spans="1:50" ht="15.75" customHeight="1" x14ac:dyDescent="0.3">
      <c r="A653" s="13"/>
      <c r="B653" s="13"/>
      <c r="C653" s="13"/>
      <c r="H653" s="178"/>
      <c r="J653" s="42"/>
      <c r="K653" s="178"/>
      <c r="L653" s="178"/>
      <c r="M653" s="178"/>
      <c r="N653" s="17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6"/>
      <c r="AV653" s="6"/>
      <c r="AW653" s="6"/>
      <c r="AX653" s="6"/>
    </row>
    <row r="654" spans="1:50" ht="15.75" customHeight="1" x14ac:dyDescent="0.3">
      <c r="A654" s="13"/>
      <c r="B654" s="13"/>
      <c r="C654" s="13"/>
      <c r="H654" s="178"/>
      <c r="J654" s="42"/>
      <c r="K654" s="178"/>
      <c r="L654" s="178"/>
      <c r="M654" s="178"/>
      <c r="N654" s="17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6"/>
      <c r="AV654" s="6"/>
      <c r="AW654" s="6"/>
      <c r="AX654" s="6"/>
    </row>
    <row r="655" spans="1:50" ht="15.75" customHeight="1" x14ac:dyDescent="0.3">
      <c r="A655" s="13"/>
      <c r="B655" s="13"/>
      <c r="C655" s="13"/>
      <c r="H655" s="178"/>
      <c r="J655" s="42"/>
      <c r="K655" s="178"/>
      <c r="L655" s="178"/>
      <c r="M655" s="178"/>
      <c r="N655" s="17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6"/>
      <c r="AV655" s="6"/>
      <c r="AW655" s="6"/>
      <c r="AX655" s="6"/>
    </row>
    <row r="656" spans="1:50" ht="15.75" customHeight="1" x14ac:dyDescent="0.3">
      <c r="A656" s="13"/>
      <c r="B656" s="13"/>
      <c r="C656" s="13"/>
      <c r="H656" s="178"/>
      <c r="J656" s="42"/>
      <c r="K656" s="178"/>
      <c r="L656" s="178"/>
      <c r="M656" s="178"/>
      <c r="N656" s="17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6"/>
      <c r="AV656" s="6"/>
      <c r="AW656" s="6"/>
      <c r="AX656" s="6"/>
    </row>
    <row r="657" spans="1:50" ht="15.75" customHeight="1" x14ac:dyDescent="0.3">
      <c r="A657" s="13"/>
      <c r="B657" s="13"/>
      <c r="C657" s="13"/>
      <c r="H657" s="178"/>
      <c r="J657" s="42"/>
      <c r="K657" s="178"/>
      <c r="L657" s="178"/>
      <c r="M657" s="178"/>
      <c r="N657" s="17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6"/>
      <c r="AV657" s="6"/>
      <c r="AW657" s="6"/>
      <c r="AX657" s="6"/>
    </row>
    <row r="658" spans="1:50" ht="15.75" customHeight="1" x14ac:dyDescent="0.3">
      <c r="A658" s="13"/>
      <c r="B658" s="13"/>
      <c r="C658" s="13"/>
      <c r="H658" s="178"/>
      <c r="J658" s="42"/>
      <c r="K658" s="178"/>
      <c r="L658" s="178"/>
      <c r="M658" s="178"/>
      <c r="N658" s="17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6"/>
      <c r="AV658" s="6"/>
      <c r="AW658" s="6"/>
      <c r="AX658" s="6"/>
    </row>
    <row r="659" spans="1:50" ht="15.75" customHeight="1" x14ac:dyDescent="0.3">
      <c r="A659" s="13"/>
      <c r="B659" s="13"/>
      <c r="C659" s="13"/>
      <c r="H659" s="178"/>
      <c r="J659" s="42"/>
      <c r="K659" s="178"/>
      <c r="L659" s="178"/>
      <c r="M659" s="178"/>
      <c r="N659" s="17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6"/>
      <c r="AV659" s="6"/>
      <c r="AW659" s="6"/>
      <c r="AX659" s="6"/>
    </row>
    <row r="660" spans="1:50" ht="15.75" customHeight="1" x14ac:dyDescent="0.3">
      <c r="A660" s="13"/>
      <c r="B660" s="13"/>
      <c r="C660" s="13"/>
      <c r="H660" s="178"/>
      <c r="J660" s="42"/>
      <c r="K660" s="178"/>
      <c r="L660" s="178"/>
      <c r="M660" s="178"/>
      <c r="N660" s="17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6"/>
      <c r="AV660" s="6"/>
      <c r="AW660" s="6"/>
      <c r="AX660" s="6"/>
    </row>
    <row r="661" spans="1:50" ht="15.75" customHeight="1" x14ac:dyDescent="0.3">
      <c r="A661" s="13"/>
      <c r="B661" s="13"/>
      <c r="C661" s="13"/>
      <c r="H661" s="178"/>
      <c r="J661" s="42"/>
      <c r="K661" s="178"/>
      <c r="L661" s="178"/>
      <c r="M661" s="178"/>
      <c r="N661" s="17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6"/>
      <c r="AV661" s="6"/>
      <c r="AW661" s="6"/>
      <c r="AX661" s="6"/>
    </row>
    <row r="662" spans="1:50" ht="15.75" customHeight="1" x14ac:dyDescent="0.3">
      <c r="A662" s="13"/>
      <c r="B662" s="13"/>
      <c r="C662" s="13"/>
      <c r="H662" s="178"/>
      <c r="J662" s="42"/>
      <c r="K662" s="178"/>
      <c r="L662" s="178"/>
      <c r="M662" s="178"/>
      <c r="N662" s="17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6"/>
      <c r="AV662" s="6"/>
      <c r="AW662" s="6"/>
      <c r="AX662" s="6"/>
    </row>
    <row r="663" spans="1:50" ht="15.75" customHeight="1" x14ac:dyDescent="0.3">
      <c r="A663" s="13"/>
      <c r="B663" s="13"/>
      <c r="C663" s="13"/>
      <c r="H663" s="178"/>
      <c r="J663" s="42"/>
      <c r="K663" s="178"/>
      <c r="L663" s="178"/>
      <c r="M663" s="178"/>
      <c r="N663" s="17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6"/>
      <c r="AV663" s="6"/>
      <c r="AW663" s="6"/>
      <c r="AX663" s="6"/>
    </row>
    <row r="664" spans="1:50" ht="15.75" customHeight="1" x14ac:dyDescent="0.3">
      <c r="A664" s="13"/>
      <c r="B664" s="13"/>
      <c r="C664" s="13"/>
      <c r="H664" s="178"/>
      <c r="J664" s="42"/>
      <c r="K664" s="178"/>
      <c r="L664" s="178"/>
      <c r="M664" s="178"/>
      <c r="N664" s="17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6"/>
      <c r="AV664" s="6"/>
      <c r="AW664" s="6"/>
      <c r="AX664" s="6"/>
    </row>
    <row r="665" spans="1:50" ht="15.75" customHeight="1" x14ac:dyDescent="0.3">
      <c r="A665" s="13"/>
      <c r="B665" s="13"/>
      <c r="C665" s="13"/>
      <c r="H665" s="178"/>
      <c r="J665" s="42"/>
      <c r="K665" s="178"/>
      <c r="L665" s="178"/>
      <c r="M665" s="178"/>
      <c r="N665" s="17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6"/>
      <c r="AV665" s="6"/>
      <c r="AW665" s="6"/>
      <c r="AX665" s="6"/>
    </row>
    <row r="666" spans="1:50" ht="15.75" customHeight="1" x14ac:dyDescent="0.3">
      <c r="A666" s="13"/>
      <c r="B666" s="13"/>
      <c r="C666" s="13"/>
      <c r="H666" s="178"/>
      <c r="J666" s="42"/>
      <c r="K666" s="178"/>
      <c r="L666" s="178"/>
      <c r="M666" s="178"/>
      <c r="N666" s="17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6"/>
      <c r="AV666" s="6"/>
      <c r="AW666" s="6"/>
      <c r="AX666" s="6"/>
    </row>
    <row r="667" spans="1:50" ht="15.75" customHeight="1" x14ac:dyDescent="0.3">
      <c r="A667" s="13"/>
      <c r="B667" s="13"/>
      <c r="C667" s="13"/>
      <c r="H667" s="178"/>
      <c r="J667" s="42"/>
      <c r="K667" s="178"/>
      <c r="L667" s="178"/>
      <c r="M667" s="178"/>
      <c r="N667" s="17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6"/>
      <c r="AV667" s="6"/>
      <c r="AW667" s="6"/>
      <c r="AX667" s="6"/>
    </row>
    <row r="668" spans="1:50" ht="15.75" customHeight="1" x14ac:dyDescent="0.3">
      <c r="A668" s="13"/>
      <c r="B668" s="13"/>
      <c r="C668" s="13"/>
      <c r="H668" s="178"/>
      <c r="J668" s="42"/>
      <c r="K668" s="178"/>
      <c r="L668" s="178"/>
      <c r="M668" s="178"/>
      <c r="N668" s="17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6"/>
      <c r="AV668" s="6"/>
      <c r="AW668" s="6"/>
      <c r="AX668" s="6"/>
    </row>
    <row r="669" spans="1:50" ht="15.75" customHeight="1" x14ac:dyDescent="0.3">
      <c r="A669" s="13"/>
      <c r="B669" s="13"/>
      <c r="C669" s="13"/>
      <c r="H669" s="178"/>
      <c r="J669" s="42"/>
      <c r="K669" s="178"/>
      <c r="L669" s="178"/>
      <c r="M669" s="178"/>
      <c r="N669" s="17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6"/>
      <c r="AV669" s="6"/>
      <c r="AW669" s="6"/>
      <c r="AX669" s="6"/>
    </row>
    <row r="670" spans="1:50" ht="15.75" customHeight="1" x14ac:dyDescent="0.3">
      <c r="A670" s="13"/>
      <c r="B670" s="13"/>
      <c r="C670" s="13"/>
      <c r="H670" s="178"/>
      <c r="J670" s="42"/>
      <c r="K670" s="178"/>
      <c r="L670" s="178"/>
      <c r="M670" s="178"/>
      <c r="N670" s="17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6"/>
      <c r="AV670" s="6"/>
      <c r="AW670" s="6"/>
      <c r="AX670" s="6"/>
    </row>
    <row r="671" spans="1:50" ht="15.75" customHeight="1" x14ac:dyDescent="0.3">
      <c r="A671" s="13"/>
      <c r="B671" s="13"/>
      <c r="C671" s="13"/>
      <c r="H671" s="178"/>
      <c r="J671" s="42"/>
      <c r="K671" s="178"/>
      <c r="L671" s="178"/>
      <c r="M671" s="178"/>
      <c r="N671" s="17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6"/>
      <c r="AV671" s="6"/>
      <c r="AW671" s="6"/>
      <c r="AX671" s="6"/>
    </row>
    <row r="672" spans="1:50" ht="15.75" customHeight="1" x14ac:dyDescent="0.3">
      <c r="A672" s="13"/>
      <c r="B672" s="13"/>
      <c r="C672" s="13"/>
      <c r="H672" s="178"/>
      <c r="J672" s="42"/>
      <c r="K672" s="178"/>
      <c r="L672" s="178"/>
      <c r="M672" s="178"/>
      <c r="N672" s="17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6"/>
      <c r="AV672" s="6"/>
      <c r="AW672" s="6"/>
      <c r="AX672" s="6"/>
    </row>
    <row r="673" spans="1:50" ht="15.75" customHeight="1" x14ac:dyDescent="0.3">
      <c r="A673" s="13"/>
      <c r="B673" s="13"/>
      <c r="C673" s="13"/>
      <c r="H673" s="178"/>
      <c r="J673" s="42"/>
      <c r="K673" s="178"/>
      <c r="L673" s="178"/>
      <c r="M673" s="178"/>
      <c r="N673" s="17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6"/>
      <c r="AV673" s="6"/>
      <c r="AW673" s="6"/>
      <c r="AX673" s="6"/>
    </row>
    <row r="674" spans="1:50" ht="15.75" customHeight="1" x14ac:dyDescent="0.3">
      <c r="A674" s="13"/>
      <c r="B674" s="13"/>
      <c r="C674" s="13"/>
      <c r="H674" s="178"/>
      <c r="J674" s="42"/>
      <c r="K674" s="178"/>
      <c r="L674" s="178"/>
      <c r="M674" s="178"/>
      <c r="N674" s="17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6"/>
      <c r="AV674" s="6"/>
      <c r="AW674" s="6"/>
      <c r="AX674" s="6"/>
    </row>
    <row r="675" spans="1:50" ht="15.75" customHeight="1" x14ac:dyDescent="0.3">
      <c r="A675" s="13"/>
      <c r="B675" s="13"/>
      <c r="C675" s="13"/>
      <c r="H675" s="178"/>
      <c r="J675" s="42"/>
      <c r="K675" s="178"/>
      <c r="L675" s="178"/>
      <c r="M675" s="178"/>
      <c r="N675" s="17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6"/>
      <c r="AV675" s="6"/>
      <c r="AW675" s="6"/>
      <c r="AX675" s="6"/>
    </row>
    <row r="676" spans="1:50" ht="15.75" customHeight="1" x14ac:dyDescent="0.3">
      <c r="A676" s="13"/>
      <c r="B676" s="13"/>
      <c r="C676" s="13"/>
      <c r="H676" s="178"/>
      <c r="J676" s="42"/>
      <c r="K676" s="178"/>
      <c r="L676" s="178"/>
      <c r="M676" s="178"/>
      <c r="N676" s="17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6"/>
      <c r="AV676" s="6"/>
      <c r="AW676" s="6"/>
      <c r="AX676" s="6"/>
    </row>
    <row r="677" spans="1:50" ht="15.75" customHeight="1" x14ac:dyDescent="0.3">
      <c r="A677" s="13"/>
      <c r="B677" s="13"/>
      <c r="C677" s="13"/>
      <c r="H677" s="178"/>
      <c r="J677" s="42"/>
      <c r="K677" s="178"/>
      <c r="L677" s="178"/>
      <c r="M677" s="178"/>
      <c r="N677" s="17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6"/>
      <c r="AV677" s="6"/>
      <c r="AW677" s="6"/>
      <c r="AX677" s="6"/>
    </row>
    <row r="678" spans="1:50" ht="15.75" customHeight="1" x14ac:dyDescent="0.3">
      <c r="A678" s="13"/>
      <c r="B678" s="13"/>
      <c r="C678" s="13"/>
      <c r="H678" s="178"/>
      <c r="J678" s="42"/>
      <c r="K678" s="178"/>
      <c r="L678" s="178"/>
      <c r="M678" s="178"/>
      <c r="N678" s="17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6"/>
      <c r="AV678" s="6"/>
      <c r="AW678" s="6"/>
      <c r="AX678" s="6"/>
    </row>
    <row r="679" spans="1:50" ht="15.75" customHeight="1" x14ac:dyDescent="0.3">
      <c r="A679" s="13"/>
      <c r="B679" s="13"/>
      <c r="C679" s="13"/>
      <c r="H679" s="178"/>
      <c r="J679" s="42"/>
      <c r="K679" s="178"/>
      <c r="L679" s="178"/>
      <c r="M679" s="178"/>
      <c r="N679" s="17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6"/>
      <c r="AV679" s="6"/>
      <c r="AW679" s="6"/>
      <c r="AX679" s="6"/>
    </row>
    <row r="680" spans="1:50" ht="15.75" customHeight="1" x14ac:dyDescent="0.3">
      <c r="A680" s="13"/>
      <c r="B680" s="13"/>
      <c r="C680" s="13"/>
      <c r="H680" s="178"/>
      <c r="J680" s="42"/>
      <c r="K680" s="178"/>
      <c r="L680" s="178"/>
      <c r="M680" s="178"/>
      <c r="N680" s="17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6"/>
      <c r="AV680" s="6"/>
      <c r="AW680" s="6"/>
      <c r="AX680" s="6"/>
    </row>
    <row r="681" spans="1:50" ht="15.75" customHeight="1" x14ac:dyDescent="0.3">
      <c r="A681" s="13"/>
      <c r="B681" s="13"/>
      <c r="C681" s="13"/>
      <c r="H681" s="178"/>
      <c r="J681" s="42"/>
      <c r="K681" s="178"/>
      <c r="L681" s="178"/>
      <c r="M681" s="178"/>
      <c r="N681" s="17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6"/>
      <c r="AV681" s="6"/>
      <c r="AW681" s="6"/>
      <c r="AX681" s="6"/>
    </row>
    <row r="682" spans="1:50" ht="15.75" customHeight="1" x14ac:dyDescent="0.3">
      <c r="A682" s="13"/>
      <c r="B682" s="13"/>
      <c r="C682" s="13"/>
      <c r="H682" s="178"/>
      <c r="J682" s="42"/>
      <c r="K682" s="178"/>
      <c r="L682" s="178"/>
      <c r="M682" s="178"/>
      <c r="N682" s="17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6"/>
      <c r="AV682" s="6"/>
      <c r="AW682" s="6"/>
      <c r="AX682" s="6"/>
    </row>
    <row r="683" spans="1:50" ht="15.75" customHeight="1" x14ac:dyDescent="0.3">
      <c r="A683" s="13"/>
      <c r="B683" s="13"/>
      <c r="C683" s="13"/>
      <c r="H683" s="178"/>
      <c r="J683" s="42"/>
      <c r="K683" s="178"/>
      <c r="L683" s="178"/>
      <c r="M683" s="178"/>
      <c r="N683" s="17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6"/>
      <c r="AV683" s="6"/>
      <c r="AW683" s="6"/>
      <c r="AX683" s="6"/>
    </row>
    <row r="684" spans="1:50" ht="15.75" customHeight="1" x14ac:dyDescent="0.3">
      <c r="A684" s="13"/>
      <c r="B684" s="13"/>
      <c r="C684" s="13"/>
      <c r="H684" s="178"/>
      <c r="J684" s="42"/>
      <c r="K684" s="178"/>
      <c r="L684" s="178"/>
      <c r="M684" s="178"/>
      <c r="N684" s="17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6"/>
      <c r="AV684" s="6"/>
      <c r="AW684" s="6"/>
      <c r="AX684" s="6"/>
    </row>
    <row r="685" spans="1:50" ht="15.75" customHeight="1" x14ac:dyDescent="0.3">
      <c r="A685" s="13"/>
      <c r="B685" s="13"/>
      <c r="C685" s="13"/>
      <c r="H685" s="178"/>
      <c r="J685" s="42"/>
      <c r="K685" s="178"/>
      <c r="L685" s="178"/>
      <c r="M685" s="178"/>
      <c r="N685" s="17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6"/>
      <c r="AV685" s="6"/>
      <c r="AW685" s="6"/>
      <c r="AX685" s="6"/>
    </row>
    <row r="686" spans="1:50" ht="15.75" customHeight="1" x14ac:dyDescent="0.3">
      <c r="A686" s="13"/>
      <c r="B686" s="13"/>
      <c r="C686" s="13"/>
      <c r="H686" s="178"/>
      <c r="J686" s="42"/>
      <c r="K686" s="178"/>
      <c r="L686" s="178"/>
      <c r="M686" s="178"/>
      <c r="N686" s="17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6"/>
      <c r="AV686" s="6"/>
      <c r="AW686" s="6"/>
      <c r="AX686" s="6"/>
    </row>
    <row r="687" spans="1:50" ht="15.75" customHeight="1" x14ac:dyDescent="0.3">
      <c r="A687" s="13"/>
      <c r="B687" s="13"/>
      <c r="C687" s="13"/>
      <c r="H687" s="178"/>
      <c r="J687" s="42"/>
      <c r="K687" s="178"/>
      <c r="L687" s="178"/>
      <c r="M687" s="178"/>
      <c r="N687" s="17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6"/>
      <c r="AV687" s="6"/>
      <c r="AW687" s="6"/>
      <c r="AX687" s="6"/>
    </row>
    <row r="688" spans="1:50" ht="15.75" customHeight="1" x14ac:dyDescent="0.3">
      <c r="A688" s="13"/>
      <c r="B688" s="13"/>
      <c r="C688" s="13"/>
      <c r="H688" s="178"/>
      <c r="J688" s="42"/>
      <c r="K688" s="178"/>
      <c r="L688" s="178"/>
      <c r="M688" s="178"/>
      <c r="N688" s="17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6"/>
      <c r="AV688" s="6"/>
      <c r="AW688" s="6"/>
      <c r="AX688" s="6"/>
    </row>
    <row r="689" spans="1:50" ht="15.75" customHeight="1" x14ac:dyDescent="0.3">
      <c r="A689" s="13"/>
      <c r="B689" s="13"/>
      <c r="C689" s="13"/>
      <c r="H689" s="178"/>
      <c r="J689" s="42"/>
      <c r="K689" s="178"/>
      <c r="L689" s="178"/>
      <c r="M689" s="178"/>
      <c r="N689" s="17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6"/>
      <c r="AV689" s="6"/>
      <c r="AW689" s="6"/>
      <c r="AX689" s="6"/>
    </row>
    <row r="690" spans="1:50" ht="15.75" customHeight="1" x14ac:dyDescent="0.3">
      <c r="A690" s="13"/>
      <c r="B690" s="13"/>
      <c r="C690" s="13"/>
      <c r="H690" s="178"/>
      <c r="J690" s="42"/>
      <c r="K690" s="178"/>
      <c r="L690" s="178"/>
      <c r="M690" s="178"/>
      <c r="N690" s="17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6"/>
      <c r="AV690" s="6"/>
      <c r="AW690" s="6"/>
      <c r="AX690" s="6"/>
    </row>
    <row r="691" spans="1:50" ht="15.75" customHeight="1" x14ac:dyDescent="0.3">
      <c r="A691" s="13"/>
      <c r="B691" s="13"/>
      <c r="C691" s="13"/>
      <c r="H691" s="178"/>
      <c r="J691" s="42"/>
      <c r="K691" s="178"/>
      <c r="L691" s="178"/>
      <c r="M691" s="178"/>
      <c r="N691" s="17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6"/>
      <c r="AV691" s="6"/>
      <c r="AW691" s="6"/>
      <c r="AX691" s="6"/>
    </row>
    <row r="692" spans="1:50" ht="15.75" customHeight="1" x14ac:dyDescent="0.3">
      <c r="A692" s="13"/>
      <c r="B692" s="13"/>
      <c r="C692" s="13"/>
      <c r="H692" s="178"/>
      <c r="J692" s="42"/>
      <c r="K692" s="178"/>
      <c r="L692" s="178"/>
      <c r="M692" s="178"/>
      <c r="N692" s="17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6"/>
      <c r="AV692" s="6"/>
      <c r="AW692" s="6"/>
      <c r="AX692" s="6"/>
    </row>
    <row r="693" spans="1:50" ht="15.75" customHeight="1" x14ac:dyDescent="0.3">
      <c r="A693" s="13"/>
      <c r="B693" s="13"/>
      <c r="C693" s="13"/>
      <c r="H693" s="178"/>
      <c r="J693" s="42"/>
      <c r="K693" s="178"/>
      <c r="L693" s="178"/>
      <c r="M693" s="178"/>
      <c r="N693" s="17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6"/>
      <c r="AV693" s="6"/>
      <c r="AW693" s="6"/>
      <c r="AX693" s="6"/>
    </row>
    <row r="694" spans="1:50" ht="15.75" customHeight="1" x14ac:dyDescent="0.3">
      <c r="A694" s="13"/>
      <c r="B694" s="13"/>
      <c r="C694" s="13"/>
      <c r="H694" s="178"/>
      <c r="J694" s="42"/>
      <c r="K694" s="178"/>
      <c r="L694" s="178"/>
      <c r="M694" s="178"/>
      <c r="N694" s="17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6"/>
      <c r="AV694" s="6"/>
      <c r="AW694" s="6"/>
      <c r="AX694" s="6"/>
    </row>
    <row r="695" spans="1:50" ht="15.75" customHeight="1" x14ac:dyDescent="0.3">
      <c r="A695" s="13"/>
      <c r="B695" s="13"/>
      <c r="C695" s="13"/>
      <c r="H695" s="178"/>
      <c r="J695" s="42"/>
      <c r="K695" s="178"/>
      <c r="L695" s="178"/>
      <c r="M695" s="178"/>
      <c r="N695" s="17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6"/>
      <c r="AV695" s="6"/>
      <c r="AW695" s="6"/>
      <c r="AX695" s="6"/>
    </row>
    <row r="696" spans="1:50" ht="15.75" customHeight="1" x14ac:dyDescent="0.3">
      <c r="A696" s="13"/>
      <c r="B696" s="13"/>
      <c r="C696" s="13"/>
      <c r="H696" s="178"/>
      <c r="J696" s="42"/>
      <c r="K696" s="178"/>
      <c r="L696" s="178"/>
      <c r="M696" s="178"/>
      <c r="N696" s="17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6"/>
      <c r="AV696" s="6"/>
      <c r="AW696" s="6"/>
      <c r="AX696" s="6"/>
    </row>
    <row r="697" spans="1:50" ht="15.75" customHeight="1" x14ac:dyDescent="0.3">
      <c r="A697" s="13"/>
      <c r="B697" s="13"/>
      <c r="C697" s="13"/>
      <c r="H697" s="178"/>
      <c r="J697" s="42"/>
      <c r="K697" s="178"/>
      <c r="L697" s="178"/>
      <c r="M697" s="178"/>
      <c r="N697" s="17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6"/>
      <c r="AV697" s="6"/>
      <c r="AW697" s="6"/>
      <c r="AX697" s="6"/>
    </row>
    <row r="698" spans="1:50" ht="15.75" customHeight="1" x14ac:dyDescent="0.3">
      <c r="A698" s="13"/>
      <c r="B698" s="13"/>
      <c r="C698" s="13"/>
      <c r="H698" s="178"/>
      <c r="J698" s="42"/>
      <c r="K698" s="178"/>
      <c r="L698" s="178"/>
      <c r="M698" s="178"/>
      <c r="N698" s="17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6"/>
      <c r="AV698" s="6"/>
      <c r="AW698" s="6"/>
      <c r="AX698" s="6"/>
    </row>
    <row r="699" spans="1:50" ht="15.75" customHeight="1" x14ac:dyDescent="0.3">
      <c r="A699" s="13"/>
      <c r="B699" s="13"/>
      <c r="C699" s="13"/>
      <c r="H699" s="178"/>
      <c r="J699" s="42"/>
      <c r="K699" s="178"/>
      <c r="L699" s="178"/>
      <c r="M699" s="178"/>
      <c r="N699" s="17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6"/>
      <c r="AV699" s="6"/>
      <c r="AW699" s="6"/>
      <c r="AX699" s="6"/>
    </row>
    <row r="700" spans="1:50" ht="15.75" customHeight="1" x14ac:dyDescent="0.3">
      <c r="A700" s="13"/>
      <c r="B700" s="13"/>
      <c r="C700" s="13"/>
      <c r="H700" s="178"/>
      <c r="J700" s="42"/>
      <c r="K700" s="178"/>
      <c r="L700" s="178"/>
      <c r="M700" s="178"/>
      <c r="N700" s="17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6"/>
      <c r="AV700" s="6"/>
      <c r="AW700" s="6"/>
      <c r="AX700" s="6"/>
    </row>
    <row r="701" spans="1:50" ht="15.75" customHeight="1" x14ac:dyDescent="0.3">
      <c r="A701" s="13"/>
      <c r="B701" s="13"/>
      <c r="C701" s="13"/>
      <c r="H701" s="178"/>
      <c r="J701" s="42"/>
      <c r="K701" s="178"/>
      <c r="L701" s="178"/>
      <c r="M701" s="178"/>
      <c r="N701" s="17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6"/>
      <c r="AV701" s="6"/>
      <c r="AW701" s="6"/>
      <c r="AX701" s="6"/>
    </row>
    <row r="702" spans="1:50" ht="15.75" customHeight="1" x14ac:dyDescent="0.3">
      <c r="A702" s="13"/>
      <c r="B702" s="13"/>
      <c r="C702" s="13"/>
      <c r="H702" s="178"/>
      <c r="J702" s="42"/>
      <c r="K702" s="178"/>
      <c r="L702" s="178"/>
      <c r="M702" s="178"/>
      <c r="N702" s="17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6"/>
      <c r="AV702" s="6"/>
      <c r="AW702" s="6"/>
      <c r="AX702" s="6"/>
    </row>
    <row r="703" spans="1:50" ht="15.75" customHeight="1" x14ac:dyDescent="0.3">
      <c r="A703" s="13"/>
      <c r="B703" s="13"/>
      <c r="C703" s="13"/>
      <c r="H703" s="178"/>
      <c r="J703" s="42"/>
      <c r="K703" s="178"/>
      <c r="L703" s="178"/>
      <c r="M703" s="178"/>
      <c r="N703" s="17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6"/>
      <c r="AV703" s="6"/>
      <c r="AW703" s="6"/>
      <c r="AX703" s="6"/>
    </row>
    <row r="704" spans="1:50" ht="15.75" customHeight="1" x14ac:dyDescent="0.3">
      <c r="A704" s="13"/>
      <c r="B704" s="13"/>
      <c r="C704" s="13"/>
      <c r="H704" s="178"/>
      <c r="J704" s="42"/>
      <c r="K704" s="178"/>
      <c r="L704" s="178"/>
      <c r="M704" s="178"/>
      <c r="N704" s="17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6"/>
      <c r="AV704" s="6"/>
      <c r="AW704" s="6"/>
      <c r="AX704" s="6"/>
    </row>
    <row r="705" spans="1:50" ht="15.75" customHeight="1" x14ac:dyDescent="0.3">
      <c r="A705" s="13"/>
      <c r="B705" s="13"/>
      <c r="C705" s="13"/>
      <c r="H705" s="178"/>
      <c r="J705" s="42"/>
      <c r="K705" s="178"/>
      <c r="L705" s="178"/>
      <c r="M705" s="178"/>
      <c r="N705" s="17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6"/>
      <c r="AV705" s="6"/>
      <c r="AW705" s="6"/>
      <c r="AX705" s="6"/>
    </row>
    <row r="706" spans="1:50" ht="15.75" customHeight="1" x14ac:dyDescent="0.3">
      <c r="A706" s="13"/>
      <c r="B706" s="13"/>
      <c r="C706" s="13"/>
      <c r="H706" s="178"/>
      <c r="J706" s="42"/>
      <c r="K706" s="178"/>
      <c r="L706" s="178"/>
      <c r="M706" s="178"/>
      <c r="N706" s="17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6"/>
      <c r="AV706" s="6"/>
      <c r="AW706" s="6"/>
      <c r="AX706" s="6"/>
    </row>
    <row r="707" spans="1:50" ht="15.75" customHeight="1" x14ac:dyDescent="0.3">
      <c r="A707" s="13"/>
      <c r="B707" s="13"/>
      <c r="C707" s="13"/>
      <c r="H707" s="178"/>
      <c r="J707" s="42"/>
      <c r="K707" s="178"/>
      <c r="L707" s="178"/>
      <c r="M707" s="178"/>
      <c r="N707" s="17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6"/>
      <c r="AV707" s="6"/>
      <c r="AW707" s="6"/>
      <c r="AX707" s="6"/>
    </row>
    <row r="708" spans="1:50" ht="15.75" customHeight="1" x14ac:dyDescent="0.3">
      <c r="A708" s="13"/>
      <c r="B708" s="13"/>
      <c r="C708" s="13"/>
      <c r="H708" s="178"/>
      <c r="J708" s="42"/>
      <c r="K708" s="178"/>
      <c r="L708" s="178"/>
      <c r="M708" s="178"/>
      <c r="N708" s="17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6"/>
      <c r="AV708" s="6"/>
      <c r="AW708" s="6"/>
      <c r="AX708" s="6"/>
    </row>
    <row r="709" spans="1:50" ht="15.75" customHeight="1" x14ac:dyDescent="0.3">
      <c r="A709" s="13"/>
      <c r="B709" s="13"/>
      <c r="C709" s="13"/>
      <c r="H709" s="178"/>
      <c r="J709" s="42"/>
      <c r="K709" s="178"/>
      <c r="L709" s="178"/>
      <c r="M709" s="178"/>
      <c r="N709" s="17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6"/>
      <c r="AV709" s="6"/>
      <c r="AW709" s="6"/>
      <c r="AX709" s="6"/>
    </row>
    <row r="710" spans="1:50" ht="15.75" customHeight="1" x14ac:dyDescent="0.3">
      <c r="A710" s="13"/>
      <c r="B710" s="13"/>
      <c r="C710" s="13"/>
      <c r="H710" s="178"/>
      <c r="J710" s="42"/>
      <c r="K710" s="178"/>
      <c r="L710" s="178"/>
      <c r="M710" s="178"/>
      <c r="N710" s="17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6"/>
      <c r="AV710" s="6"/>
      <c r="AW710" s="6"/>
      <c r="AX710" s="6"/>
    </row>
    <row r="711" spans="1:50" ht="15.75" customHeight="1" x14ac:dyDescent="0.3">
      <c r="A711" s="13"/>
      <c r="B711" s="13"/>
      <c r="C711" s="13"/>
      <c r="H711" s="178"/>
      <c r="J711" s="42"/>
      <c r="K711" s="178"/>
      <c r="L711" s="178"/>
      <c r="M711" s="178"/>
      <c r="N711" s="17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6"/>
      <c r="AV711" s="6"/>
      <c r="AW711" s="6"/>
      <c r="AX711" s="6"/>
    </row>
    <row r="712" spans="1:50" ht="15.75" customHeight="1" x14ac:dyDescent="0.3">
      <c r="A712" s="13"/>
      <c r="B712" s="13"/>
      <c r="C712" s="13"/>
      <c r="H712" s="178"/>
      <c r="J712" s="42"/>
      <c r="K712" s="178"/>
      <c r="L712" s="178"/>
      <c r="M712" s="178"/>
      <c r="N712" s="17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6"/>
      <c r="AV712" s="6"/>
      <c r="AW712" s="6"/>
      <c r="AX712" s="6"/>
    </row>
    <row r="713" spans="1:50" ht="15.75" customHeight="1" x14ac:dyDescent="0.3">
      <c r="A713" s="13"/>
      <c r="B713" s="13"/>
      <c r="C713" s="13"/>
      <c r="H713" s="178"/>
      <c r="J713" s="42"/>
      <c r="K713" s="178"/>
      <c r="L713" s="178"/>
      <c r="M713" s="178"/>
      <c r="N713" s="17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6"/>
      <c r="AV713" s="6"/>
      <c r="AW713" s="6"/>
      <c r="AX713" s="6"/>
    </row>
    <row r="714" spans="1:50" ht="15.75" customHeight="1" x14ac:dyDescent="0.3">
      <c r="A714" s="13"/>
      <c r="B714" s="13"/>
      <c r="C714" s="13"/>
      <c r="H714" s="178"/>
      <c r="J714" s="42"/>
      <c r="K714" s="178"/>
      <c r="L714" s="178"/>
      <c r="M714" s="178"/>
      <c r="N714" s="17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6"/>
      <c r="AV714" s="6"/>
      <c r="AW714" s="6"/>
      <c r="AX714" s="6"/>
    </row>
    <row r="715" spans="1:50" ht="15.75" customHeight="1" x14ac:dyDescent="0.3">
      <c r="A715" s="13"/>
      <c r="B715" s="13"/>
      <c r="C715" s="13"/>
      <c r="H715" s="178"/>
      <c r="J715" s="42"/>
      <c r="K715" s="178"/>
      <c r="L715" s="178"/>
      <c r="M715" s="178"/>
      <c r="N715" s="17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6"/>
      <c r="AV715" s="6"/>
      <c r="AW715" s="6"/>
      <c r="AX715" s="6"/>
    </row>
    <row r="716" spans="1:50" ht="15.75" customHeight="1" x14ac:dyDescent="0.3">
      <c r="A716" s="13"/>
      <c r="B716" s="13"/>
      <c r="C716" s="13"/>
      <c r="H716" s="178"/>
      <c r="J716" s="42"/>
      <c r="K716" s="178"/>
      <c r="L716" s="178"/>
      <c r="M716" s="178"/>
      <c r="N716" s="17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6"/>
      <c r="AV716" s="6"/>
      <c r="AW716" s="6"/>
      <c r="AX716" s="6"/>
    </row>
    <row r="717" spans="1:50" ht="15.75" customHeight="1" x14ac:dyDescent="0.3">
      <c r="A717" s="13"/>
      <c r="B717" s="13"/>
      <c r="C717" s="13"/>
      <c r="H717" s="178"/>
      <c r="J717" s="42"/>
      <c r="K717" s="178"/>
      <c r="L717" s="178"/>
      <c r="M717" s="178"/>
      <c r="N717" s="17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6"/>
      <c r="AV717" s="6"/>
      <c r="AW717" s="6"/>
      <c r="AX717" s="6"/>
    </row>
    <row r="718" spans="1:50" ht="15.75" customHeight="1" x14ac:dyDescent="0.3">
      <c r="A718" s="13"/>
      <c r="B718" s="13"/>
      <c r="C718" s="13"/>
      <c r="H718" s="178"/>
      <c r="J718" s="42"/>
      <c r="K718" s="178"/>
      <c r="L718" s="178"/>
      <c r="M718" s="178"/>
      <c r="N718" s="17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6"/>
      <c r="AV718" s="6"/>
      <c r="AW718" s="6"/>
      <c r="AX718" s="6"/>
    </row>
    <row r="719" spans="1:50" ht="15.75" customHeight="1" x14ac:dyDescent="0.3">
      <c r="A719" s="13"/>
      <c r="B719" s="13"/>
      <c r="C719" s="13"/>
      <c r="H719" s="178"/>
      <c r="J719" s="42"/>
      <c r="K719" s="178"/>
      <c r="L719" s="178"/>
      <c r="M719" s="178"/>
      <c r="N719" s="17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6"/>
      <c r="AV719" s="6"/>
      <c r="AW719" s="6"/>
      <c r="AX719" s="6"/>
    </row>
    <row r="720" spans="1:50" ht="15.75" customHeight="1" x14ac:dyDescent="0.3">
      <c r="A720" s="13"/>
      <c r="B720" s="13"/>
      <c r="C720" s="13"/>
      <c r="H720" s="178"/>
      <c r="J720" s="42"/>
      <c r="K720" s="178"/>
      <c r="L720" s="178"/>
      <c r="M720" s="178"/>
      <c r="N720" s="17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6"/>
      <c r="AV720" s="6"/>
      <c r="AW720" s="6"/>
      <c r="AX720" s="6"/>
    </row>
    <row r="721" spans="1:50" ht="15.75" customHeight="1" x14ac:dyDescent="0.3">
      <c r="A721" s="13"/>
      <c r="B721" s="13"/>
      <c r="C721" s="13"/>
      <c r="H721" s="178"/>
      <c r="J721" s="42"/>
      <c r="K721" s="178"/>
      <c r="L721" s="178"/>
      <c r="M721" s="178"/>
      <c r="N721" s="17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6"/>
      <c r="AV721" s="6"/>
      <c r="AW721" s="6"/>
      <c r="AX721" s="6"/>
    </row>
    <row r="722" spans="1:50" ht="15.75" customHeight="1" x14ac:dyDescent="0.3">
      <c r="A722" s="13"/>
      <c r="B722" s="13"/>
      <c r="C722" s="13"/>
      <c r="H722" s="178"/>
      <c r="J722" s="42"/>
      <c r="K722" s="178"/>
      <c r="L722" s="178"/>
      <c r="M722" s="178"/>
      <c r="N722" s="17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6"/>
      <c r="AV722" s="6"/>
      <c r="AW722" s="6"/>
      <c r="AX722" s="6"/>
    </row>
    <row r="723" spans="1:50" ht="15.75" customHeight="1" x14ac:dyDescent="0.3">
      <c r="A723" s="13"/>
      <c r="B723" s="13"/>
      <c r="C723" s="13"/>
      <c r="H723" s="178"/>
      <c r="J723" s="42"/>
      <c r="K723" s="178"/>
      <c r="L723" s="178"/>
      <c r="M723" s="178"/>
      <c r="N723" s="17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6"/>
      <c r="AV723" s="6"/>
      <c r="AW723" s="6"/>
      <c r="AX723" s="6"/>
    </row>
    <row r="724" spans="1:50" ht="15.75" customHeight="1" x14ac:dyDescent="0.3">
      <c r="A724" s="13"/>
      <c r="B724" s="13"/>
      <c r="C724" s="13"/>
      <c r="H724" s="178"/>
      <c r="J724" s="42"/>
      <c r="K724" s="178"/>
      <c r="L724" s="178"/>
      <c r="M724" s="178"/>
      <c r="N724" s="17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6"/>
      <c r="AV724" s="6"/>
      <c r="AW724" s="6"/>
      <c r="AX724" s="6"/>
    </row>
    <row r="725" spans="1:50" ht="15.75" customHeight="1" x14ac:dyDescent="0.3">
      <c r="A725" s="13"/>
      <c r="B725" s="13"/>
      <c r="C725" s="13"/>
      <c r="H725" s="178"/>
      <c r="J725" s="42"/>
      <c r="K725" s="178"/>
      <c r="L725" s="178"/>
      <c r="M725" s="178"/>
      <c r="N725" s="17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6"/>
      <c r="AV725" s="6"/>
      <c r="AW725" s="6"/>
      <c r="AX725" s="6"/>
    </row>
    <row r="726" spans="1:50" ht="15.75" customHeight="1" x14ac:dyDescent="0.3">
      <c r="A726" s="13"/>
      <c r="B726" s="13"/>
      <c r="C726" s="13"/>
      <c r="H726" s="178"/>
      <c r="J726" s="42"/>
      <c r="K726" s="178"/>
      <c r="L726" s="178"/>
      <c r="M726" s="178"/>
      <c r="N726" s="17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6"/>
      <c r="AV726" s="6"/>
      <c r="AW726" s="6"/>
      <c r="AX726" s="6"/>
    </row>
    <row r="727" spans="1:50" ht="15.75" customHeight="1" x14ac:dyDescent="0.3">
      <c r="A727" s="13"/>
      <c r="B727" s="13"/>
      <c r="C727" s="13"/>
      <c r="H727" s="178"/>
      <c r="J727" s="42"/>
      <c r="K727" s="178"/>
      <c r="L727" s="178"/>
      <c r="M727" s="178"/>
      <c r="N727" s="17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6"/>
      <c r="AV727" s="6"/>
      <c r="AW727" s="6"/>
      <c r="AX727" s="6"/>
    </row>
    <row r="728" spans="1:50" ht="15.75" customHeight="1" x14ac:dyDescent="0.3">
      <c r="A728" s="13"/>
      <c r="B728" s="13"/>
      <c r="C728" s="13"/>
      <c r="H728" s="178"/>
      <c r="J728" s="42"/>
      <c r="K728" s="178"/>
      <c r="L728" s="178"/>
      <c r="M728" s="178"/>
      <c r="N728" s="17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6"/>
      <c r="AV728" s="6"/>
      <c r="AW728" s="6"/>
      <c r="AX728" s="6"/>
    </row>
    <row r="729" spans="1:50" ht="15.75" customHeight="1" x14ac:dyDescent="0.3">
      <c r="A729" s="13"/>
      <c r="B729" s="13"/>
      <c r="C729" s="13"/>
      <c r="H729" s="178"/>
      <c r="J729" s="42"/>
      <c r="K729" s="178"/>
      <c r="L729" s="178"/>
      <c r="M729" s="178"/>
      <c r="N729" s="17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6"/>
      <c r="AV729" s="6"/>
      <c r="AW729" s="6"/>
      <c r="AX729" s="6"/>
    </row>
    <row r="730" spans="1:50" ht="15.75" customHeight="1" x14ac:dyDescent="0.3">
      <c r="A730" s="13"/>
      <c r="B730" s="13"/>
      <c r="C730" s="13"/>
      <c r="H730" s="178"/>
      <c r="J730" s="42"/>
      <c r="K730" s="178"/>
      <c r="L730" s="178"/>
      <c r="M730" s="178"/>
      <c r="N730" s="17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6"/>
      <c r="AV730" s="6"/>
      <c r="AW730" s="6"/>
      <c r="AX730" s="6"/>
    </row>
    <row r="731" spans="1:50" ht="15.75" customHeight="1" x14ac:dyDescent="0.3">
      <c r="A731" s="13"/>
      <c r="B731" s="13"/>
      <c r="C731" s="13"/>
      <c r="H731" s="178"/>
      <c r="J731" s="42"/>
      <c r="K731" s="178"/>
      <c r="L731" s="178"/>
      <c r="M731" s="178"/>
      <c r="N731" s="17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6"/>
      <c r="AV731" s="6"/>
      <c r="AW731" s="6"/>
      <c r="AX731" s="6"/>
    </row>
    <row r="732" spans="1:50" ht="15.75" customHeight="1" x14ac:dyDescent="0.3">
      <c r="A732" s="13"/>
      <c r="B732" s="13"/>
      <c r="C732" s="13"/>
      <c r="H732" s="178"/>
      <c r="J732" s="42"/>
      <c r="K732" s="178"/>
      <c r="L732" s="178"/>
      <c r="M732" s="178"/>
      <c r="N732" s="17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6"/>
      <c r="AV732" s="6"/>
      <c r="AW732" s="6"/>
      <c r="AX732" s="6"/>
    </row>
    <row r="733" spans="1:50" ht="15.75" customHeight="1" x14ac:dyDescent="0.3">
      <c r="A733" s="13"/>
      <c r="B733" s="13"/>
      <c r="C733" s="13"/>
      <c r="H733" s="178"/>
      <c r="J733" s="42"/>
      <c r="K733" s="178"/>
      <c r="L733" s="178"/>
      <c r="M733" s="178"/>
      <c r="N733" s="17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6"/>
      <c r="AV733" s="6"/>
      <c r="AW733" s="6"/>
      <c r="AX733" s="6"/>
    </row>
    <row r="734" spans="1:50" ht="15.75" customHeight="1" x14ac:dyDescent="0.3">
      <c r="A734" s="13"/>
      <c r="B734" s="13"/>
      <c r="C734" s="13"/>
      <c r="H734" s="178"/>
      <c r="J734" s="42"/>
      <c r="K734" s="178"/>
      <c r="L734" s="178"/>
      <c r="M734" s="178"/>
      <c r="N734" s="17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6"/>
      <c r="AV734" s="6"/>
      <c r="AW734" s="6"/>
      <c r="AX734" s="6"/>
    </row>
    <row r="735" spans="1:50" ht="15.75" customHeight="1" x14ac:dyDescent="0.3">
      <c r="A735" s="13"/>
      <c r="B735" s="13"/>
      <c r="C735" s="13"/>
      <c r="H735" s="178"/>
      <c r="J735" s="42"/>
      <c r="K735" s="178"/>
      <c r="L735" s="178"/>
      <c r="M735" s="178"/>
      <c r="N735" s="17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6"/>
      <c r="AV735" s="6"/>
      <c r="AW735" s="6"/>
      <c r="AX735" s="6"/>
    </row>
    <row r="736" spans="1:50" ht="15.75" customHeight="1" x14ac:dyDescent="0.3">
      <c r="A736" s="13"/>
      <c r="B736" s="13"/>
      <c r="C736" s="13"/>
      <c r="H736" s="178"/>
      <c r="J736" s="42"/>
      <c r="K736" s="178"/>
      <c r="L736" s="178"/>
      <c r="M736" s="178"/>
      <c r="N736" s="17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6"/>
      <c r="AV736" s="6"/>
      <c r="AW736" s="6"/>
      <c r="AX736" s="6"/>
    </row>
    <row r="737" spans="1:50" ht="15.75" customHeight="1" x14ac:dyDescent="0.3">
      <c r="A737" s="13"/>
      <c r="B737" s="13"/>
      <c r="C737" s="13"/>
      <c r="H737" s="178"/>
      <c r="J737" s="42"/>
      <c r="K737" s="178"/>
      <c r="L737" s="178"/>
      <c r="M737" s="178"/>
      <c r="N737" s="17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6"/>
      <c r="AV737" s="6"/>
      <c r="AW737" s="6"/>
      <c r="AX737" s="6"/>
    </row>
    <row r="738" spans="1:50" ht="15.75" customHeight="1" x14ac:dyDescent="0.3">
      <c r="A738" s="13"/>
      <c r="B738" s="13"/>
      <c r="C738" s="13"/>
      <c r="H738" s="178"/>
      <c r="J738" s="42"/>
      <c r="K738" s="178"/>
      <c r="L738" s="178"/>
      <c r="M738" s="178"/>
      <c r="N738" s="17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6"/>
      <c r="AV738" s="6"/>
      <c r="AW738" s="6"/>
      <c r="AX738" s="6"/>
    </row>
    <row r="739" spans="1:50" ht="15.75" customHeight="1" x14ac:dyDescent="0.3">
      <c r="A739" s="13"/>
      <c r="B739" s="13"/>
      <c r="C739" s="13"/>
      <c r="H739" s="178"/>
      <c r="J739" s="42"/>
      <c r="K739" s="178"/>
      <c r="L739" s="178"/>
      <c r="M739" s="178"/>
      <c r="N739" s="17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6"/>
      <c r="AV739" s="6"/>
      <c r="AW739" s="6"/>
      <c r="AX739" s="6"/>
    </row>
    <row r="740" spans="1:50" ht="15.75" customHeight="1" x14ac:dyDescent="0.3">
      <c r="A740" s="13"/>
      <c r="B740" s="13"/>
      <c r="C740" s="13"/>
      <c r="H740" s="178"/>
      <c r="J740" s="42"/>
      <c r="K740" s="178"/>
      <c r="L740" s="178"/>
      <c r="M740" s="178"/>
      <c r="N740" s="17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6"/>
      <c r="AV740" s="6"/>
      <c r="AW740" s="6"/>
      <c r="AX740" s="6"/>
    </row>
    <row r="741" spans="1:50" ht="15.75" customHeight="1" x14ac:dyDescent="0.3">
      <c r="A741" s="13"/>
      <c r="B741" s="13"/>
      <c r="C741" s="13"/>
      <c r="H741" s="178"/>
      <c r="J741" s="42"/>
      <c r="K741" s="178"/>
      <c r="L741" s="178"/>
      <c r="M741" s="178"/>
      <c r="N741" s="17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6"/>
      <c r="AV741" s="6"/>
      <c r="AW741" s="6"/>
      <c r="AX741" s="6"/>
    </row>
    <row r="742" spans="1:50" ht="15.75" customHeight="1" x14ac:dyDescent="0.3">
      <c r="A742" s="13"/>
      <c r="B742" s="13"/>
      <c r="C742" s="13"/>
      <c r="H742" s="178"/>
      <c r="J742" s="42"/>
      <c r="K742" s="178"/>
      <c r="L742" s="178"/>
      <c r="M742" s="178"/>
      <c r="N742" s="17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6"/>
      <c r="AV742" s="6"/>
      <c r="AW742" s="6"/>
      <c r="AX742" s="6"/>
    </row>
    <row r="743" spans="1:50" ht="15.75" customHeight="1" x14ac:dyDescent="0.3">
      <c r="A743" s="13"/>
      <c r="B743" s="13"/>
      <c r="C743" s="13"/>
      <c r="H743" s="178"/>
      <c r="J743" s="42"/>
      <c r="K743" s="178"/>
      <c r="L743" s="178"/>
      <c r="M743" s="178"/>
      <c r="N743" s="17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6"/>
      <c r="AV743" s="6"/>
      <c r="AW743" s="6"/>
      <c r="AX743" s="6"/>
    </row>
    <row r="744" spans="1:50" ht="15.75" customHeight="1" x14ac:dyDescent="0.3">
      <c r="A744" s="13"/>
      <c r="B744" s="13"/>
      <c r="C744" s="13"/>
      <c r="H744" s="178"/>
      <c r="J744" s="42"/>
      <c r="K744" s="178"/>
      <c r="L744" s="178"/>
      <c r="M744" s="178"/>
      <c r="N744" s="17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6"/>
      <c r="AV744" s="6"/>
      <c r="AW744" s="6"/>
      <c r="AX744" s="6"/>
    </row>
    <row r="745" spans="1:50" ht="15.75" customHeight="1" x14ac:dyDescent="0.3">
      <c r="A745" s="13"/>
      <c r="B745" s="13"/>
      <c r="C745" s="13"/>
      <c r="H745" s="178"/>
      <c r="J745" s="42"/>
      <c r="K745" s="178"/>
      <c r="L745" s="178"/>
      <c r="M745" s="178"/>
      <c r="N745" s="17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6"/>
      <c r="AV745" s="6"/>
      <c r="AW745" s="6"/>
      <c r="AX745" s="6"/>
    </row>
    <row r="746" spans="1:50" ht="15.75" customHeight="1" x14ac:dyDescent="0.3">
      <c r="A746" s="13"/>
      <c r="B746" s="13"/>
      <c r="C746" s="13"/>
      <c r="H746" s="178"/>
      <c r="J746" s="42"/>
      <c r="K746" s="178"/>
      <c r="L746" s="178"/>
      <c r="M746" s="178"/>
      <c r="N746" s="17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6"/>
      <c r="AV746" s="6"/>
      <c r="AW746" s="6"/>
      <c r="AX746" s="6"/>
    </row>
    <row r="747" spans="1:50" ht="15.75" customHeight="1" x14ac:dyDescent="0.3">
      <c r="A747" s="13"/>
      <c r="B747" s="13"/>
      <c r="C747" s="13"/>
      <c r="H747" s="178"/>
      <c r="J747" s="42"/>
      <c r="K747" s="178"/>
      <c r="L747" s="178"/>
      <c r="M747" s="178"/>
      <c r="N747" s="17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6"/>
      <c r="AV747" s="6"/>
      <c r="AW747" s="6"/>
      <c r="AX747" s="6"/>
    </row>
    <row r="748" spans="1:50" ht="15.75" customHeight="1" x14ac:dyDescent="0.3">
      <c r="A748" s="13"/>
      <c r="B748" s="13"/>
      <c r="C748" s="13"/>
      <c r="H748" s="178"/>
      <c r="J748" s="42"/>
      <c r="K748" s="178"/>
      <c r="L748" s="178"/>
      <c r="M748" s="178"/>
      <c r="N748" s="17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6"/>
      <c r="AV748" s="6"/>
      <c r="AW748" s="6"/>
      <c r="AX748" s="6"/>
    </row>
    <row r="749" spans="1:50" ht="15.75" customHeight="1" x14ac:dyDescent="0.3">
      <c r="A749" s="13"/>
      <c r="B749" s="13"/>
      <c r="C749" s="13"/>
      <c r="H749" s="178"/>
      <c r="J749" s="42"/>
      <c r="K749" s="178"/>
      <c r="L749" s="178"/>
      <c r="M749" s="178"/>
      <c r="N749" s="17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6"/>
      <c r="AV749" s="6"/>
      <c r="AW749" s="6"/>
      <c r="AX749" s="6"/>
    </row>
    <row r="750" spans="1:50" ht="15.75" customHeight="1" x14ac:dyDescent="0.3">
      <c r="A750" s="13"/>
      <c r="B750" s="13"/>
      <c r="C750" s="13"/>
      <c r="H750" s="178"/>
      <c r="J750" s="42"/>
      <c r="K750" s="178"/>
      <c r="L750" s="178"/>
      <c r="M750" s="178"/>
      <c r="N750" s="17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6"/>
      <c r="AV750" s="6"/>
      <c r="AW750" s="6"/>
      <c r="AX750" s="6"/>
    </row>
    <row r="751" spans="1:50" ht="15.75" customHeight="1" x14ac:dyDescent="0.3">
      <c r="A751" s="13"/>
      <c r="B751" s="13"/>
      <c r="C751" s="13"/>
      <c r="H751" s="178"/>
      <c r="J751" s="42"/>
      <c r="K751" s="178"/>
      <c r="L751" s="178"/>
      <c r="M751" s="178"/>
      <c r="N751" s="17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6"/>
      <c r="AV751" s="6"/>
      <c r="AW751" s="6"/>
      <c r="AX751" s="6"/>
    </row>
    <row r="752" spans="1:50" ht="15.75" customHeight="1" x14ac:dyDescent="0.3">
      <c r="A752" s="13"/>
      <c r="B752" s="13"/>
      <c r="C752" s="13"/>
      <c r="H752" s="178"/>
      <c r="J752" s="42"/>
      <c r="K752" s="178"/>
      <c r="L752" s="178"/>
      <c r="M752" s="178"/>
      <c r="N752" s="17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6"/>
      <c r="AV752" s="6"/>
      <c r="AW752" s="6"/>
      <c r="AX752" s="6"/>
    </row>
    <row r="753" spans="1:50" ht="15.75" customHeight="1" x14ac:dyDescent="0.3">
      <c r="A753" s="13"/>
      <c r="B753" s="13"/>
      <c r="C753" s="13"/>
      <c r="H753" s="178"/>
      <c r="J753" s="42"/>
      <c r="K753" s="178"/>
      <c r="L753" s="178"/>
      <c r="M753" s="178"/>
      <c r="N753" s="17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6"/>
      <c r="AV753" s="6"/>
      <c r="AW753" s="6"/>
      <c r="AX753" s="6"/>
    </row>
    <row r="754" spans="1:50" ht="15.75" customHeight="1" x14ac:dyDescent="0.3">
      <c r="A754" s="13"/>
      <c r="B754" s="13"/>
      <c r="C754" s="13"/>
      <c r="H754" s="178"/>
      <c r="J754" s="42"/>
      <c r="K754" s="178"/>
      <c r="L754" s="178"/>
      <c r="M754" s="178"/>
      <c r="N754" s="17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6"/>
      <c r="AV754" s="6"/>
      <c r="AW754" s="6"/>
      <c r="AX754" s="6"/>
    </row>
    <row r="755" spans="1:50" ht="15.75" customHeight="1" x14ac:dyDescent="0.3">
      <c r="A755" s="13"/>
      <c r="B755" s="13"/>
      <c r="C755" s="13"/>
      <c r="H755" s="178"/>
      <c r="J755" s="42"/>
      <c r="K755" s="178"/>
      <c r="L755" s="178"/>
      <c r="M755" s="178"/>
      <c r="N755" s="17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6"/>
      <c r="AV755" s="6"/>
      <c r="AW755" s="6"/>
      <c r="AX755" s="6"/>
    </row>
    <row r="756" spans="1:50" ht="15.75" customHeight="1" x14ac:dyDescent="0.3">
      <c r="A756" s="13"/>
      <c r="B756" s="13"/>
      <c r="C756" s="13"/>
      <c r="H756" s="178"/>
      <c r="J756" s="42"/>
      <c r="K756" s="178"/>
      <c r="L756" s="178"/>
      <c r="M756" s="178"/>
      <c r="N756" s="17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6"/>
      <c r="AV756" s="6"/>
      <c r="AW756" s="6"/>
      <c r="AX756" s="6"/>
    </row>
    <row r="757" spans="1:50" ht="15.75" customHeight="1" x14ac:dyDescent="0.3">
      <c r="A757" s="13"/>
      <c r="B757" s="13"/>
      <c r="C757" s="13"/>
      <c r="H757" s="178"/>
      <c r="J757" s="42"/>
      <c r="K757" s="178"/>
      <c r="L757" s="178"/>
      <c r="M757" s="178"/>
      <c r="N757" s="17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6"/>
      <c r="AV757" s="6"/>
      <c r="AW757" s="6"/>
      <c r="AX757" s="6"/>
    </row>
    <row r="758" spans="1:50" ht="15.75" customHeight="1" x14ac:dyDescent="0.3">
      <c r="A758" s="13"/>
      <c r="B758" s="13"/>
      <c r="C758" s="13"/>
      <c r="H758" s="178"/>
      <c r="J758" s="42"/>
      <c r="K758" s="178"/>
      <c r="L758" s="178"/>
      <c r="M758" s="178"/>
      <c r="N758" s="17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6"/>
      <c r="AV758" s="6"/>
      <c r="AW758" s="6"/>
      <c r="AX758" s="6"/>
    </row>
    <row r="759" spans="1:50" ht="15.75" customHeight="1" x14ac:dyDescent="0.3">
      <c r="A759" s="13"/>
      <c r="B759" s="13"/>
      <c r="C759" s="13"/>
      <c r="H759" s="178"/>
      <c r="J759" s="42"/>
      <c r="K759" s="178"/>
      <c r="L759" s="178"/>
      <c r="M759" s="178"/>
      <c r="N759" s="17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6"/>
      <c r="AV759" s="6"/>
      <c r="AW759" s="6"/>
      <c r="AX759" s="6"/>
    </row>
    <row r="760" spans="1:50" ht="15.75" customHeight="1" x14ac:dyDescent="0.3">
      <c r="A760" s="13"/>
      <c r="B760" s="13"/>
      <c r="C760" s="13"/>
      <c r="H760" s="178"/>
      <c r="J760" s="42"/>
      <c r="K760" s="178"/>
      <c r="L760" s="178"/>
      <c r="M760" s="178"/>
      <c r="N760" s="17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6"/>
      <c r="AV760" s="6"/>
      <c r="AW760" s="6"/>
      <c r="AX760" s="6"/>
    </row>
    <row r="761" spans="1:50" ht="15.75" customHeight="1" x14ac:dyDescent="0.3">
      <c r="A761" s="13"/>
      <c r="B761" s="13"/>
      <c r="C761" s="13"/>
      <c r="H761" s="178"/>
      <c r="J761" s="42"/>
      <c r="K761" s="178"/>
      <c r="L761" s="178"/>
      <c r="M761" s="178"/>
      <c r="N761" s="17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6"/>
      <c r="AV761" s="6"/>
      <c r="AW761" s="6"/>
      <c r="AX761" s="6"/>
    </row>
    <row r="762" spans="1:50" ht="15.75" customHeight="1" x14ac:dyDescent="0.3">
      <c r="A762" s="13"/>
      <c r="B762" s="13"/>
      <c r="C762" s="13"/>
      <c r="H762" s="178"/>
      <c r="J762" s="42"/>
      <c r="K762" s="178"/>
      <c r="L762" s="178"/>
      <c r="M762" s="178"/>
      <c r="N762" s="17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6"/>
      <c r="AV762" s="6"/>
      <c r="AW762" s="6"/>
      <c r="AX762" s="6"/>
    </row>
    <row r="763" spans="1:50" ht="15.75" customHeight="1" x14ac:dyDescent="0.3">
      <c r="A763" s="13"/>
      <c r="B763" s="13"/>
      <c r="C763" s="13"/>
      <c r="H763" s="178"/>
      <c r="J763" s="42"/>
      <c r="K763" s="178"/>
      <c r="L763" s="178"/>
      <c r="M763" s="178"/>
      <c r="N763" s="17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6"/>
      <c r="AV763" s="6"/>
      <c r="AW763" s="6"/>
      <c r="AX763" s="6"/>
    </row>
    <row r="764" spans="1:50" ht="15.75" customHeight="1" x14ac:dyDescent="0.3">
      <c r="A764" s="13"/>
      <c r="B764" s="13"/>
      <c r="C764" s="13"/>
      <c r="H764" s="178"/>
      <c r="J764" s="42"/>
      <c r="K764" s="178"/>
      <c r="L764" s="178"/>
      <c r="M764" s="178"/>
      <c r="N764" s="17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6"/>
      <c r="AV764" s="6"/>
      <c r="AW764" s="6"/>
      <c r="AX764" s="6"/>
    </row>
    <row r="765" spans="1:50" ht="15.75" customHeight="1" x14ac:dyDescent="0.3">
      <c r="A765" s="13"/>
      <c r="B765" s="13"/>
      <c r="C765" s="13"/>
      <c r="H765" s="178"/>
      <c r="J765" s="42"/>
      <c r="K765" s="178"/>
      <c r="L765" s="178"/>
      <c r="M765" s="178"/>
      <c r="N765" s="17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6"/>
      <c r="AV765" s="6"/>
      <c r="AW765" s="6"/>
      <c r="AX765" s="6"/>
    </row>
    <row r="766" spans="1:50" ht="15.75" customHeight="1" x14ac:dyDescent="0.3">
      <c r="A766" s="13"/>
      <c r="B766" s="13"/>
      <c r="C766" s="13"/>
      <c r="H766" s="178"/>
      <c r="J766" s="42"/>
      <c r="K766" s="178"/>
      <c r="L766" s="178"/>
      <c r="M766" s="178"/>
      <c r="N766" s="17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6"/>
      <c r="AV766" s="6"/>
      <c r="AW766" s="6"/>
      <c r="AX766" s="6"/>
    </row>
    <row r="767" spans="1:50" ht="15.75" customHeight="1" x14ac:dyDescent="0.3">
      <c r="A767" s="13"/>
      <c r="B767" s="13"/>
      <c r="C767" s="13"/>
      <c r="H767" s="178"/>
      <c r="J767" s="42"/>
      <c r="K767" s="178"/>
      <c r="L767" s="178"/>
      <c r="M767" s="178"/>
      <c r="N767" s="17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6"/>
      <c r="AV767" s="6"/>
      <c r="AW767" s="6"/>
      <c r="AX767" s="6"/>
    </row>
    <row r="768" spans="1:50" ht="15.75" customHeight="1" x14ac:dyDescent="0.3">
      <c r="A768" s="13"/>
      <c r="B768" s="13"/>
      <c r="C768" s="13"/>
      <c r="H768" s="178"/>
      <c r="J768" s="42"/>
      <c r="K768" s="178"/>
      <c r="L768" s="178"/>
      <c r="M768" s="178"/>
      <c r="N768" s="17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6"/>
      <c r="AV768" s="6"/>
      <c r="AW768" s="6"/>
      <c r="AX768" s="6"/>
    </row>
    <row r="769" spans="1:50" ht="15.75" customHeight="1" x14ac:dyDescent="0.3">
      <c r="A769" s="13"/>
      <c r="B769" s="13"/>
      <c r="C769" s="13"/>
      <c r="H769" s="178"/>
      <c r="J769" s="42"/>
      <c r="K769" s="178"/>
      <c r="L769" s="178"/>
      <c r="M769" s="178"/>
      <c r="N769" s="17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6"/>
      <c r="AV769" s="6"/>
      <c r="AW769" s="6"/>
      <c r="AX769" s="6"/>
    </row>
    <row r="770" spans="1:50" ht="15.75" customHeight="1" x14ac:dyDescent="0.3">
      <c r="A770" s="13"/>
      <c r="B770" s="13"/>
      <c r="C770" s="13"/>
      <c r="H770" s="178"/>
      <c r="J770" s="42"/>
      <c r="K770" s="178"/>
      <c r="L770" s="178"/>
      <c r="M770" s="178"/>
      <c r="N770" s="17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6"/>
      <c r="AV770" s="6"/>
      <c r="AW770" s="6"/>
      <c r="AX770" s="6"/>
    </row>
    <row r="771" spans="1:50" ht="15.75" customHeight="1" x14ac:dyDescent="0.3">
      <c r="A771" s="13"/>
      <c r="B771" s="13"/>
      <c r="C771" s="13"/>
      <c r="H771" s="178"/>
      <c r="J771" s="42"/>
      <c r="K771" s="178"/>
      <c r="L771" s="178"/>
      <c r="M771" s="178"/>
      <c r="N771" s="17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6"/>
      <c r="AV771" s="6"/>
      <c r="AW771" s="6"/>
      <c r="AX771" s="6"/>
    </row>
    <row r="772" spans="1:50" ht="15.75" customHeight="1" x14ac:dyDescent="0.3">
      <c r="A772" s="13"/>
      <c r="B772" s="13"/>
      <c r="C772" s="13"/>
      <c r="H772" s="178"/>
      <c r="J772" s="42"/>
      <c r="K772" s="178"/>
      <c r="L772" s="178"/>
      <c r="M772" s="178"/>
      <c r="N772" s="17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6"/>
      <c r="AV772" s="6"/>
      <c r="AW772" s="6"/>
      <c r="AX772" s="6"/>
    </row>
    <row r="773" spans="1:50" ht="15.75" customHeight="1" x14ac:dyDescent="0.3">
      <c r="A773" s="13"/>
      <c r="B773" s="13"/>
      <c r="C773" s="13"/>
      <c r="H773" s="178"/>
      <c r="J773" s="42"/>
      <c r="K773" s="178"/>
      <c r="L773" s="178"/>
      <c r="M773" s="178"/>
      <c r="N773" s="17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6"/>
      <c r="AV773" s="6"/>
      <c r="AW773" s="6"/>
      <c r="AX773" s="6"/>
    </row>
    <row r="774" spans="1:50" ht="15.75" customHeight="1" x14ac:dyDescent="0.3">
      <c r="A774" s="13"/>
      <c r="B774" s="13"/>
      <c r="C774" s="13"/>
      <c r="H774" s="178"/>
      <c r="J774" s="42"/>
      <c r="K774" s="178"/>
      <c r="L774" s="178"/>
      <c r="M774" s="178"/>
      <c r="N774" s="17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6"/>
      <c r="AV774" s="6"/>
      <c r="AW774" s="6"/>
      <c r="AX774" s="6"/>
    </row>
    <row r="775" spans="1:50" ht="15.75" customHeight="1" x14ac:dyDescent="0.3">
      <c r="A775" s="13"/>
      <c r="B775" s="13"/>
      <c r="C775" s="13"/>
      <c r="H775" s="178"/>
      <c r="J775" s="42"/>
      <c r="K775" s="178"/>
      <c r="L775" s="178"/>
      <c r="M775" s="178"/>
      <c r="N775" s="17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6"/>
      <c r="AV775" s="6"/>
      <c r="AW775" s="6"/>
      <c r="AX775" s="6"/>
    </row>
    <row r="776" spans="1:50" ht="15.75" customHeight="1" x14ac:dyDescent="0.3">
      <c r="A776" s="13"/>
      <c r="B776" s="13"/>
      <c r="C776" s="13"/>
      <c r="H776" s="178"/>
      <c r="J776" s="42"/>
      <c r="K776" s="178"/>
      <c r="L776" s="178"/>
      <c r="M776" s="178"/>
      <c r="N776" s="17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6"/>
      <c r="AV776" s="6"/>
      <c r="AW776" s="6"/>
      <c r="AX776" s="6"/>
    </row>
    <row r="777" spans="1:50" ht="15.75" customHeight="1" x14ac:dyDescent="0.3">
      <c r="A777" s="13"/>
      <c r="B777" s="13"/>
      <c r="C777" s="13"/>
      <c r="H777" s="178"/>
      <c r="J777" s="42"/>
      <c r="K777" s="178"/>
      <c r="L777" s="178"/>
      <c r="M777" s="178"/>
      <c r="N777" s="17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6"/>
      <c r="AV777" s="6"/>
      <c r="AW777" s="6"/>
      <c r="AX777" s="6"/>
    </row>
    <row r="778" spans="1:50" ht="15.75" customHeight="1" x14ac:dyDescent="0.3">
      <c r="A778" s="13"/>
      <c r="B778" s="13"/>
      <c r="C778" s="13"/>
      <c r="H778" s="178"/>
      <c r="J778" s="42"/>
      <c r="K778" s="178"/>
      <c r="L778" s="178"/>
      <c r="M778" s="178"/>
      <c r="N778" s="17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6"/>
      <c r="AV778" s="6"/>
      <c r="AW778" s="6"/>
      <c r="AX778" s="6"/>
    </row>
    <row r="779" spans="1:50" ht="15.75" customHeight="1" x14ac:dyDescent="0.3">
      <c r="A779" s="13"/>
      <c r="B779" s="13"/>
      <c r="C779" s="13"/>
      <c r="H779" s="178"/>
      <c r="J779" s="42"/>
      <c r="K779" s="178"/>
      <c r="L779" s="178"/>
      <c r="M779" s="178"/>
      <c r="N779" s="17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6"/>
      <c r="AV779" s="6"/>
      <c r="AW779" s="6"/>
      <c r="AX779" s="6"/>
    </row>
    <row r="780" spans="1:50" ht="15.75" customHeight="1" x14ac:dyDescent="0.3">
      <c r="A780" s="13"/>
      <c r="B780" s="13"/>
      <c r="C780" s="13"/>
      <c r="H780" s="178"/>
      <c r="J780" s="42"/>
      <c r="K780" s="178"/>
      <c r="L780" s="178"/>
      <c r="M780" s="178"/>
      <c r="N780" s="17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6"/>
      <c r="AV780" s="6"/>
      <c r="AW780" s="6"/>
      <c r="AX780" s="6"/>
    </row>
    <row r="781" spans="1:50" ht="15.75" customHeight="1" x14ac:dyDescent="0.3">
      <c r="A781" s="13"/>
      <c r="B781" s="13"/>
      <c r="C781" s="13"/>
      <c r="H781" s="178"/>
      <c r="J781" s="42"/>
      <c r="K781" s="178"/>
      <c r="L781" s="178"/>
      <c r="M781" s="178"/>
      <c r="N781" s="17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6"/>
      <c r="AV781" s="6"/>
      <c r="AW781" s="6"/>
      <c r="AX781" s="6"/>
    </row>
    <row r="782" spans="1:50" ht="15.75" customHeight="1" x14ac:dyDescent="0.3">
      <c r="A782" s="13"/>
      <c r="B782" s="13"/>
      <c r="C782" s="13"/>
      <c r="H782" s="178"/>
      <c r="J782" s="42"/>
      <c r="K782" s="178"/>
      <c r="L782" s="178"/>
      <c r="M782" s="178"/>
      <c r="N782" s="17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6"/>
      <c r="AV782" s="6"/>
      <c r="AW782" s="6"/>
      <c r="AX782" s="6"/>
    </row>
    <row r="783" spans="1:50" ht="15.75" customHeight="1" x14ac:dyDescent="0.3">
      <c r="A783" s="13"/>
      <c r="B783" s="13"/>
      <c r="C783" s="13"/>
      <c r="H783" s="178"/>
      <c r="J783" s="42"/>
      <c r="K783" s="178"/>
      <c r="L783" s="178"/>
      <c r="M783" s="178"/>
      <c r="N783" s="17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6"/>
      <c r="AV783" s="6"/>
      <c r="AW783" s="6"/>
      <c r="AX783" s="6"/>
    </row>
    <row r="784" spans="1:50" ht="15.75" customHeight="1" x14ac:dyDescent="0.3">
      <c r="A784" s="13"/>
      <c r="B784" s="13"/>
      <c r="C784" s="13"/>
      <c r="H784" s="178"/>
      <c r="J784" s="42"/>
      <c r="K784" s="178"/>
      <c r="L784" s="178"/>
      <c r="M784" s="178"/>
      <c r="N784" s="17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6"/>
      <c r="AV784" s="6"/>
      <c r="AW784" s="6"/>
      <c r="AX784" s="6"/>
    </row>
    <row r="785" spans="1:50" ht="15.75" customHeight="1" x14ac:dyDescent="0.3">
      <c r="A785" s="13"/>
      <c r="B785" s="13"/>
      <c r="C785" s="13"/>
      <c r="H785" s="178"/>
      <c r="J785" s="42"/>
      <c r="K785" s="178"/>
      <c r="L785" s="178"/>
      <c r="M785" s="178"/>
      <c r="N785" s="17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6"/>
      <c r="AV785" s="6"/>
      <c r="AW785" s="6"/>
      <c r="AX785" s="6"/>
    </row>
    <row r="786" spans="1:50" ht="15.75" customHeight="1" x14ac:dyDescent="0.3">
      <c r="A786" s="13"/>
      <c r="B786" s="13"/>
      <c r="C786" s="13"/>
      <c r="H786" s="178"/>
      <c r="J786" s="42"/>
      <c r="K786" s="178"/>
      <c r="L786" s="178"/>
      <c r="M786" s="178"/>
      <c r="N786" s="17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6"/>
      <c r="AV786" s="6"/>
      <c r="AW786" s="6"/>
      <c r="AX786" s="6"/>
    </row>
    <row r="787" spans="1:50" ht="15.75" customHeight="1" x14ac:dyDescent="0.3">
      <c r="A787" s="13"/>
      <c r="B787" s="13"/>
      <c r="C787" s="13"/>
      <c r="H787" s="178"/>
      <c r="J787" s="42"/>
      <c r="K787" s="178"/>
      <c r="L787" s="178"/>
      <c r="M787" s="178"/>
      <c r="N787" s="17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6"/>
      <c r="AV787" s="6"/>
      <c r="AW787" s="6"/>
      <c r="AX787" s="6"/>
    </row>
    <row r="788" spans="1:50" ht="15.75" customHeight="1" x14ac:dyDescent="0.3">
      <c r="A788" s="13"/>
      <c r="B788" s="13"/>
      <c r="C788" s="13"/>
      <c r="H788" s="178"/>
      <c r="J788" s="42"/>
      <c r="K788" s="178"/>
      <c r="L788" s="178"/>
      <c r="M788" s="178"/>
      <c r="N788" s="17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6"/>
      <c r="AV788" s="6"/>
      <c r="AW788" s="6"/>
      <c r="AX788" s="6"/>
    </row>
    <row r="789" spans="1:50" ht="15.75" customHeight="1" x14ac:dyDescent="0.3">
      <c r="A789" s="13"/>
      <c r="B789" s="13"/>
      <c r="C789" s="13"/>
      <c r="H789" s="178"/>
      <c r="J789" s="42"/>
      <c r="K789" s="178"/>
      <c r="L789" s="178"/>
      <c r="M789" s="178"/>
      <c r="N789" s="17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6"/>
      <c r="AV789" s="6"/>
      <c r="AW789" s="6"/>
      <c r="AX789" s="6"/>
    </row>
    <row r="790" spans="1:50" ht="15.75" customHeight="1" x14ac:dyDescent="0.3">
      <c r="A790" s="13"/>
      <c r="B790" s="13"/>
      <c r="C790" s="13"/>
      <c r="H790" s="178"/>
      <c r="J790" s="42"/>
      <c r="K790" s="178"/>
      <c r="L790" s="178"/>
      <c r="M790" s="178"/>
      <c r="N790" s="17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6"/>
      <c r="AV790" s="6"/>
      <c r="AW790" s="6"/>
      <c r="AX790" s="6"/>
    </row>
    <row r="791" spans="1:50" ht="15.75" customHeight="1" x14ac:dyDescent="0.3">
      <c r="A791" s="13"/>
      <c r="B791" s="13"/>
      <c r="C791" s="13"/>
      <c r="H791" s="178"/>
      <c r="J791" s="42"/>
      <c r="K791" s="178"/>
      <c r="L791" s="178"/>
      <c r="M791" s="178"/>
      <c r="N791" s="17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6"/>
      <c r="AV791" s="6"/>
      <c r="AW791" s="6"/>
      <c r="AX791" s="6"/>
    </row>
    <row r="792" spans="1:50" ht="15.75" customHeight="1" x14ac:dyDescent="0.3">
      <c r="A792" s="13"/>
      <c r="B792" s="13"/>
      <c r="C792" s="13"/>
      <c r="H792" s="178"/>
      <c r="J792" s="42"/>
      <c r="K792" s="178"/>
      <c r="L792" s="178"/>
      <c r="M792" s="178"/>
      <c r="N792" s="17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6"/>
      <c r="AV792" s="6"/>
      <c r="AW792" s="6"/>
      <c r="AX792" s="6"/>
    </row>
    <row r="793" spans="1:50" ht="15.75" customHeight="1" x14ac:dyDescent="0.3">
      <c r="A793" s="13"/>
      <c r="B793" s="13"/>
      <c r="C793" s="13"/>
      <c r="H793" s="178"/>
      <c r="J793" s="42"/>
      <c r="K793" s="178"/>
      <c r="L793" s="178"/>
      <c r="M793" s="178"/>
      <c r="N793" s="17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6"/>
      <c r="AV793" s="6"/>
      <c r="AW793" s="6"/>
      <c r="AX793" s="6"/>
    </row>
    <row r="794" spans="1:50" ht="15.75" customHeight="1" x14ac:dyDescent="0.3">
      <c r="A794" s="13"/>
      <c r="B794" s="13"/>
      <c r="C794" s="13"/>
      <c r="H794" s="178"/>
      <c r="J794" s="42"/>
      <c r="K794" s="178"/>
      <c r="L794" s="178"/>
      <c r="M794" s="178"/>
      <c r="N794" s="17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6"/>
      <c r="AV794" s="6"/>
      <c r="AW794" s="6"/>
      <c r="AX794" s="6"/>
    </row>
    <row r="795" spans="1:50" ht="15.75" customHeight="1" x14ac:dyDescent="0.3">
      <c r="A795" s="13"/>
      <c r="B795" s="13"/>
      <c r="C795" s="13"/>
      <c r="H795" s="178"/>
      <c r="J795" s="42"/>
      <c r="K795" s="178"/>
      <c r="L795" s="178"/>
      <c r="M795" s="178"/>
      <c r="N795" s="17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6"/>
      <c r="AV795" s="6"/>
      <c r="AW795" s="6"/>
      <c r="AX795" s="6"/>
    </row>
    <row r="796" spans="1:50" ht="15.75" customHeight="1" x14ac:dyDescent="0.3">
      <c r="A796" s="13"/>
      <c r="B796" s="13"/>
      <c r="C796" s="13"/>
      <c r="H796" s="178"/>
      <c r="J796" s="42"/>
      <c r="K796" s="178"/>
      <c r="L796" s="178"/>
      <c r="M796" s="178"/>
      <c r="N796" s="17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6"/>
      <c r="AV796" s="6"/>
      <c r="AW796" s="6"/>
      <c r="AX796" s="6"/>
    </row>
    <row r="797" spans="1:50" ht="15.75" customHeight="1" x14ac:dyDescent="0.3">
      <c r="A797" s="13"/>
      <c r="B797" s="13"/>
      <c r="C797" s="13"/>
      <c r="H797" s="178"/>
      <c r="J797" s="42"/>
      <c r="K797" s="178"/>
      <c r="L797" s="178"/>
      <c r="M797" s="178"/>
      <c r="N797" s="17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6"/>
      <c r="AV797" s="6"/>
      <c r="AW797" s="6"/>
      <c r="AX797" s="6"/>
    </row>
    <row r="798" spans="1:50" ht="15.75" customHeight="1" x14ac:dyDescent="0.3">
      <c r="A798" s="13"/>
      <c r="B798" s="13"/>
      <c r="C798" s="13"/>
      <c r="H798" s="178"/>
      <c r="J798" s="42"/>
      <c r="K798" s="178"/>
      <c r="L798" s="178"/>
      <c r="M798" s="178"/>
      <c r="N798" s="17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6"/>
      <c r="AV798" s="6"/>
      <c r="AW798" s="6"/>
      <c r="AX798" s="6"/>
    </row>
    <row r="799" spans="1:50" ht="15.75" customHeight="1" x14ac:dyDescent="0.3">
      <c r="A799" s="13"/>
      <c r="B799" s="13"/>
      <c r="C799" s="13"/>
      <c r="H799" s="178"/>
      <c r="J799" s="42"/>
      <c r="K799" s="178"/>
      <c r="L799" s="178"/>
      <c r="M799" s="178"/>
      <c r="N799" s="17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6"/>
      <c r="AV799" s="6"/>
      <c r="AW799" s="6"/>
      <c r="AX799" s="6"/>
    </row>
    <row r="800" spans="1:50" ht="15.75" customHeight="1" x14ac:dyDescent="0.3">
      <c r="A800" s="13"/>
      <c r="B800" s="13"/>
      <c r="C800" s="13"/>
      <c r="H800" s="178"/>
      <c r="J800" s="42"/>
      <c r="K800" s="178"/>
      <c r="L800" s="178"/>
      <c r="M800" s="178"/>
      <c r="N800" s="17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6"/>
      <c r="AV800" s="6"/>
      <c r="AW800" s="6"/>
      <c r="AX800" s="6"/>
    </row>
    <row r="801" spans="1:50" ht="15.75" customHeight="1" x14ac:dyDescent="0.3">
      <c r="A801" s="13"/>
      <c r="B801" s="13"/>
      <c r="C801" s="13"/>
      <c r="H801" s="178"/>
      <c r="J801" s="42"/>
      <c r="K801" s="178"/>
      <c r="L801" s="178"/>
      <c r="M801" s="178"/>
      <c r="N801" s="17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6"/>
      <c r="AV801" s="6"/>
      <c r="AW801" s="6"/>
      <c r="AX801" s="6"/>
    </row>
    <row r="802" spans="1:50" ht="15.75" customHeight="1" x14ac:dyDescent="0.3">
      <c r="A802" s="13"/>
      <c r="B802" s="13"/>
      <c r="C802" s="13"/>
      <c r="H802" s="178"/>
      <c r="J802" s="42"/>
      <c r="K802" s="178"/>
      <c r="L802" s="178"/>
      <c r="M802" s="178"/>
      <c r="N802" s="17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6"/>
      <c r="AV802" s="6"/>
      <c r="AW802" s="6"/>
      <c r="AX802" s="6"/>
    </row>
    <row r="803" spans="1:50" ht="15.75" customHeight="1" x14ac:dyDescent="0.3">
      <c r="A803" s="13"/>
      <c r="B803" s="13"/>
      <c r="C803" s="13"/>
      <c r="H803" s="178"/>
      <c r="J803" s="42"/>
      <c r="K803" s="178"/>
      <c r="L803" s="178"/>
      <c r="M803" s="178"/>
      <c r="N803" s="17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6"/>
      <c r="AV803" s="6"/>
      <c r="AW803" s="6"/>
      <c r="AX803" s="6"/>
    </row>
    <row r="804" spans="1:50" ht="15.75" customHeight="1" x14ac:dyDescent="0.3">
      <c r="A804" s="13"/>
      <c r="B804" s="13"/>
      <c r="C804" s="13"/>
      <c r="H804" s="178"/>
      <c r="J804" s="42"/>
      <c r="K804" s="178"/>
      <c r="L804" s="178"/>
      <c r="M804" s="178"/>
      <c r="N804" s="17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6"/>
      <c r="AV804" s="6"/>
      <c r="AW804" s="6"/>
      <c r="AX804" s="6"/>
    </row>
    <row r="805" spans="1:50" ht="15.75" customHeight="1" x14ac:dyDescent="0.3">
      <c r="A805" s="13"/>
      <c r="B805" s="13"/>
      <c r="C805" s="13"/>
      <c r="H805" s="178"/>
      <c r="J805" s="42"/>
      <c r="K805" s="178"/>
      <c r="L805" s="178"/>
      <c r="M805" s="178"/>
      <c r="N805" s="17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6"/>
      <c r="AV805" s="6"/>
      <c r="AW805" s="6"/>
      <c r="AX805" s="6"/>
    </row>
    <row r="806" spans="1:50" ht="15.75" customHeight="1" x14ac:dyDescent="0.3">
      <c r="A806" s="13"/>
      <c r="B806" s="13"/>
      <c r="C806" s="13"/>
      <c r="H806" s="178"/>
      <c r="J806" s="42"/>
      <c r="K806" s="178"/>
      <c r="L806" s="178"/>
      <c r="M806" s="178"/>
      <c r="N806" s="17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6"/>
      <c r="AV806" s="6"/>
      <c r="AW806" s="6"/>
      <c r="AX806" s="6"/>
    </row>
    <row r="807" spans="1:50" ht="15.75" customHeight="1" x14ac:dyDescent="0.3">
      <c r="A807" s="13"/>
      <c r="B807" s="13"/>
      <c r="C807" s="13"/>
      <c r="H807" s="178"/>
      <c r="J807" s="42"/>
      <c r="K807" s="178"/>
      <c r="L807" s="178"/>
      <c r="M807" s="178"/>
      <c r="N807" s="17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6"/>
      <c r="AV807" s="6"/>
      <c r="AW807" s="6"/>
      <c r="AX807" s="6"/>
    </row>
    <row r="808" spans="1:50" ht="15.75" customHeight="1" x14ac:dyDescent="0.3">
      <c r="A808" s="13"/>
      <c r="B808" s="13"/>
      <c r="C808" s="13"/>
      <c r="H808" s="178"/>
      <c r="J808" s="42"/>
      <c r="K808" s="178"/>
      <c r="L808" s="178"/>
      <c r="M808" s="178"/>
      <c r="N808" s="17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6"/>
      <c r="AV808" s="6"/>
      <c r="AW808" s="6"/>
      <c r="AX808" s="6"/>
    </row>
    <row r="809" spans="1:50" ht="15.75" customHeight="1" x14ac:dyDescent="0.3">
      <c r="A809" s="13"/>
      <c r="B809" s="13"/>
      <c r="C809" s="13"/>
      <c r="H809" s="178"/>
      <c r="J809" s="42"/>
      <c r="K809" s="178"/>
      <c r="L809" s="178"/>
      <c r="M809" s="178"/>
      <c r="N809" s="17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6"/>
      <c r="AV809" s="6"/>
      <c r="AW809" s="6"/>
      <c r="AX809" s="6"/>
    </row>
    <row r="810" spans="1:50" ht="15.75" customHeight="1" x14ac:dyDescent="0.3">
      <c r="A810" s="13"/>
      <c r="B810" s="13"/>
      <c r="C810" s="13"/>
      <c r="H810" s="178"/>
      <c r="J810" s="42"/>
      <c r="K810" s="178"/>
      <c r="L810" s="178"/>
      <c r="M810" s="178"/>
      <c r="N810" s="17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6"/>
      <c r="AV810" s="6"/>
      <c r="AW810" s="6"/>
      <c r="AX810" s="6"/>
    </row>
    <row r="811" spans="1:50" ht="15.75" customHeight="1" x14ac:dyDescent="0.3">
      <c r="A811" s="13"/>
      <c r="B811" s="13"/>
      <c r="C811" s="13"/>
      <c r="H811" s="178"/>
      <c r="J811" s="42"/>
      <c r="K811" s="178"/>
      <c r="L811" s="178"/>
      <c r="M811" s="178"/>
      <c r="N811" s="17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6"/>
      <c r="AV811" s="6"/>
      <c r="AW811" s="6"/>
      <c r="AX811" s="6"/>
    </row>
    <row r="812" spans="1:50" ht="15.75" customHeight="1" x14ac:dyDescent="0.3">
      <c r="A812" s="13"/>
      <c r="B812" s="13"/>
      <c r="C812" s="13"/>
      <c r="H812" s="178"/>
      <c r="J812" s="42"/>
      <c r="K812" s="178"/>
      <c r="L812" s="178"/>
      <c r="M812" s="178"/>
      <c r="N812" s="17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6"/>
      <c r="AV812" s="6"/>
      <c r="AW812" s="6"/>
      <c r="AX812" s="6"/>
    </row>
    <row r="813" spans="1:50" ht="15.75" customHeight="1" x14ac:dyDescent="0.3">
      <c r="A813" s="13"/>
      <c r="B813" s="13"/>
      <c r="C813" s="13"/>
      <c r="H813" s="178"/>
      <c r="J813" s="42"/>
      <c r="K813" s="178"/>
      <c r="L813" s="178"/>
      <c r="M813" s="178"/>
      <c r="N813" s="17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6"/>
      <c r="AV813" s="6"/>
      <c r="AW813" s="6"/>
      <c r="AX813" s="6"/>
    </row>
    <row r="814" spans="1:50" ht="15.75" customHeight="1" x14ac:dyDescent="0.3">
      <c r="A814" s="13"/>
      <c r="B814" s="13"/>
      <c r="C814" s="13"/>
      <c r="H814" s="178"/>
      <c r="J814" s="42"/>
      <c r="K814" s="178"/>
      <c r="L814" s="178"/>
      <c r="M814" s="178"/>
      <c r="N814" s="17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6"/>
      <c r="AV814" s="6"/>
      <c r="AW814" s="6"/>
      <c r="AX814" s="6"/>
    </row>
    <row r="815" spans="1:50" ht="15.75" customHeight="1" x14ac:dyDescent="0.3">
      <c r="A815" s="13"/>
      <c r="B815" s="13"/>
      <c r="C815" s="13"/>
      <c r="H815" s="178"/>
      <c r="J815" s="42"/>
      <c r="K815" s="178"/>
      <c r="L815" s="178"/>
      <c r="M815" s="178"/>
      <c r="N815" s="17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6"/>
      <c r="AV815" s="6"/>
      <c r="AW815" s="6"/>
      <c r="AX815" s="6"/>
    </row>
    <row r="816" spans="1:50" ht="15.75" customHeight="1" x14ac:dyDescent="0.3">
      <c r="A816" s="13"/>
      <c r="B816" s="13"/>
      <c r="C816" s="13"/>
      <c r="H816" s="178"/>
      <c r="J816" s="42"/>
      <c r="K816" s="178"/>
      <c r="L816" s="178"/>
      <c r="M816" s="178"/>
      <c r="N816" s="17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6"/>
      <c r="AV816" s="6"/>
      <c r="AW816" s="6"/>
      <c r="AX816" s="6"/>
    </row>
    <row r="817" spans="1:50" ht="15.75" customHeight="1" x14ac:dyDescent="0.3">
      <c r="A817" s="13"/>
      <c r="B817" s="13"/>
      <c r="C817" s="13"/>
      <c r="H817" s="178"/>
      <c r="J817" s="42"/>
      <c r="K817" s="178"/>
      <c r="L817" s="178"/>
      <c r="M817" s="178"/>
      <c r="N817" s="17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6"/>
      <c r="AV817" s="6"/>
      <c r="AW817" s="6"/>
      <c r="AX817" s="6"/>
    </row>
    <row r="818" spans="1:50" ht="15.75" customHeight="1" x14ac:dyDescent="0.3">
      <c r="A818" s="13"/>
      <c r="B818" s="13"/>
      <c r="C818" s="13"/>
      <c r="H818" s="178"/>
      <c r="J818" s="42"/>
      <c r="K818" s="178"/>
      <c r="L818" s="178"/>
      <c r="M818" s="178"/>
      <c r="N818" s="17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6"/>
      <c r="AV818" s="6"/>
      <c r="AW818" s="6"/>
      <c r="AX818" s="6"/>
    </row>
    <row r="819" spans="1:50" ht="15.75" customHeight="1" x14ac:dyDescent="0.3">
      <c r="A819" s="13"/>
      <c r="B819" s="13"/>
      <c r="C819" s="13"/>
      <c r="H819" s="178"/>
      <c r="J819" s="42"/>
      <c r="K819" s="178"/>
      <c r="L819" s="178"/>
      <c r="M819" s="178"/>
      <c r="N819" s="17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6"/>
      <c r="AV819" s="6"/>
      <c r="AW819" s="6"/>
      <c r="AX819" s="6"/>
    </row>
    <row r="820" spans="1:50" ht="15.75" customHeight="1" x14ac:dyDescent="0.3">
      <c r="A820" s="13"/>
      <c r="B820" s="13"/>
      <c r="C820" s="13"/>
      <c r="H820" s="178"/>
      <c r="J820" s="42"/>
      <c r="K820" s="178"/>
      <c r="L820" s="178"/>
      <c r="M820" s="178"/>
      <c r="N820" s="17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6"/>
      <c r="AV820" s="6"/>
      <c r="AW820" s="6"/>
      <c r="AX820" s="6"/>
    </row>
    <row r="821" spans="1:50" ht="15.75" customHeight="1" x14ac:dyDescent="0.3">
      <c r="A821" s="13"/>
      <c r="B821" s="13"/>
      <c r="C821" s="13"/>
      <c r="H821" s="178"/>
      <c r="J821" s="42"/>
      <c r="K821" s="178"/>
      <c r="L821" s="178"/>
      <c r="M821" s="178"/>
      <c r="N821" s="17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6"/>
      <c r="AV821" s="6"/>
      <c r="AW821" s="6"/>
      <c r="AX821" s="6"/>
    </row>
    <row r="822" spans="1:50" ht="15.75" customHeight="1" x14ac:dyDescent="0.3">
      <c r="A822" s="13"/>
      <c r="B822" s="13"/>
      <c r="C822" s="13"/>
      <c r="H822" s="178"/>
      <c r="J822" s="42"/>
      <c r="K822" s="178"/>
      <c r="L822" s="178"/>
      <c r="M822" s="178"/>
      <c r="N822" s="17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6"/>
      <c r="AV822" s="6"/>
      <c r="AW822" s="6"/>
      <c r="AX822" s="6"/>
    </row>
    <row r="823" spans="1:50" ht="15.75" customHeight="1" x14ac:dyDescent="0.3">
      <c r="A823" s="13"/>
      <c r="B823" s="13"/>
      <c r="C823" s="13"/>
      <c r="H823" s="178"/>
      <c r="J823" s="42"/>
      <c r="K823" s="178"/>
      <c r="L823" s="178"/>
      <c r="M823" s="178"/>
      <c r="N823" s="17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6"/>
      <c r="AV823" s="6"/>
      <c r="AW823" s="6"/>
      <c r="AX823" s="6"/>
    </row>
    <row r="824" spans="1:50" ht="15.75" customHeight="1" x14ac:dyDescent="0.3">
      <c r="A824" s="13"/>
      <c r="B824" s="13"/>
      <c r="C824" s="13"/>
      <c r="H824" s="178"/>
      <c r="J824" s="42"/>
      <c r="K824" s="178"/>
      <c r="L824" s="178"/>
      <c r="M824" s="178"/>
      <c r="N824" s="17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6"/>
      <c r="AV824" s="6"/>
      <c r="AW824" s="6"/>
      <c r="AX824" s="6"/>
    </row>
    <row r="825" spans="1:50" ht="15.75" customHeight="1" x14ac:dyDescent="0.3">
      <c r="A825" s="13"/>
      <c r="B825" s="13"/>
      <c r="C825" s="13"/>
      <c r="H825" s="178"/>
      <c r="J825" s="42"/>
      <c r="K825" s="178"/>
      <c r="L825" s="178"/>
      <c r="M825" s="178"/>
      <c r="N825" s="17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6"/>
      <c r="AV825" s="6"/>
      <c r="AW825" s="6"/>
      <c r="AX825" s="6"/>
    </row>
    <row r="826" spans="1:50" ht="15.75" customHeight="1" x14ac:dyDescent="0.3">
      <c r="A826" s="13"/>
      <c r="B826" s="13"/>
      <c r="C826" s="13"/>
      <c r="H826" s="178"/>
      <c r="J826" s="42"/>
      <c r="K826" s="178"/>
      <c r="L826" s="178"/>
      <c r="M826" s="178"/>
      <c r="N826" s="17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6"/>
      <c r="AV826" s="6"/>
      <c r="AW826" s="6"/>
      <c r="AX826" s="6"/>
    </row>
    <row r="827" spans="1:50" ht="15.75" customHeight="1" x14ac:dyDescent="0.3">
      <c r="A827" s="13"/>
      <c r="B827" s="13"/>
      <c r="C827" s="13"/>
      <c r="H827" s="178"/>
      <c r="J827" s="42"/>
      <c r="K827" s="178"/>
      <c r="L827" s="178"/>
      <c r="M827" s="178"/>
      <c r="N827" s="17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6"/>
      <c r="AV827" s="6"/>
      <c r="AW827" s="6"/>
      <c r="AX827" s="6"/>
    </row>
    <row r="828" spans="1:50" ht="15.75" customHeight="1" x14ac:dyDescent="0.3">
      <c r="A828" s="13"/>
      <c r="B828" s="13"/>
      <c r="C828" s="13"/>
      <c r="H828" s="178"/>
      <c r="J828" s="42"/>
      <c r="K828" s="178"/>
      <c r="L828" s="178"/>
      <c r="M828" s="178"/>
      <c r="N828" s="17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6"/>
      <c r="AV828" s="6"/>
      <c r="AW828" s="6"/>
      <c r="AX828" s="6"/>
    </row>
    <row r="829" spans="1:50" ht="15.75" customHeight="1" x14ac:dyDescent="0.3">
      <c r="A829" s="13"/>
      <c r="B829" s="13"/>
      <c r="C829" s="13"/>
      <c r="H829" s="178"/>
      <c r="J829" s="42"/>
      <c r="K829" s="178"/>
      <c r="L829" s="178"/>
      <c r="M829" s="178"/>
      <c r="N829" s="17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6"/>
      <c r="AV829" s="6"/>
      <c r="AW829" s="6"/>
      <c r="AX829" s="6"/>
    </row>
    <row r="830" spans="1:50" ht="15.75" customHeight="1" x14ac:dyDescent="0.3">
      <c r="A830" s="13"/>
      <c r="B830" s="13"/>
      <c r="C830" s="13"/>
      <c r="H830" s="178"/>
      <c r="J830" s="42"/>
      <c r="K830" s="178"/>
      <c r="L830" s="178"/>
      <c r="M830" s="178"/>
      <c r="N830" s="17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6"/>
      <c r="AV830" s="6"/>
      <c r="AW830" s="6"/>
      <c r="AX830" s="6"/>
    </row>
    <row r="831" spans="1:50" ht="15.75" customHeight="1" x14ac:dyDescent="0.3">
      <c r="A831" s="13"/>
      <c r="B831" s="13"/>
      <c r="C831" s="13"/>
      <c r="H831" s="178"/>
      <c r="J831" s="42"/>
      <c r="K831" s="178"/>
      <c r="L831" s="178"/>
      <c r="M831" s="178"/>
      <c r="N831" s="17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6"/>
      <c r="AV831" s="6"/>
      <c r="AW831" s="6"/>
      <c r="AX831" s="6"/>
    </row>
    <row r="832" spans="1:50" ht="15.75" customHeight="1" x14ac:dyDescent="0.3">
      <c r="A832" s="13"/>
      <c r="B832" s="13"/>
      <c r="C832" s="13"/>
      <c r="H832" s="178"/>
      <c r="J832" s="42"/>
      <c r="K832" s="178"/>
      <c r="L832" s="178"/>
      <c r="M832" s="178"/>
      <c r="N832" s="17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6"/>
      <c r="AV832" s="6"/>
      <c r="AW832" s="6"/>
      <c r="AX832" s="6"/>
    </row>
    <row r="833" spans="1:50" ht="15.75" customHeight="1" x14ac:dyDescent="0.3">
      <c r="A833" s="13"/>
      <c r="B833" s="13"/>
      <c r="C833" s="13"/>
      <c r="H833" s="178"/>
      <c r="J833" s="42"/>
      <c r="K833" s="178"/>
      <c r="L833" s="178"/>
      <c r="M833" s="178"/>
      <c r="N833" s="17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6"/>
      <c r="AV833" s="6"/>
      <c r="AW833" s="6"/>
      <c r="AX833" s="6"/>
    </row>
    <row r="834" spans="1:50" ht="15.75" customHeight="1" x14ac:dyDescent="0.3">
      <c r="A834" s="13"/>
      <c r="B834" s="13"/>
      <c r="C834" s="13"/>
      <c r="H834" s="178"/>
      <c r="J834" s="42"/>
      <c r="K834" s="178"/>
      <c r="L834" s="178"/>
      <c r="M834" s="178"/>
      <c r="N834" s="17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6"/>
      <c r="AV834" s="6"/>
      <c r="AW834" s="6"/>
      <c r="AX834" s="6"/>
    </row>
    <row r="835" spans="1:50" ht="15.75" customHeight="1" x14ac:dyDescent="0.3">
      <c r="A835" s="13"/>
      <c r="B835" s="13"/>
      <c r="C835" s="13"/>
      <c r="H835" s="178"/>
      <c r="J835" s="42"/>
      <c r="K835" s="178"/>
      <c r="L835" s="178"/>
      <c r="M835" s="178"/>
      <c r="N835" s="17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6"/>
      <c r="AV835" s="6"/>
      <c r="AW835" s="6"/>
      <c r="AX835" s="6"/>
    </row>
    <row r="836" spans="1:50" ht="15.75" customHeight="1" x14ac:dyDescent="0.3">
      <c r="A836" s="13"/>
      <c r="B836" s="13"/>
      <c r="C836" s="13"/>
      <c r="H836" s="178"/>
      <c r="J836" s="42"/>
      <c r="K836" s="178"/>
      <c r="L836" s="178"/>
      <c r="M836" s="178"/>
      <c r="N836" s="17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6"/>
      <c r="AV836" s="6"/>
      <c r="AW836" s="6"/>
      <c r="AX836" s="6"/>
    </row>
    <row r="837" spans="1:50" ht="15.75" customHeight="1" x14ac:dyDescent="0.3">
      <c r="A837" s="13"/>
      <c r="B837" s="13"/>
      <c r="C837" s="13"/>
      <c r="H837" s="178"/>
      <c r="J837" s="42"/>
      <c r="K837" s="178"/>
      <c r="L837" s="178"/>
      <c r="M837" s="178"/>
      <c r="N837" s="17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6"/>
      <c r="AV837" s="6"/>
      <c r="AW837" s="6"/>
      <c r="AX837" s="6"/>
    </row>
    <row r="838" spans="1:50" ht="15.75" customHeight="1" x14ac:dyDescent="0.3">
      <c r="A838" s="13"/>
      <c r="B838" s="13"/>
      <c r="C838" s="13"/>
      <c r="H838" s="178"/>
      <c r="J838" s="42"/>
      <c r="K838" s="178"/>
      <c r="L838" s="178"/>
      <c r="M838" s="178"/>
      <c r="N838" s="17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6"/>
      <c r="AV838" s="6"/>
      <c r="AW838" s="6"/>
      <c r="AX838" s="6"/>
    </row>
    <row r="839" spans="1:50" ht="15.75" customHeight="1" x14ac:dyDescent="0.3">
      <c r="A839" s="13"/>
      <c r="B839" s="13"/>
      <c r="C839" s="13"/>
      <c r="H839" s="178"/>
      <c r="J839" s="42"/>
      <c r="K839" s="178"/>
      <c r="L839" s="178"/>
      <c r="M839" s="178"/>
      <c r="N839" s="17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6"/>
      <c r="AV839" s="6"/>
      <c r="AW839" s="6"/>
      <c r="AX839" s="6"/>
    </row>
    <row r="840" spans="1:50" ht="15.75" customHeight="1" x14ac:dyDescent="0.3">
      <c r="A840" s="13"/>
      <c r="B840" s="13"/>
      <c r="C840" s="13"/>
      <c r="H840" s="178"/>
      <c r="J840" s="42"/>
      <c r="K840" s="178"/>
      <c r="L840" s="178"/>
      <c r="M840" s="178"/>
      <c r="N840" s="17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6"/>
      <c r="AV840" s="6"/>
      <c r="AW840" s="6"/>
      <c r="AX840" s="6"/>
    </row>
    <row r="841" spans="1:50" ht="15.75" customHeight="1" x14ac:dyDescent="0.3">
      <c r="A841" s="13"/>
      <c r="B841" s="13"/>
      <c r="C841" s="13"/>
      <c r="H841" s="178"/>
      <c r="J841" s="42"/>
      <c r="K841" s="178"/>
      <c r="L841" s="178"/>
      <c r="M841" s="178"/>
      <c r="N841" s="17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6"/>
      <c r="AV841" s="6"/>
      <c r="AW841" s="6"/>
      <c r="AX841" s="6"/>
    </row>
    <row r="842" spans="1:50" ht="15.75" customHeight="1" x14ac:dyDescent="0.3">
      <c r="A842" s="13"/>
      <c r="B842" s="13"/>
      <c r="C842" s="13"/>
      <c r="H842" s="178"/>
      <c r="J842" s="42"/>
      <c r="K842" s="178"/>
      <c r="L842" s="178"/>
      <c r="M842" s="178"/>
      <c r="N842" s="17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6"/>
      <c r="AV842" s="6"/>
      <c r="AW842" s="6"/>
      <c r="AX842" s="6"/>
    </row>
    <row r="843" spans="1:50" ht="15.75" customHeight="1" x14ac:dyDescent="0.3">
      <c r="A843" s="13"/>
      <c r="B843" s="13"/>
      <c r="C843" s="13"/>
      <c r="H843" s="178"/>
      <c r="J843" s="42"/>
      <c r="K843" s="178"/>
      <c r="L843" s="178"/>
      <c r="M843" s="178"/>
      <c r="N843" s="17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6"/>
      <c r="AV843" s="6"/>
      <c r="AW843" s="6"/>
      <c r="AX843" s="6"/>
    </row>
    <row r="844" spans="1:50" ht="15.75" customHeight="1" x14ac:dyDescent="0.3">
      <c r="A844" s="13"/>
      <c r="B844" s="13"/>
      <c r="C844" s="13"/>
      <c r="H844" s="178"/>
      <c r="J844" s="42"/>
      <c r="K844" s="178"/>
      <c r="L844" s="178"/>
      <c r="M844" s="178"/>
      <c r="N844" s="17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6"/>
      <c r="AV844" s="6"/>
      <c r="AW844" s="6"/>
      <c r="AX844" s="6"/>
    </row>
    <row r="845" spans="1:50" ht="15.75" customHeight="1" x14ac:dyDescent="0.3">
      <c r="A845" s="13"/>
      <c r="B845" s="13"/>
      <c r="C845" s="13"/>
      <c r="H845" s="178"/>
      <c r="J845" s="42"/>
      <c r="K845" s="178"/>
      <c r="L845" s="178"/>
      <c r="M845" s="178"/>
      <c r="N845" s="17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6"/>
      <c r="AV845" s="6"/>
      <c r="AW845" s="6"/>
      <c r="AX845" s="6"/>
    </row>
    <row r="846" spans="1:50" ht="15.75" customHeight="1" x14ac:dyDescent="0.3">
      <c r="A846" s="13"/>
      <c r="B846" s="13"/>
      <c r="C846" s="13"/>
      <c r="H846" s="178"/>
      <c r="J846" s="42"/>
      <c r="K846" s="178"/>
      <c r="L846" s="178"/>
      <c r="M846" s="178"/>
      <c r="N846" s="17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6"/>
      <c r="AV846" s="6"/>
      <c r="AW846" s="6"/>
      <c r="AX846" s="6"/>
    </row>
    <row r="847" spans="1:50" ht="15.75" customHeight="1" x14ac:dyDescent="0.3">
      <c r="A847" s="13"/>
      <c r="B847" s="13"/>
      <c r="C847" s="13"/>
      <c r="H847" s="178"/>
      <c r="J847" s="42"/>
      <c r="K847" s="178"/>
      <c r="L847" s="178"/>
      <c r="M847" s="178"/>
      <c r="N847" s="17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6"/>
      <c r="AV847" s="6"/>
      <c r="AW847" s="6"/>
      <c r="AX847" s="6"/>
    </row>
    <row r="848" spans="1:50" ht="15.75" customHeight="1" x14ac:dyDescent="0.3">
      <c r="A848" s="13"/>
      <c r="B848" s="13"/>
      <c r="C848" s="13"/>
      <c r="H848" s="178"/>
      <c r="J848" s="42"/>
      <c r="K848" s="178"/>
      <c r="L848" s="178"/>
      <c r="M848" s="178"/>
      <c r="N848" s="17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6"/>
      <c r="AV848" s="6"/>
      <c r="AW848" s="6"/>
      <c r="AX848" s="6"/>
    </row>
    <row r="849" spans="1:50" ht="15.75" customHeight="1" x14ac:dyDescent="0.3">
      <c r="A849" s="13"/>
      <c r="B849" s="13"/>
      <c r="C849" s="13"/>
      <c r="H849" s="178"/>
      <c r="J849" s="42"/>
      <c r="K849" s="178"/>
      <c r="L849" s="178"/>
      <c r="M849" s="178"/>
      <c r="N849" s="17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6"/>
      <c r="AV849" s="6"/>
      <c r="AW849" s="6"/>
      <c r="AX849" s="6"/>
    </row>
    <row r="850" spans="1:50" ht="15.75" customHeight="1" x14ac:dyDescent="0.3">
      <c r="A850" s="13"/>
      <c r="B850" s="13"/>
      <c r="C850" s="13"/>
      <c r="H850" s="178"/>
      <c r="J850" s="42"/>
      <c r="K850" s="178"/>
      <c r="L850" s="178"/>
      <c r="M850" s="178"/>
      <c r="N850" s="17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6"/>
      <c r="AV850" s="6"/>
      <c r="AW850" s="6"/>
      <c r="AX850" s="6"/>
    </row>
    <row r="851" spans="1:50" ht="15.75" customHeight="1" x14ac:dyDescent="0.3">
      <c r="A851" s="13"/>
      <c r="B851" s="13"/>
      <c r="C851" s="13"/>
      <c r="H851" s="178"/>
      <c r="J851" s="42"/>
      <c r="K851" s="178"/>
      <c r="L851" s="178"/>
      <c r="M851" s="178"/>
      <c r="N851" s="17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6"/>
      <c r="AV851" s="6"/>
      <c r="AW851" s="6"/>
      <c r="AX851" s="6"/>
    </row>
    <row r="852" spans="1:50" ht="15.75" customHeight="1" x14ac:dyDescent="0.3">
      <c r="A852" s="13"/>
      <c r="B852" s="13"/>
      <c r="C852" s="13"/>
      <c r="H852" s="178"/>
      <c r="J852" s="42"/>
      <c r="K852" s="178"/>
      <c r="L852" s="178"/>
      <c r="M852" s="178"/>
      <c r="N852" s="17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6"/>
      <c r="AV852" s="6"/>
      <c r="AW852" s="6"/>
      <c r="AX852" s="6"/>
    </row>
    <row r="853" spans="1:50" ht="15.75" customHeight="1" x14ac:dyDescent="0.3">
      <c r="A853" s="13"/>
      <c r="B853" s="13"/>
      <c r="C853" s="13"/>
      <c r="H853" s="178"/>
      <c r="J853" s="42"/>
      <c r="K853" s="178"/>
      <c r="L853" s="178"/>
      <c r="M853" s="178"/>
      <c r="N853" s="17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6"/>
      <c r="AV853" s="6"/>
      <c r="AW853" s="6"/>
      <c r="AX853" s="6"/>
    </row>
    <row r="854" spans="1:50" ht="15.75" customHeight="1" x14ac:dyDescent="0.3">
      <c r="A854" s="13"/>
      <c r="B854" s="13"/>
      <c r="C854" s="13"/>
      <c r="H854" s="178"/>
      <c r="J854" s="42"/>
      <c r="K854" s="178"/>
      <c r="L854" s="178"/>
      <c r="M854" s="178"/>
      <c r="N854" s="17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6"/>
      <c r="AV854" s="6"/>
      <c r="AW854" s="6"/>
      <c r="AX854" s="6"/>
    </row>
    <row r="855" spans="1:50" ht="15.75" customHeight="1" x14ac:dyDescent="0.3">
      <c r="A855" s="13"/>
      <c r="B855" s="13"/>
      <c r="C855" s="13"/>
      <c r="H855" s="178"/>
      <c r="J855" s="42"/>
      <c r="K855" s="178"/>
      <c r="L855" s="178"/>
      <c r="M855" s="178"/>
      <c r="N855" s="17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6"/>
      <c r="AV855" s="6"/>
      <c r="AW855" s="6"/>
      <c r="AX855" s="6"/>
    </row>
    <row r="856" spans="1:50" ht="15.75" customHeight="1" x14ac:dyDescent="0.3">
      <c r="A856" s="13"/>
      <c r="B856" s="13"/>
      <c r="C856" s="13"/>
      <c r="H856" s="178"/>
      <c r="J856" s="42"/>
      <c r="K856" s="178"/>
      <c r="L856" s="178"/>
      <c r="M856" s="178"/>
      <c r="N856" s="17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6"/>
      <c r="AV856" s="6"/>
      <c r="AW856" s="6"/>
      <c r="AX856" s="6"/>
    </row>
    <row r="857" spans="1:50" ht="15.75" customHeight="1" x14ac:dyDescent="0.3">
      <c r="A857" s="13"/>
      <c r="B857" s="13"/>
      <c r="C857" s="13"/>
      <c r="H857" s="178"/>
      <c r="J857" s="42"/>
      <c r="K857" s="178"/>
      <c r="L857" s="178"/>
      <c r="M857" s="178"/>
      <c r="N857" s="17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6"/>
      <c r="AV857" s="6"/>
      <c r="AW857" s="6"/>
      <c r="AX857" s="6"/>
    </row>
    <row r="858" spans="1:50" ht="15.75" customHeight="1" x14ac:dyDescent="0.3">
      <c r="A858" s="13"/>
      <c r="B858" s="13"/>
      <c r="C858" s="13"/>
      <c r="H858" s="178"/>
      <c r="J858" s="42"/>
      <c r="K858" s="178"/>
      <c r="L858" s="178"/>
      <c r="M858" s="178"/>
      <c r="N858" s="17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6"/>
      <c r="AV858" s="6"/>
      <c r="AW858" s="6"/>
      <c r="AX858" s="6"/>
    </row>
    <row r="859" spans="1:50" ht="15.75" customHeight="1" x14ac:dyDescent="0.3">
      <c r="A859" s="13"/>
      <c r="B859" s="13"/>
      <c r="C859" s="13"/>
      <c r="H859" s="178"/>
      <c r="J859" s="42"/>
      <c r="K859" s="178"/>
      <c r="L859" s="178"/>
      <c r="M859" s="178"/>
      <c r="N859" s="17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6"/>
      <c r="AV859" s="6"/>
      <c r="AW859" s="6"/>
      <c r="AX859" s="6"/>
    </row>
    <row r="860" spans="1:50" ht="15.75" customHeight="1" x14ac:dyDescent="0.3">
      <c r="A860" s="13"/>
      <c r="B860" s="13"/>
      <c r="C860" s="13"/>
      <c r="H860" s="178"/>
      <c r="J860" s="42"/>
      <c r="K860" s="178"/>
      <c r="L860" s="178"/>
      <c r="M860" s="178"/>
      <c r="N860" s="17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6"/>
      <c r="AV860" s="6"/>
      <c r="AW860" s="6"/>
      <c r="AX860" s="6"/>
    </row>
    <row r="861" spans="1:50" ht="15.75" customHeight="1" x14ac:dyDescent="0.3">
      <c r="A861" s="13"/>
      <c r="B861" s="13"/>
      <c r="C861" s="13"/>
      <c r="H861" s="178"/>
      <c r="J861" s="42"/>
      <c r="K861" s="178"/>
      <c r="L861" s="178"/>
      <c r="M861" s="178"/>
      <c r="N861" s="17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6"/>
      <c r="AV861" s="6"/>
      <c r="AW861" s="6"/>
      <c r="AX861" s="6"/>
    </row>
    <row r="862" spans="1:50" ht="15.75" customHeight="1" x14ac:dyDescent="0.3">
      <c r="A862" s="13"/>
      <c r="B862" s="13"/>
      <c r="C862" s="13"/>
      <c r="H862" s="178"/>
      <c r="J862" s="42"/>
      <c r="K862" s="178"/>
      <c r="L862" s="178"/>
      <c r="M862" s="178"/>
      <c r="N862" s="17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6"/>
      <c r="AV862" s="6"/>
      <c r="AW862" s="6"/>
      <c r="AX862" s="6"/>
    </row>
    <row r="863" spans="1:50" ht="15.75" customHeight="1" x14ac:dyDescent="0.3">
      <c r="A863" s="13"/>
      <c r="B863" s="13"/>
      <c r="C863" s="13"/>
      <c r="H863" s="178"/>
      <c r="J863" s="42"/>
      <c r="K863" s="178"/>
      <c r="L863" s="178"/>
      <c r="M863" s="178"/>
      <c r="N863" s="17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6"/>
      <c r="AV863" s="6"/>
      <c r="AW863" s="6"/>
      <c r="AX863" s="6"/>
    </row>
    <row r="864" spans="1:50" ht="15.75" customHeight="1" x14ac:dyDescent="0.3">
      <c r="A864" s="13"/>
      <c r="B864" s="13"/>
      <c r="C864" s="13"/>
      <c r="H864" s="178"/>
      <c r="J864" s="42"/>
      <c r="K864" s="178"/>
      <c r="L864" s="178"/>
      <c r="M864" s="178"/>
      <c r="N864" s="17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6"/>
      <c r="AV864" s="6"/>
      <c r="AW864" s="6"/>
      <c r="AX864" s="6"/>
    </row>
    <row r="865" spans="1:50" ht="15.75" customHeight="1" x14ac:dyDescent="0.3">
      <c r="A865" s="13"/>
      <c r="B865" s="13"/>
      <c r="C865" s="13"/>
      <c r="H865" s="178"/>
      <c r="J865" s="42"/>
      <c r="K865" s="178"/>
      <c r="L865" s="178"/>
      <c r="M865" s="178"/>
      <c r="N865" s="17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6"/>
      <c r="AV865" s="6"/>
      <c r="AW865" s="6"/>
      <c r="AX865" s="6"/>
    </row>
    <row r="866" spans="1:50" ht="15.75" customHeight="1" x14ac:dyDescent="0.3">
      <c r="A866" s="13"/>
      <c r="B866" s="13"/>
      <c r="C866" s="13"/>
      <c r="H866" s="178"/>
      <c r="J866" s="42"/>
      <c r="K866" s="178"/>
      <c r="L866" s="178"/>
      <c r="M866" s="178"/>
      <c r="N866" s="17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6"/>
      <c r="AV866" s="6"/>
      <c r="AW866" s="6"/>
      <c r="AX866" s="6"/>
    </row>
    <row r="867" spans="1:50" ht="15.75" customHeight="1" x14ac:dyDescent="0.3">
      <c r="A867" s="13"/>
      <c r="B867" s="13"/>
      <c r="C867" s="13"/>
      <c r="H867" s="178"/>
      <c r="J867" s="42"/>
      <c r="K867" s="178"/>
      <c r="L867" s="178"/>
      <c r="M867" s="178"/>
      <c r="N867" s="17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6"/>
      <c r="AV867" s="6"/>
      <c r="AW867" s="6"/>
      <c r="AX867" s="6"/>
    </row>
    <row r="868" spans="1:50" ht="15.75" customHeight="1" x14ac:dyDescent="0.3">
      <c r="A868" s="13"/>
      <c r="B868" s="13"/>
      <c r="C868" s="13"/>
      <c r="H868" s="178"/>
      <c r="J868" s="42"/>
      <c r="K868" s="178"/>
      <c r="L868" s="178"/>
      <c r="M868" s="178"/>
      <c r="N868" s="17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6"/>
      <c r="AV868" s="6"/>
      <c r="AW868" s="6"/>
      <c r="AX868" s="6"/>
    </row>
    <row r="869" spans="1:50" ht="15.75" customHeight="1" x14ac:dyDescent="0.3">
      <c r="A869" s="13"/>
      <c r="B869" s="13"/>
      <c r="C869" s="13"/>
      <c r="H869" s="178"/>
      <c r="J869" s="42"/>
      <c r="K869" s="178"/>
      <c r="L869" s="178"/>
      <c r="M869" s="178"/>
      <c r="N869" s="17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6"/>
      <c r="AV869" s="6"/>
      <c r="AW869" s="6"/>
      <c r="AX869" s="6"/>
    </row>
    <row r="870" spans="1:50" ht="15.75" customHeight="1" x14ac:dyDescent="0.3">
      <c r="A870" s="13"/>
      <c r="B870" s="13"/>
      <c r="C870" s="13"/>
      <c r="H870" s="178"/>
      <c r="J870" s="42"/>
      <c r="K870" s="178"/>
      <c r="L870" s="178"/>
      <c r="M870" s="178"/>
      <c r="N870" s="17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6"/>
      <c r="AV870" s="6"/>
      <c r="AW870" s="6"/>
      <c r="AX870" s="6"/>
    </row>
    <row r="871" spans="1:50" ht="15.75" customHeight="1" x14ac:dyDescent="0.3">
      <c r="A871" s="13"/>
      <c r="B871" s="13"/>
      <c r="C871" s="13"/>
      <c r="H871" s="178"/>
      <c r="J871" s="42"/>
      <c r="K871" s="178"/>
      <c r="L871" s="178"/>
      <c r="M871" s="178"/>
      <c r="N871" s="17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6"/>
      <c r="AV871" s="6"/>
      <c r="AW871" s="6"/>
      <c r="AX871" s="6"/>
    </row>
    <row r="872" spans="1:50" ht="15.75" customHeight="1" x14ac:dyDescent="0.3">
      <c r="A872" s="13"/>
      <c r="B872" s="13"/>
      <c r="C872" s="13"/>
      <c r="H872" s="178"/>
      <c r="J872" s="42"/>
      <c r="K872" s="178"/>
      <c r="L872" s="178"/>
      <c r="M872" s="178"/>
      <c r="N872" s="17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6"/>
      <c r="AV872" s="6"/>
      <c r="AW872" s="6"/>
      <c r="AX872" s="6"/>
    </row>
    <row r="873" spans="1:50" ht="15.75" customHeight="1" x14ac:dyDescent="0.3">
      <c r="A873" s="13"/>
      <c r="B873" s="13"/>
      <c r="C873" s="13"/>
      <c r="H873" s="178"/>
      <c r="J873" s="42"/>
      <c r="K873" s="178"/>
      <c r="L873" s="178"/>
      <c r="M873" s="178"/>
      <c r="N873" s="17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6"/>
      <c r="AV873" s="6"/>
      <c r="AW873" s="6"/>
      <c r="AX873" s="6"/>
    </row>
    <row r="874" spans="1:50" ht="15.75" customHeight="1" x14ac:dyDescent="0.3">
      <c r="A874" s="13"/>
      <c r="B874" s="13"/>
      <c r="C874" s="13"/>
      <c r="H874" s="178"/>
      <c r="J874" s="42"/>
      <c r="K874" s="178"/>
      <c r="L874" s="178"/>
      <c r="M874" s="178"/>
      <c r="N874" s="17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6"/>
      <c r="AV874" s="6"/>
      <c r="AW874" s="6"/>
      <c r="AX874" s="6"/>
    </row>
    <row r="875" spans="1:50" ht="15.75" customHeight="1" x14ac:dyDescent="0.3">
      <c r="A875" s="13"/>
      <c r="B875" s="13"/>
      <c r="C875" s="13"/>
      <c r="H875" s="178"/>
      <c r="J875" s="42"/>
      <c r="K875" s="178"/>
      <c r="L875" s="178"/>
      <c r="M875" s="178"/>
      <c r="N875" s="17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6"/>
      <c r="AV875" s="6"/>
      <c r="AW875" s="6"/>
      <c r="AX875" s="6"/>
    </row>
    <row r="876" spans="1:50" ht="15.75" customHeight="1" x14ac:dyDescent="0.3">
      <c r="A876" s="13"/>
      <c r="B876" s="13"/>
      <c r="C876" s="13"/>
      <c r="H876" s="178"/>
      <c r="J876" s="42"/>
      <c r="K876" s="178"/>
      <c r="L876" s="178"/>
      <c r="M876" s="178"/>
      <c r="N876" s="17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6"/>
      <c r="AV876" s="6"/>
      <c r="AW876" s="6"/>
      <c r="AX876" s="6"/>
    </row>
    <row r="877" spans="1:50" ht="15.75" customHeight="1" x14ac:dyDescent="0.3">
      <c r="A877" s="13"/>
      <c r="B877" s="13"/>
      <c r="C877" s="13"/>
      <c r="H877" s="178"/>
      <c r="J877" s="42"/>
      <c r="K877" s="178"/>
      <c r="L877" s="178"/>
      <c r="M877" s="178"/>
      <c r="N877" s="17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6"/>
      <c r="AV877" s="6"/>
      <c r="AW877" s="6"/>
      <c r="AX877" s="6"/>
    </row>
    <row r="878" spans="1:50" ht="15.75" customHeight="1" x14ac:dyDescent="0.3">
      <c r="A878" s="13"/>
      <c r="B878" s="13"/>
      <c r="C878" s="13"/>
      <c r="H878" s="178"/>
      <c r="J878" s="42"/>
      <c r="K878" s="178"/>
      <c r="L878" s="178"/>
      <c r="M878" s="178"/>
      <c r="N878" s="17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6"/>
      <c r="AV878" s="6"/>
      <c r="AW878" s="6"/>
      <c r="AX878" s="6"/>
    </row>
    <row r="879" spans="1:50" ht="15.75" customHeight="1" x14ac:dyDescent="0.3">
      <c r="A879" s="13"/>
      <c r="B879" s="13"/>
      <c r="C879" s="13"/>
      <c r="H879" s="178"/>
      <c r="J879" s="42"/>
      <c r="K879" s="178"/>
      <c r="L879" s="178"/>
      <c r="M879" s="178"/>
      <c r="N879" s="17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6"/>
      <c r="AV879" s="6"/>
      <c r="AW879" s="6"/>
      <c r="AX879" s="6"/>
    </row>
    <row r="880" spans="1:50" ht="15.75" customHeight="1" x14ac:dyDescent="0.3">
      <c r="A880" s="13"/>
      <c r="B880" s="13"/>
      <c r="C880" s="13"/>
      <c r="H880" s="178"/>
      <c r="J880" s="42"/>
      <c r="K880" s="178"/>
      <c r="L880" s="178"/>
      <c r="M880" s="178"/>
      <c r="N880" s="17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6"/>
      <c r="AV880" s="6"/>
      <c r="AW880" s="6"/>
      <c r="AX880" s="6"/>
    </row>
    <row r="881" spans="1:50" ht="15.75" customHeight="1" x14ac:dyDescent="0.3">
      <c r="A881" s="13"/>
      <c r="B881" s="13"/>
      <c r="C881" s="13"/>
      <c r="H881" s="178"/>
      <c r="J881" s="42"/>
      <c r="K881" s="178"/>
      <c r="L881" s="178"/>
      <c r="M881" s="178"/>
      <c r="N881" s="17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6"/>
      <c r="AV881" s="6"/>
      <c r="AW881" s="6"/>
      <c r="AX881" s="6"/>
    </row>
    <row r="882" spans="1:50" ht="15.75" customHeight="1" x14ac:dyDescent="0.3">
      <c r="A882" s="13"/>
      <c r="B882" s="13"/>
      <c r="C882" s="13"/>
      <c r="H882" s="178"/>
      <c r="J882" s="42"/>
      <c r="K882" s="178"/>
      <c r="L882" s="178"/>
      <c r="M882" s="178"/>
      <c r="N882" s="17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6"/>
      <c r="AV882" s="6"/>
      <c r="AW882" s="6"/>
      <c r="AX882" s="6"/>
    </row>
    <row r="883" spans="1:50" ht="15.75" customHeight="1" x14ac:dyDescent="0.3">
      <c r="A883" s="13"/>
      <c r="B883" s="13"/>
      <c r="C883" s="13"/>
      <c r="H883" s="178"/>
      <c r="J883" s="42"/>
      <c r="K883" s="178"/>
      <c r="L883" s="178"/>
      <c r="M883" s="178"/>
      <c r="N883" s="17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6"/>
      <c r="AV883" s="6"/>
      <c r="AW883" s="6"/>
      <c r="AX883" s="6"/>
    </row>
    <row r="884" spans="1:50" ht="15.75" customHeight="1" x14ac:dyDescent="0.3">
      <c r="A884" s="13"/>
      <c r="B884" s="13"/>
      <c r="C884" s="13"/>
      <c r="H884" s="178"/>
      <c r="J884" s="42"/>
      <c r="K884" s="178"/>
      <c r="L884" s="178"/>
      <c r="M884" s="178"/>
      <c r="N884" s="17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6"/>
      <c r="AV884" s="6"/>
      <c r="AW884" s="6"/>
      <c r="AX884" s="6"/>
    </row>
    <row r="885" spans="1:50" ht="15.75" customHeight="1" x14ac:dyDescent="0.3">
      <c r="A885" s="13"/>
      <c r="B885" s="13"/>
      <c r="C885" s="13"/>
      <c r="H885" s="178"/>
      <c r="J885" s="42"/>
      <c r="K885" s="178"/>
      <c r="L885" s="178"/>
      <c r="M885" s="178"/>
      <c r="N885" s="17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6"/>
      <c r="AV885" s="6"/>
      <c r="AW885" s="6"/>
      <c r="AX885" s="6"/>
    </row>
    <row r="886" spans="1:50" ht="15.75" customHeight="1" x14ac:dyDescent="0.3">
      <c r="A886" s="13"/>
      <c r="B886" s="13"/>
      <c r="C886" s="13"/>
      <c r="H886" s="178"/>
      <c r="J886" s="42"/>
      <c r="K886" s="178"/>
      <c r="L886" s="178"/>
      <c r="M886" s="178"/>
      <c r="N886" s="17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6"/>
      <c r="AV886" s="6"/>
      <c r="AW886" s="6"/>
      <c r="AX886" s="6"/>
    </row>
    <row r="887" spans="1:50" ht="15.75" customHeight="1" x14ac:dyDescent="0.3">
      <c r="A887" s="13"/>
      <c r="B887" s="13"/>
      <c r="C887" s="13"/>
      <c r="H887" s="178"/>
      <c r="J887" s="42"/>
      <c r="K887" s="178"/>
      <c r="L887" s="178"/>
      <c r="M887" s="178"/>
      <c r="N887" s="17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6"/>
      <c r="AV887" s="6"/>
      <c r="AW887" s="6"/>
      <c r="AX887" s="6"/>
    </row>
    <row r="888" spans="1:50" ht="15.75" customHeight="1" x14ac:dyDescent="0.3">
      <c r="A888" s="13"/>
      <c r="B888" s="13"/>
      <c r="C888" s="13"/>
      <c r="H888" s="178"/>
      <c r="J888" s="42"/>
      <c r="K888" s="178"/>
      <c r="L888" s="178"/>
      <c r="M888" s="178"/>
      <c r="N888" s="17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6"/>
      <c r="AV888" s="6"/>
      <c r="AW888" s="6"/>
      <c r="AX888" s="6"/>
    </row>
    <row r="889" spans="1:50" ht="15.75" customHeight="1" x14ac:dyDescent="0.3">
      <c r="A889" s="13"/>
      <c r="B889" s="13"/>
      <c r="C889" s="13"/>
      <c r="H889" s="178"/>
      <c r="J889" s="42"/>
      <c r="K889" s="178"/>
      <c r="L889" s="178"/>
      <c r="M889" s="178"/>
      <c r="N889" s="17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6"/>
      <c r="AV889" s="6"/>
      <c r="AW889" s="6"/>
      <c r="AX889" s="6"/>
    </row>
    <row r="890" spans="1:50" ht="15.75" customHeight="1" x14ac:dyDescent="0.3">
      <c r="A890" s="13"/>
      <c r="B890" s="13"/>
      <c r="C890" s="13"/>
      <c r="H890" s="178"/>
      <c r="J890" s="42"/>
      <c r="K890" s="178"/>
      <c r="L890" s="178"/>
      <c r="M890" s="178"/>
      <c r="N890" s="17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6"/>
      <c r="AV890" s="6"/>
      <c r="AW890" s="6"/>
      <c r="AX890" s="6"/>
    </row>
    <row r="891" spans="1:50" ht="15.75" customHeight="1" x14ac:dyDescent="0.3">
      <c r="A891" s="13"/>
      <c r="B891" s="13"/>
      <c r="C891" s="13"/>
      <c r="H891" s="178"/>
      <c r="J891" s="42"/>
      <c r="K891" s="178"/>
      <c r="L891" s="178"/>
      <c r="M891" s="178"/>
      <c r="N891" s="17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6"/>
      <c r="AV891" s="6"/>
      <c r="AW891" s="6"/>
      <c r="AX891" s="6"/>
    </row>
    <row r="892" spans="1:50" ht="15.75" customHeight="1" x14ac:dyDescent="0.3">
      <c r="A892" s="13"/>
      <c r="B892" s="13"/>
      <c r="C892" s="13"/>
      <c r="H892" s="178"/>
      <c r="J892" s="42"/>
      <c r="K892" s="178"/>
      <c r="L892" s="178"/>
      <c r="M892" s="178"/>
      <c r="N892" s="17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6"/>
      <c r="AV892" s="6"/>
      <c r="AW892" s="6"/>
      <c r="AX892" s="6"/>
    </row>
    <row r="893" spans="1:50" ht="15.75" customHeight="1" x14ac:dyDescent="0.3">
      <c r="A893" s="13"/>
      <c r="B893" s="13"/>
      <c r="C893" s="13"/>
      <c r="H893" s="178"/>
      <c r="J893" s="42"/>
      <c r="K893" s="178"/>
      <c r="L893" s="178"/>
      <c r="M893" s="178"/>
      <c r="N893" s="17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6"/>
      <c r="AV893" s="6"/>
      <c r="AW893" s="6"/>
      <c r="AX893" s="6"/>
    </row>
    <row r="894" spans="1:50" ht="15.75" customHeight="1" x14ac:dyDescent="0.3">
      <c r="A894" s="13"/>
      <c r="B894" s="13"/>
      <c r="C894" s="13"/>
      <c r="H894" s="178"/>
      <c r="J894" s="42"/>
      <c r="K894" s="178"/>
      <c r="L894" s="178"/>
      <c r="M894" s="178"/>
      <c r="N894" s="17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6"/>
      <c r="AV894" s="6"/>
      <c r="AW894" s="6"/>
      <c r="AX894" s="6"/>
    </row>
    <row r="895" spans="1:50" ht="15.75" customHeight="1" x14ac:dyDescent="0.3">
      <c r="A895" s="13"/>
      <c r="B895" s="13"/>
      <c r="C895" s="13"/>
      <c r="H895" s="178"/>
      <c r="J895" s="42"/>
      <c r="K895" s="178"/>
      <c r="L895" s="178"/>
      <c r="M895" s="178"/>
      <c r="N895" s="17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6"/>
      <c r="AV895" s="6"/>
      <c r="AW895" s="6"/>
      <c r="AX895" s="6"/>
    </row>
    <row r="896" spans="1:50" ht="15.75" customHeight="1" x14ac:dyDescent="0.3">
      <c r="A896" s="13"/>
      <c r="B896" s="13"/>
      <c r="C896" s="13"/>
      <c r="H896" s="178"/>
      <c r="J896" s="42"/>
      <c r="K896" s="178"/>
      <c r="L896" s="178"/>
      <c r="M896" s="178"/>
      <c r="N896" s="17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6"/>
      <c r="AV896" s="6"/>
      <c r="AW896" s="6"/>
      <c r="AX896" s="6"/>
    </row>
    <row r="897" spans="1:50" ht="15.75" customHeight="1" x14ac:dyDescent="0.3">
      <c r="A897" s="13"/>
      <c r="B897" s="13"/>
      <c r="C897" s="13"/>
      <c r="H897" s="178"/>
      <c r="J897" s="42"/>
      <c r="K897" s="178"/>
      <c r="L897" s="178"/>
      <c r="M897" s="178"/>
      <c r="N897" s="17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6"/>
      <c r="AV897" s="6"/>
      <c r="AW897" s="6"/>
      <c r="AX897" s="6"/>
    </row>
    <row r="898" spans="1:50" ht="15.75" customHeight="1" x14ac:dyDescent="0.3">
      <c r="A898" s="13"/>
      <c r="B898" s="13"/>
      <c r="C898" s="13"/>
      <c r="H898" s="178"/>
      <c r="J898" s="42"/>
      <c r="K898" s="178"/>
      <c r="L898" s="178"/>
      <c r="M898" s="178"/>
      <c r="N898" s="17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6"/>
      <c r="AV898" s="6"/>
      <c r="AW898" s="6"/>
      <c r="AX898" s="6"/>
    </row>
    <row r="899" spans="1:50" ht="15.75" customHeight="1" x14ac:dyDescent="0.3">
      <c r="A899" s="13"/>
      <c r="B899" s="13"/>
      <c r="C899" s="13"/>
      <c r="H899" s="178"/>
      <c r="J899" s="42"/>
      <c r="K899" s="178"/>
      <c r="L899" s="178"/>
      <c r="M899" s="178"/>
      <c r="N899" s="17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6"/>
      <c r="AV899" s="6"/>
      <c r="AW899" s="6"/>
      <c r="AX899" s="6"/>
    </row>
    <row r="900" spans="1:50" ht="15.75" customHeight="1" x14ac:dyDescent="0.3">
      <c r="A900" s="13"/>
      <c r="B900" s="13"/>
      <c r="C900" s="13"/>
      <c r="H900" s="178"/>
      <c r="J900" s="42"/>
      <c r="K900" s="178"/>
      <c r="L900" s="178"/>
      <c r="M900" s="178"/>
      <c r="N900" s="17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6"/>
      <c r="AV900" s="6"/>
      <c r="AW900" s="6"/>
      <c r="AX900" s="6"/>
    </row>
    <row r="901" spans="1:50" ht="15.75" customHeight="1" x14ac:dyDescent="0.3">
      <c r="A901" s="13"/>
      <c r="B901" s="13"/>
      <c r="C901" s="13"/>
      <c r="H901" s="178"/>
      <c r="J901" s="42"/>
      <c r="K901" s="178"/>
      <c r="L901" s="178"/>
      <c r="M901" s="178"/>
      <c r="N901" s="17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6"/>
      <c r="AV901" s="6"/>
      <c r="AW901" s="6"/>
      <c r="AX901" s="6"/>
    </row>
    <row r="902" spans="1:50" ht="15.75" customHeight="1" x14ac:dyDescent="0.3">
      <c r="A902" s="13"/>
      <c r="B902" s="13"/>
      <c r="C902" s="13"/>
      <c r="H902" s="178"/>
      <c r="J902" s="42"/>
      <c r="K902" s="178"/>
      <c r="L902" s="178"/>
      <c r="M902" s="178"/>
      <c r="N902" s="17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6"/>
      <c r="AV902" s="6"/>
      <c r="AW902" s="6"/>
      <c r="AX902" s="6"/>
    </row>
    <row r="903" spans="1:50" ht="15.75" customHeight="1" x14ac:dyDescent="0.3">
      <c r="A903" s="13"/>
      <c r="B903" s="13"/>
      <c r="C903" s="13"/>
      <c r="H903" s="178"/>
      <c r="J903" s="42"/>
      <c r="K903" s="178"/>
      <c r="L903" s="178"/>
      <c r="M903" s="178"/>
      <c r="N903" s="17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6"/>
      <c r="AV903" s="6"/>
      <c r="AW903" s="6"/>
      <c r="AX903" s="6"/>
    </row>
    <row r="904" spans="1:50" ht="15.75" customHeight="1" x14ac:dyDescent="0.3">
      <c r="A904" s="13"/>
      <c r="B904" s="13"/>
      <c r="C904" s="13"/>
      <c r="H904" s="178"/>
      <c r="J904" s="42"/>
      <c r="K904" s="178"/>
      <c r="L904" s="178"/>
      <c r="M904" s="178"/>
      <c r="N904" s="17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6"/>
      <c r="AV904" s="6"/>
      <c r="AW904" s="6"/>
      <c r="AX904" s="6"/>
    </row>
    <row r="905" spans="1:50" ht="15.75" customHeight="1" x14ac:dyDescent="0.3">
      <c r="A905" s="13"/>
      <c r="B905" s="13"/>
      <c r="C905" s="13"/>
      <c r="H905" s="178"/>
      <c r="J905" s="42"/>
      <c r="K905" s="178"/>
      <c r="L905" s="178"/>
      <c r="M905" s="178"/>
      <c r="N905" s="17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6"/>
      <c r="AV905" s="6"/>
      <c r="AW905" s="6"/>
      <c r="AX905" s="6"/>
    </row>
    <row r="906" spans="1:50" ht="15.75" customHeight="1" x14ac:dyDescent="0.3">
      <c r="A906" s="13"/>
      <c r="B906" s="13"/>
      <c r="C906" s="13"/>
      <c r="H906" s="178"/>
      <c r="J906" s="42"/>
      <c r="K906" s="178"/>
      <c r="L906" s="178"/>
      <c r="M906" s="178"/>
      <c r="N906" s="17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6"/>
      <c r="AV906" s="6"/>
      <c r="AW906" s="6"/>
      <c r="AX906" s="6"/>
    </row>
    <row r="907" spans="1:50" ht="15.75" customHeight="1" x14ac:dyDescent="0.3">
      <c r="A907" s="13"/>
      <c r="B907" s="13"/>
      <c r="C907" s="13"/>
      <c r="H907" s="178"/>
      <c r="J907" s="42"/>
      <c r="K907" s="178"/>
      <c r="L907" s="178"/>
      <c r="M907" s="178"/>
      <c r="N907" s="17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6"/>
      <c r="AV907" s="6"/>
      <c r="AW907" s="6"/>
      <c r="AX907" s="6"/>
    </row>
    <row r="908" spans="1:50" ht="15.75" customHeight="1" x14ac:dyDescent="0.3">
      <c r="A908" s="13"/>
      <c r="B908" s="13"/>
      <c r="C908" s="13"/>
      <c r="H908" s="178"/>
      <c r="J908" s="42"/>
      <c r="K908" s="178"/>
      <c r="L908" s="178"/>
      <c r="M908" s="178"/>
      <c r="N908" s="17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6"/>
      <c r="AV908" s="6"/>
      <c r="AW908" s="6"/>
      <c r="AX908" s="6"/>
    </row>
    <row r="909" spans="1:50" ht="15.75" customHeight="1" x14ac:dyDescent="0.3">
      <c r="A909" s="13"/>
      <c r="B909" s="13"/>
      <c r="C909" s="13"/>
      <c r="H909" s="178"/>
      <c r="J909" s="42"/>
      <c r="K909" s="178"/>
      <c r="L909" s="178"/>
      <c r="M909" s="178"/>
      <c r="N909" s="17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6"/>
      <c r="AV909" s="6"/>
      <c r="AW909" s="6"/>
      <c r="AX909" s="6"/>
    </row>
    <row r="910" spans="1:50" ht="15.75" customHeight="1" x14ac:dyDescent="0.3">
      <c r="A910" s="13"/>
      <c r="B910" s="13"/>
      <c r="C910" s="13"/>
      <c r="H910" s="178"/>
      <c r="J910" s="42"/>
      <c r="K910" s="178"/>
      <c r="L910" s="178"/>
      <c r="M910" s="178"/>
      <c r="N910" s="17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6"/>
      <c r="AV910" s="6"/>
      <c r="AW910" s="6"/>
      <c r="AX910" s="6"/>
    </row>
    <row r="911" spans="1:50" ht="15.75" customHeight="1" x14ac:dyDescent="0.3">
      <c r="A911" s="13"/>
      <c r="B911" s="13"/>
      <c r="C911" s="13"/>
      <c r="H911" s="178"/>
      <c r="J911" s="42"/>
      <c r="K911" s="178"/>
      <c r="L911" s="178"/>
      <c r="M911" s="178"/>
      <c r="N911" s="17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6"/>
      <c r="AV911" s="6"/>
      <c r="AW911" s="6"/>
      <c r="AX911" s="6"/>
    </row>
    <row r="912" spans="1:50" ht="15.75" customHeight="1" x14ac:dyDescent="0.3">
      <c r="A912" s="13"/>
      <c r="B912" s="13"/>
      <c r="C912" s="13"/>
      <c r="H912" s="178"/>
      <c r="J912" s="42"/>
      <c r="K912" s="178"/>
      <c r="L912" s="178"/>
      <c r="M912" s="178"/>
      <c r="N912" s="17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6"/>
      <c r="AV912" s="6"/>
      <c r="AW912" s="6"/>
      <c r="AX912" s="6"/>
    </row>
    <row r="913" spans="1:50" ht="15.75" customHeight="1" x14ac:dyDescent="0.3">
      <c r="A913" s="13"/>
      <c r="B913" s="13"/>
      <c r="C913" s="13"/>
      <c r="H913" s="178"/>
      <c r="J913" s="42"/>
      <c r="K913" s="178"/>
      <c r="L913" s="178"/>
      <c r="M913" s="178"/>
      <c r="N913" s="17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6"/>
      <c r="AV913" s="6"/>
      <c r="AW913" s="6"/>
      <c r="AX913" s="6"/>
    </row>
    <row r="914" spans="1:50" ht="15.75" customHeight="1" x14ac:dyDescent="0.3">
      <c r="A914" s="13"/>
      <c r="B914" s="13"/>
      <c r="C914" s="13"/>
      <c r="H914" s="178"/>
      <c r="J914" s="42"/>
      <c r="K914" s="178"/>
      <c r="L914" s="178"/>
      <c r="M914" s="178"/>
      <c r="N914" s="17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6"/>
      <c r="AV914" s="6"/>
      <c r="AW914" s="6"/>
      <c r="AX914" s="6"/>
    </row>
    <row r="915" spans="1:50" ht="15.75" customHeight="1" x14ac:dyDescent="0.3">
      <c r="A915" s="13"/>
      <c r="B915" s="13"/>
      <c r="C915" s="13"/>
      <c r="H915" s="178"/>
      <c r="J915" s="42"/>
      <c r="K915" s="178"/>
      <c r="L915" s="178"/>
      <c r="M915" s="178"/>
      <c r="N915" s="17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6"/>
      <c r="AV915" s="6"/>
      <c r="AW915" s="6"/>
      <c r="AX915" s="6"/>
    </row>
    <row r="916" spans="1:50" ht="15.75" customHeight="1" x14ac:dyDescent="0.3">
      <c r="A916" s="13"/>
      <c r="B916" s="13"/>
      <c r="C916" s="13"/>
      <c r="H916" s="178"/>
      <c r="J916" s="42"/>
      <c r="K916" s="178"/>
      <c r="L916" s="178"/>
      <c r="M916" s="178"/>
      <c r="N916" s="17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6"/>
      <c r="AV916" s="6"/>
      <c r="AW916" s="6"/>
      <c r="AX916" s="6"/>
    </row>
    <row r="917" spans="1:50" ht="15.75" customHeight="1" x14ac:dyDescent="0.3">
      <c r="A917" s="13"/>
      <c r="B917" s="13"/>
      <c r="C917" s="13"/>
      <c r="H917" s="178"/>
      <c r="J917" s="42"/>
      <c r="K917" s="178"/>
      <c r="L917" s="178"/>
      <c r="M917" s="178"/>
      <c r="N917" s="17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6"/>
      <c r="AV917" s="6"/>
      <c r="AW917" s="6"/>
      <c r="AX917" s="6"/>
    </row>
    <row r="918" spans="1:50" ht="15.75" customHeight="1" x14ac:dyDescent="0.3">
      <c r="A918" s="13"/>
      <c r="B918" s="13"/>
      <c r="C918" s="13"/>
      <c r="H918" s="178"/>
      <c r="J918" s="42"/>
      <c r="K918" s="178"/>
      <c r="L918" s="178"/>
      <c r="M918" s="178"/>
      <c r="N918" s="17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6"/>
      <c r="AV918" s="6"/>
      <c r="AW918" s="6"/>
      <c r="AX918" s="6"/>
    </row>
    <row r="919" spans="1:50" ht="15.75" customHeight="1" x14ac:dyDescent="0.3">
      <c r="A919" s="13"/>
      <c r="B919" s="13"/>
      <c r="C919" s="13"/>
      <c r="H919" s="178"/>
      <c r="J919" s="42"/>
      <c r="K919" s="178"/>
      <c r="L919" s="178"/>
      <c r="M919" s="178"/>
      <c r="N919" s="17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6"/>
      <c r="AV919" s="6"/>
      <c r="AW919" s="6"/>
      <c r="AX919" s="6"/>
    </row>
    <row r="920" spans="1:50" ht="15.75" customHeight="1" x14ac:dyDescent="0.3">
      <c r="A920" s="13"/>
      <c r="B920" s="13"/>
      <c r="C920" s="13"/>
      <c r="H920" s="178"/>
      <c r="J920" s="42"/>
      <c r="K920" s="178"/>
      <c r="L920" s="178"/>
      <c r="M920" s="178"/>
      <c r="N920" s="17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6"/>
      <c r="AV920" s="6"/>
      <c r="AW920" s="6"/>
      <c r="AX920" s="6"/>
    </row>
    <row r="921" spans="1:50" ht="15.75" customHeight="1" x14ac:dyDescent="0.3">
      <c r="A921" s="13"/>
      <c r="B921" s="13"/>
      <c r="C921" s="13"/>
      <c r="H921" s="178"/>
      <c r="J921" s="42"/>
      <c r="K921" s="178"/>
      <c r="L921" s="178"/>
      <c r="M921" s="178"/>
      <c r="N921" s="17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6"/>
      <c r="AV921" s="6"/>
      <c r="AW921" s="6"/>
      <c r="AX921" s="6"/>
    </row>
    <row r="922" spans="1:50" ht="15.75" customHeight="1" x14ac:dyDescent="0.3">
      <c r="A922" s="13"/>
      <c r="B922" s="13"/>
      <c r="C922" s="13"/>
      <c r="H922" s="178"/>
      <c r="J922" s="42"/>
      <c r="K922" s="178"/>
      <c r="L922" s="178"/>
      <c r="M922" s="178"/>
      <c r="N922" s="17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6"/>
      <c r="AV922" s="6"/>
      <c r="AW922" s="6"/>
      <c r="AX922" s="6"/>
    </row>
    <row r="923" spans="1:50" ht="15.75" customHeight="1" x14ac:dyDescent="0.3">
      <c r="A923" s="13"/>
      <c r="B923" s="13"/>
      <c r="C923" s="13"/>
      <c r="H923" s="178"/>
      <c r="J923" s="42"/>
      <c r="K923" s="178"/>
      <c r="L923" s="178"/>
      <c r="M923" s="178"/>
      <c r="N923" s="17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6"/>
      <c r="AV923" s="6"/>
      <c r="AW923" s="6"/>
      <c r="AX923" s="6"/>
    </row>
    <row r="924" spans="1:50" ht="15.75" customHeight="1" x14ac:dyDescent="0.3">
      <c r="A924" s="13"/>
      <c r="B924" s="13"/>
      <c r="C924" s="13"/>
      <c r="H924" s="178"/>
      <c r="J924" s="42"/>
      <c r="K924" s="178"/>
      <c r="L924" s="178"/>
      <c r="M924" s="178"/>
      <c r="N924" s="17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6"/>
      <c r="AV924" s="6"/>
      <c r="AW924" s="6"/>
      <c r="AX924" s="6"/>
    </row>
    <row r="925" spans="1:50" ht="15.75" customHeight="1" x14ac:dyDescent="0.3">
      <c r="A925" s="13"/>
      <c r="B925" s="13"/>
      <c r="C925" s="13"/>
      <c r="H925" s="178"/>
      <c r="J925" s="42"/>
      <c r="K925" s="178"/>
      <c r="L925" s="178"/>
      <c r="M925" s="178"/>
      <c r="N925" s="17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6"/>
      <c r="AV925" s="6"/>
      <c r="AW925" s="6"/>
      <c r="AX925" s="6"/>
    </row>
    <row r="926" spans="1:50" ht="15.75" customHeight="1" x14ac:dyDescent="0.3">
      <c r="A926" s="13"/>
      <c r="B926" s="13"/>
      <c r="C926" s="13"/>
      <c r="H926" s="178"/>
      <c r="J926" s="42"/>
      <c r="K926" s="178"/>
      <c r="L926" s="178"/>
      <c r="M926" s="178"/>
      <c r="N926" s="17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6"/>
      <c r="AV926" s="6"/>
      <c r="AW926" s="6"/>
      <c r="AX926" s="6"/>
    </row>
    <row r="927" spans="1:50" ht="15.75" customHeight="1" x14ac:dyDescent="0.3">
      <c r="A927" s="13"/>
      <c r="B927" s="13"/>
      <c r="C927" s="13"/>
      <c r="H927" s="178"/>
      <c r="J927" s="42"/>
      <c r="K927" s="178"/>
      <c r="L927" s="178"/>
      <c r="M927" s="178"/>
      <c r="N927" s="17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6"/>
      <c r="AV927" s="6"/>
      <c r="AW927" s="6"/>
      <c r="AX927" s="6"/>
    </row>
    <row r="928" spans="1:50" ht="15.75" customHeight="1" x14ac:dyDescent="0.3">
      <c r="A928" s="13"/>
      <c r="B928" s="13"/>
      <c r="C928" s="13"/>
      <c r="H928" s="178"/>
      <c r="J928" s="42"/>
      <c r="K928" s="178"/>
      <c r="L928" s="178"/>
      <c r="M928" s="178"/>
      <c r="N928" s="17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6"/>
      <c r="AV928" s="6"/>
      <c r="AW928" s="6"/>
      <c r="AX928" s="6"/>
    </row>
    <row r="929" spans="1:50" ht="15.75" customHeight="1" x14ac:dyDescent="0.3">
      <c r="A929" s="13"/>
      <c r="B929" s="13"/>
      <c r="C929" s="13"/>
      <c r="H929" s="178"/>
      <c r="J929" s="42"/>
      <c r="K929" s="178"/>
      <c r="L929" s="178"/>
      <c r="M929" s="178"/>
      <c r="N929" s="17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6"/>
      <c r="AV929" s="6"/>
      <c r="AW929" s="6"/>
      <c r="AX929" s="6"/>
    </row>
    <row r="930" spans="1:50" ht="15.75" customHeight="1" x14ac:dyDescent="0.3">
      <c r="A930" s="13"/>
      <c r="B930" s="13"/>
      <c r="C930" s="13"/>
      <c r="H930" s="178"/>
      <c r="J930" s="42"/>
      <c r="K930" s="178"/>
      <c r="L930" s="178"/>
      <c r="M930" s="178"/>
      <c r="N930" s="17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6"/>
      <c r="AV930" s="6"/>
      <c r="AW930" s="6"/>
      <c r="AX930" s="6"/>
    </row>
    <row r="931" spans="1:50" ht="15.75" customHeight="1" x14ac:dyDescent="0.3">
      <c r="A931" s="13"/>
      <c r="B931" s="13"/>
      <c r="C931" s="13"/>
      <c r="H931" s="178"/>
      <c r="J931" s="42"/>
      <c r="K931" s="178"/>
      <c r="L931" s="178"/>
      <c r="M931" s="178"/>
      <c r="N931" s="17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6"/>
      <c r="AV931" s="6"/>
      <c r="AW931" s="6"/>
      <c r="AX931" s="6"/>
    </row>
    <row r="932" spans="1:50" ht="15.75" customHeight="1" x14ac:dyDescent="0.3">
      <c r="A932" s="13"/>
      <c r="B932" s="13"/>
      <c r="C932" s="13"/>
      <c r="H932" s="178"/>
      <c r="J932" s="42"/>
      <c r="K932" s="178"/>
      <c r="L932" s="178"/>
      <c r="M932" s="178"/>
      <c r="N932" s="17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6"/>
      <c r="AV932" s="6"/>
      <c r="AW932" s="6"/>
      <c r="AX932" s="6"/>
    </row>
    <row r="933" spans="1:50" ht="15.75" customHeight="1" x14ac:dyDescent="0.3">
      <c r="A933" s="13"/>
      <c r="B933" s="13"/>
      <c r="C933" s="13"/>
      <c r="H933" s="178"/>
      <c r="J933" s="42"/>
      <c r="K933" s="178"/>
      <c r="L933" s="178"/>
      <c r="M933" s="178"/>
      <c r="N933" s="17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6"/>
      <c r="AV933" s="6"/>
      <c r="AW933" s="6"/>
      <c r="AX933" s="6"/>
    </row>
    <row r="934" spans="1:50" ht="15.75" customHeight="1" x14ac:dyDescent="0.3">
      <c r="A934" s="13"/>
      <c r="B934" s="13"/>
      <c r="C934" s="13"/>
      <c r="H934" s="178"/>
      <c r="J934" s="42"/>
      <c r="K934" s="178"/>
      <c r="L934" s="178"/>
      <c r="M934" s="178"/>
      <c r="N934" s="17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6"/>
      <c r="AV934" s="6"/>
      <c r="AW934" s="6"/>
      <c r="AX934" s="6"/>
    </row>
    <row r="935" spans="1:50" ht="15.75" customHeight="1" x14ac:dyDescent="0.3">
      <c r="A935" s="13"/>
      <c r="B935" s="13"/>
      <c r="C935" s="13"/>
      <c r="H935" s="178"/>
      <c r="J935" s="42"/>
      <c r="K935" s="178"/>
      <c r="L935" s="178"/>
      <c r="M935" s="178"/>
      <c r="N935" s="17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6"/>
      <c r="AV935" s="6"/>
      <c r="AW935" s="6"/>
      <c r="AX935" s="6"/>
    </row>
    <row r="936" spans="1:50" ht="15.75" customHeight="1" x14ac:dyDescent="0.3">
      <c r="A936" s="13"/>
      <c r="B936" s="13"/>
      <c r="C936" s="13"/>
      <c r="H936" s="178"/>
      <c r="J936" s="42"/>
      <c r="K936" s="178"/>
      <c r="L936" s="178"/>
      <c r="M936" s="178"/>
      <c r="N936" s="17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6"/>
      <c r="AV936" s="6"/>
      <c r="AW936" s="6"/>
      <c r="AX936" s="6"/>
    </row>
    <row r="937" spans="1:50" ht="15.75" customHeight="1" x14ac:dyDescent="0.3">
      <c r="A937" s="13"/>
      <c r="B937" s="13"/>
      <c r="C937" s="13"/>
      <c r="H937" s="178"/>
      <c r="J937" s="42"/>
      <c r="K937" s="178"/>
      <c r="L937" s="178"/>
      <c r="M937" s="178"/>
      <c r="N937" s="17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6"/>
      <c r="AV937" s="6"/>
      <c r="AW937" s="6"/>
      <c r="AX937" s="6"/>
    </row>
    <row r="938" spans="1:50" ht="15.75" customHeight="1" x14ac:dyDescent="0.3">
      <c r="A938" s="13"/>
      <c r="B938" s="13"/>
      <c r="C938" s="13"/>
      <c r="H938" s="178"/>
      <c r="J938" s="42"/>
      <c r="K938" s="178"/>
      <c r="L938" s="178"/>
      <c r="M938" s="178"/>
      <c r="N938" s="17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6"/>
      <c r="AV938" s="6"/>
      <c r="AW938" s="6"/>
      <c r="AX938" s="6"/>
    </row>
    <row r="939" spans="1:50" ht="15.75" customHeight="1" x14ac:dyDescent="0.3">
      <c r="A939" s="13"/>
      <c r="B939" s="13"/>
      <c r="C939" s="13"/>
      <c r="H939" s="178"/>
      <c r="J939" s="42"/>
      <c r="K939" s="178"/>
      <c r="L939" s="178"/>
      <c r="M939" s="178"/>
      <c r="N939" s="17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6"/>
      <c r="AV939" s="6"/>
      <c r="AW939" s="6"/>
      <c r="AX939" s="6"/>
    </row>
    <row r="940" spans="1:50" ht="15.75" customHeight="1" x14ac:dyDescent="0.3">
      <c r="A940" s="13"/>
      <c r="B940" s="13"/>
      <c r="C940" s="13"/>
      <c r="H940" s="178"/>
      <c r="J940" s="42"/>
      <c r="K940" s="178"/>
      <c r="L940" s="178"/>
      <c r="M940" s="178"/>
      <c r="N940" s="17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6"/>
      <c r="AV940" s="6"/>
      <c r="AW940" s="6"/>
      <c r="AX940" s="6"/>
    </row>
    <row r="941" spans="1:50" ht="15.75" customHeight="1" x14ac:dyDescent="0.3">
      <c r="A941" s="13"/>
      <c r="B941" s="13"/>
      <c r="C941" s="13"/>
      <c r="H941" s="178"/>
      <c r="J941" s="42"/>
      <c r="K941" s="178"/>
      <c r="L941" s="178"/>
      <c r="M941" s="178"/>
      <c r="N941" s="17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6"/>
      <c r="AV941" s="6"/>
      <c r="AW941" s="6"/>
      <c r="AX941" s="6"/>
    </row>
    <row r="942" spans="1:50" ht="15.75" customHeight="1" x14ac:dyDescent="0.3">
      <c r="A942" s="13"/>
      <c r="B942" s="13"/>
      <c r="C942" s="13"/>
      <c r="H942" s="178"/>
      <c r="J942" s="42"/>
      <c r="K942" s="178"/>
      <c r="L942" s="178"/>
      <c r="M942" s="178"/>
      <c r="N942" s="17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6"/>
      <c r="AV942" s="6"/>
      <c r="AW942" s="6"/>
      <c r="AX942" s="6"/>
    </row>
    <row r="943" spans="1:50" ht="15.75" customHeight="1" x14ac:dyDescent="0.3">
      <c r="A943" s="13"/>
      <c r="B943" s="13"/>
      <c r="C943" s="13"/>
      <c r="H943" s="178"/>
      <c r="J943" s="42"/>
      <c r="K943" s="178"/>
      <c r="L943" s="178"/>
      <c r="M943" s="178"/>
      <c r="N943" s="17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6"/>
      <c r="AV943" s="6"/>
      <c r="AW943" s="6"/>
      <c r="AX943" s="6"/>
    </row>
    <row r="944" spans="1:50" ht="15.75" customHeight="1" x14ac:dyDescent="0.3">
      <c r="A944" s="13"/>
      <c r="B944" s="13"/>
      <c r="C944" s="13"/>
      <c r="H944" s="178"/>
      <c r="J944" s="42"/>
      <c r="K944" s="178"/>
      <c r="L944" s="178"/>
      <c r="M944" s="178"/>
      <c r="N944" s="17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6"/>
      <c r="AV944" s="6"/>
      <c r="AW944" s="6"/>
      <c r="AX944" s="6"/>
    </row>
    <row r="945" spans="1:50" ht="15.75" customHeight="1" x14ac:dyDescent="0.3">
      <c r="A945" s="13"/>
      <c r="B945" s="13"/>
      <c r="C945" s="13"/>
      <c r="H945" s="178"/>
      <c r="J945" s="42"/>
      <c r="K945" s="178"/>
      <c r="L945" s="178"/>
      <c r="M945" s="178"/>
      <c r="N945" s="17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6"/>
      <c r="AV945" s="6"/>
      <c r="AW945" s="6"/>
      <c r="AX945" s="6"/>
    </row>
    <row r="946" spans="1:50" ht="15.75" customHeight="1" x14ac:dyDescent="0.3">
      <c r="A946" s="13"/>
      <c r="B946" s="13"/>
      <c r="C946" s="13"/>
      <c r="H946" s="178"/>
      <c r="J946" s="42"/>
      <c r="K946" s="178"/>
      <c r="L946" s="178"/>
      <c r="M946" s="178"/>
      <c r="N946" s="17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6"/>
      <c r="AV946" s="6"/>
      <c r="AW946" s="6"/>
      <c r="AX946" s="6"/>
    </row>
    <row r="947" spans="1:50" ht="15.75" customHeight="1" x14ac:dyDescent="0.3">
      <c r="A947" s="13"/>
      <c r="B947" s="13"/>
      <c r="C947" s="13"/>
      <c r="H947" s="178"/>
      <c r="J947" s="42"/>
      <c r="K947" s="178"/>
      <c r="L947" s="178"/>
      <c r="M947" s="178"/>
      <c r="N947" s="17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6"/>
      <c r="AV947" s="6"/>
      <c r="AW947" s="6"/>
      <c r="AX947" s="6"/>
    </row>
    <row r="948" spans="1:50" ht="15.75" customHeight="1" x14ac:dyDescent="0.3">
      <c r="A948" s="13"/>
      <c r="B948" s="13"/>
      <c r="C948" s="13"/>
      <c r="H948" s="178"/>
      <c r="J948" s="42"/>
      <c r="K948" s="178"/>
      <c r="L948" s="178"/>
      <c r="M948" s="178"/>
      <c r="N948" s="17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6"/>
      <c r="AV948" s="6"/>
      <c r="AW948" s="6"/>
      <c r="AX948" s="6"/>
    </row>
    <row r="949" spans="1:50" ht="15.75" customHeight="1" x14ac:dyDescent="0.3">
      <c r="A949" s="13"/>
      <c r="B949" s="13"/>
      <c r="C949" s="13"/>
      <c r="H949" s="178"/>
      <c r="J949" s="42"/>
      <c r="K949" s="178"/>
      <c r="L949" s="178"/>
      <c r="M949" s="178"/>
      <c r="N949" s="17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6"/>
      <c r="AV949" s="6"/>
      <c r="AW949" s="6"/>
      <c r="AX949" s="6"/>
    </row>
    <row r="950" spans="1:50" ht="15.75" customHeight="1" x14ac:dyDescent="0.3">
      <c r="A950" s="13"/>
      <c r="B950" s="13"/>
      <c r="C950" s="13"/>
      <c r="H950" s="178"/>
      <c r="J950" s="42"/>
      <c r="K950" s="178"/>
      <c r="L950" s="178"/>
      <c r="M950" s="178"/>
      <c r="N950" s="17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6"/>
      <c r="AV950" s="6"/>
      <c r="AW950" s="6"/>
      <c r="AX950" s="6"/>
    </row>
    <row r="951" spans="1:50" ht="15.75" customHeight="1" x14ac:dyDescent="0.3">
      <c r="A951" s="13"/>
      <c r="B951" s="13"/>
      <c r="C951" s="13"/>
      <c r="H951" s="178"/>
      <c r="J951" s="42"/>
      <c r="K951" s="178"/>
      <c r="L951" s="178"/>
      <c r="M951" s="178"/>
      <c r="N951" s="17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6"/>
      <c r="AV951" s="6"/>
      <c r="AW951" s="6"/>
      <c r="AX951" s="6"/>
    </row>
    <row r="952" spans="1:50" ht="15.75" customHeight="1" x14ac:dyDescent="0.3">
      <c r="A952" s="13"/>
      <c r="B952" s="13"/>
      <c r="C952" s="13"/>
      <c r="H952" s="178"/>
      <c r="J952" s="42"/>
      <c r="K952" s="178"/>
      <c r="L952" s="178"/>
      <c r="M952" s="178"/>
      <c r="N952" s="17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6"/>
      <c r="AV952" s="6"/>
      <c r="AW952" s="6"/>
      <c r="AX952" s="6"/>
    </row>
    <row r="953" spans="1:50" ht="15.75" customHeight="1" x14ac:dyDescent="0.3">
      <c r="A953" s="13"/>
      <c r="B953" s="13"/>
      <c r="C953" s="13"/>
      <c r="H953" s="178"/>
      <c r="J953" s="42"/>
      <c r="K953" s="178"/>
      <c r="L953" s="178"/>
      <c r="M953" s="178"/>
      <c r="N953" s="17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6"/>
      <c r="AV953" s="6"/>
      <c r="AW953" s="6"/>
      <c r="AX953" s="6"/>
    </row>
    <row r="954" spans="1:50" ht="15.75" customHeight="1" x14ac:dyDescent="0.3">
      <c r="A954" s="13"/>
      <c r="B954" s="13"/>
      <c r="C954" s="13"/>
      <c r="H954" s="178"/>
      <c r="J954" s="42"/>
      <c r="K954" s="178"/>
      <c r="L954" s="178"/>
      <c r="M954" s="178"/>
      <c r="N954" s="17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6"/>
      <c r="AV954" s="6"/>
      <c r="AW954" s="6"/>
      <c r="AX954" s="6"/>
    </row>
    <row r="955" spans="1:50" ht="15.75" customHeight="1" x14ac:dyDescent="0.3">
      <c r="A955" s="13"/>
      <c r="B955" s="13"/>
      <c r="C955" s="13"/>
      <c r="H955" s="178"/>
      <c r="J955" s="42"/>
      <c r="K955" s="178"/>
      <c r="L955" s="178"/>
      <c r="M955" s="178"/>
      <c r="N955" s="17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6"/>
      <c r="AV955" s="6"/>
      <c r="AW955" s="6"/>
      <c r="AX955" s="6"/>
    </row>
    <row r="956" spans="1:50" ht="15.75" customHeight="1" x14ac:dyDescent="0.3">
      <c r="A956" s="13"/>
      <c r="B956" s="13"/>
      <c r="C956" s="13"/>
      <c r="H956" s="178"/>
      <c r="J956" s="42"/>
      <c r="K956" s="178"/>
      <c r="L956" s="178"/>
      <c r="M956" s="178"/>
      <c r="N956" s="17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6"/>
      <c r="AV956" s="6"/>
      <c r="AW956" s="6"/>
      <c r="AX956" s="6"/>
    </row>
    <row r="957" spans="1:50" ht="15.75" customHeight="1" x14ac:dyDescent="0.3">
      <c r="A957" s="13"/>
      <c r="B957" s="13"/>
      <c r="C957" s="13"/>
      <c r="H957" s="178"/>
      <c r="J957" s="42"/>
      <c r="K957" s="178"/>
      <c r="L957" s="178"/>
      <c r="M957" s="178"/>
      <c r="N957" s="17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6"/>
      <c r="AV957" s="6"/>
      <c r="AW957" s="6"/>
      <c r="AX957" s="6"/>
    </row>
    <row r="958" spans="1:50" ht="15.75" customHeight="1" x14ac:dyDescent="0.3">
      <c r="A958" s="13"/>
      <c r="B958" s="13"/>
      <c r="C958" s="13"/>
      <c r="H958" s="178"/>
      <c r="J958" s="42"/>
      <c r="K958" s="178"/>
      <c r="L958" s="178"/>
      <c r="M958" s="178"/>
      <c r="N958" s="17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6"/>
      <c r="AV958" s="6"/>
      <c r="AW958" s="6"/>
      <c r="AX958" s="6"/>
    </row>
    <row r="959" spans="1:50" ht="15.75" customHeight="1" x14ac:dyDescent="0.3">
      <c r="A959" s="13"/>
      <c r="B959" s="13"/>
      <c r="C959" s="13"/>
      <c r="H959" s="178"/>
      <c r="J959" s="42"/>
      <c r="K959" s="178"/>
      <c r="L959" s="178"/>
      <c r="M959" s="178"/>
      <c r="N959" s="17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6"/>
      <c r="AV959" s="6"/>
      <c r="AW959" s="6"/>
      <c r="AX959" s="6"/>
    </row>
    <row r="960" spans="1:50" ht="15.75" customHeight="1" x14ac:dyDescent="0.3">
      <c r="A960" s="13"/>
      <c r="B960" s="13"/>
      <c r="C960" s="13"/>
      <c r="H960" s="178"/>
      <c r="J960" s="42"/>
      <c r="K960" s="178"/>
      <c r="L960" s="178"/>
      <c r="M960" s="178"/>
      <c r="N960" s="17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6"/>
      <c r="AV960" s="6"/>
      <c r="AW960" s="6"/>
      <c r="AX960" s="6"/>
    </row>
    <row r="961" spans="1:50" ht="15.75" customHeight="1" x14ac:dyDescent="0.3">
      <c r="A961" s="13"/>
      <c r="B961" s="13"/>
      <c r="C961" s="13"/>
      <c r="H961" s="178"/>
      <c r="J961" s="42"/>
      <c r="K961" s="178"/>
      <c r="L961" s="178"/>
      <c r="M961" s="178"/>
      <c r="N961" s="17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6"/>
      <c r="AV961" s="6"/>
      <c r="AW961" s="6"/>
      <c r="AX961" s="6"/>
    </row>
    <row r="962" spans="1:50" ht="15.75" customHeight="1" x14ac:dyDescent="0.3">
      <c r="A962" s="13"/>
      <c r="B962" s="13"/>
      <c r="C962" s="13"/>
      <c r="H962" s="178"/>
      <c r="J962" s="42"/>
      <c r="K962" s="178"/>
      <c r="L962" s="178"/>
      <c r="M962" s="178"/>
      <c r="N962" s="17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6"/>
      <c r="AV962" s="6"/>
      <c r="AW962" s="6"/>
      <c r="AX962" s="6"/>
    </row>
    <row r="963" spans="1:50" ht="15.75" customHeight="1" x14ac:dyDescent="0.3">
      <c r="A963" s="13"/>
      <c r="B963" s="13"/>
      <c r="C963" s="13"/>
      <c r="H963" s="178"/>
      <c r="J963" s="42"/>
      <c r="K963" s="178"/>
      <c r="L963" s="178"/>
      <c r="M963" s="178"/>
      <c r="N963" s="17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6"/>
      <c r="AV963" s="6"/>
      <c r="AW963" s="6"/>
      <c r="AX963" s="6"/>
    </row>
    <row r="964" spans="1:50" ht="15.75" customHeight="1" x14ac:dyDescent="0.3">
      <c r="A964" s="13"/>
      <c r="B964" s="13"/>
      <c r="C964" s="13"/>
      <c r="H964" s="178"/>
      <c r="J964" s="42"/>
      <c r="K964" s="178"/>
      <c r="L964" s="178"/>
      <c r="M964" s="178"/>
      <c r="N964" s="17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6"/>
      <c r="AV964" s="6"/>
      <c r="AW964" s="6"/>
      <c r="AX964" s="6"/>
    </row>
    <row r="965" spans="1:50" ht="15.75" customHeight="1" x14ac:dyDescent="0.3">
      <c r="A965" s="13"/>
      <c r="B965" s="13"/>
      <c r="C965" s="13"/>
      <c r="H965" s="178"/>
      <c r="J965" s="42"/>
      <c r="K965" s="178"/>
      <c r="L965" s="178"/>
      <c r="M965" s="178"/>
      <c r="N965" s="17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6"/>
      <c r="AV965" s="6"/>
      <c r="AW965" s="6"/>
      <c r="AX965" s="6"/>
    </row>
    <row r="966" spans="1:50" ht="15.75" customHeight="1" x14ac:dyDescent="0.3">
      <c r="A966" s="13"/>
      <c r="B966" s="13"/>
      <c r="C966" s="13"/>
      <c r="H966" s="178"/>
      <c r="J966" s="42"/>
      <c r="K966" s="178"/>
      <c r="L966" s="178"/>
      <c r="M966" s="178"/>
      <c r="N966" s="17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6"/>
      <c r="AV966" s="6"/>
      <c r="AW966" s="6"/>
      <c r="AX966" s="6"/>
    </row>
    <row r="967" spans="1:50" ht="15.75" customHeight="1" x14ac:dyDescent="0.3">
      <c r="A967" s="13"/>
      <c r="B967" s="13"/>
      <c r="C967" s="13"/>
      <c r="H967" s="178"/>
      <c r="J967" s="42"/>
      <c r="K967" s="178"/>
      <c r="L967" s="178"/>
      <c r="M967" s="178"/>
      <c r="N967" s="17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6"/>
      <c r="AV967" s="6"/>
      <c r="AW967" s="6"/>
      <c r="AX967" s="6"/>
    </row>
    <row r="968" spans="1:50" ht="15.75" customHeight="1" x14ac:dyDescent="0.3">
      <c r="A968" s="13"/>
      <c r="B968" s="13"/>
      <c r="C968" s="13"/>
      <c r="H968" s="178"/>
      <c r="J968" s="42"/>
      <c r="K968" s="178"/>
      <c r="L968" s="178"/>
      <c r="M968" s="178"/>
      <c r="N968" s="17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6"/>
      <c r="AV968" s="6"/>
      <c r="AW968" s="6"/>
      <c r="AX968" s="6"/>
    </row>
    <row r="969" spans="1:50" ht="15.75" customHeight="1" x14ac:dyDescent="0.3">
      <c r="A969" s="13"/>
      <c r="B969" s="13"/>
      <c r="C969" s="13"/>
      <c r="H969" s="178"/>
      <c r="J969" s="42"/>
      <c r="K969" s="178"/>
      <c r="L969" s="178"/>
      <c r="M969" s="178"/>
      <c r="N969" s="17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6"/>
      <c r="AV969" s="6"/>
      <c r="AW969" s="6"/>
      <c r="AX969" s="6"/>
    </row>
    <row r="970" spans="1:50" ht="15.75" customHeight="1" x14ac:dyDescent="0.3">
      <c r="A970" s="13"/>
      <c r="B970" s="13"/>
      <c r="C970" s="13"/>
      <c r="H970" s="178"/>
      <c r="J970" s="42"/>
      <c r="K970" s="178"/>
      <c r="L970" s="178"/>
      <c r="M970" s="178"/>
      <c r="N970" s="17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6"/>
      <c r="AV970" s="6"/>
      <c r="AW970" s="6"/>
      <c r="AX970" s="6"/>
    </row>
    <row r="971" spans="1:50" ht="15.75" customHeight="1" x14ac:dyDescent="0.3">
      <c r="A971" s="13"/>
      <c r="B971" s="13"/>
      <c r="C971" s="13"/>
      <c r="H971" s="178"/>
      <c r="J971" s="42"/>
      <c r="K971" s="178"/>
      <c r="L971" s="178"/>
      <c r="M971" s="178"/>
      <c r="N971" s="17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6"/>
      <c r="AV971" s="6"/>
      <c r="AW971" s="6"/>
      <c r="AX971" s="6"/>
    </row>
    <row r="972" spans="1:50" ht="15.75" customHeight="1" x14ac:dyDescent="0.3">
      <c r="A972" s="13"/>
      <c r="B972" s="13"/>
      <c r="C972" s="13"/>
      <c r="H972" s="178"/>
      <c r="J972" s="42"/>
      <c r="K972" s="178"/>
      <c r="L972" s="178"/>
      <c r="M972" s="178"/>
      <c r="N972" s="17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6"/>
      <c r="AV972" s="6"/>
      <c r="AW972" s="6"/>
      <c r="AX972" s="6"/>
    </row>
    <row r="973" spans="1:50" ht="15.75" customHeight="1" x14ac:dyDescent="0.3">
      <c r="A973" s="13"/>
      <c r="B973" s="13"/>
      <c r="C973" s="13"/>
      <c r="H973" s="178"/>
      <c r="J973" s="42"/>
      <c r="K973" s="178"/>
      <c r="L973" s="178"/>
      <c r="M973" s="178"/>
      <c r="N973" s="17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6"/>
      <c r="AV973" s="6"/>
      <c r="AW973" s="6"/>
      <c r="AX973" s="6"/>
    </row>
    <row r="974" spans="1:50" ht="15.75" customHeight="1" x14ac:dyDescent="0.3">
      <c r="A974" s="13"/>
      <c r="B974" s="13"/>
      <c r="C974" s="13"/>
      <c r="H974" s="178"/>
      <c r="J974" s="42"/>
      <c r="K974" s="178"/>
      <c r="L974" s="178"/>
      <c r="M974" s="178"/>
      <c r="N974" s="17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6"/>
      <c r="AV974" s="6"/>
      <c r="AW974" s="6"/>
      <c r="AX974" s="6"/>
    </row>
    <row r="975" spans="1:50" ht="15.75" customHeight="1" x14ac:dyDescent="0.3">
      <c r="A975" s="13"/>
      <c r="B975" s="13"/>
      <c r="C975" s="13"/>
      <c r="H975" s="178"/>
      <c r="J975" s="42"/>
      <c r="K975" s="178"/>
      <c r="L975" s="178"/>
      <c r="M975" s="178"/>
      <c r="N975" s="17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6"/>
      <c r="AV975" s="6"/>
      <c r="AW975" s="6"/>
      <c r="AX975" s="6"/>
    </row>
    <row r="976" spans="1:50" ht="15.75" customHeight="1" x14ac:dyDescent="0.3">
      <c r="A976" s="13"/>
      <c r="B976" s="13"/>
      <c r="C976" s="13"/>
      <c r="H976" s="178"/>
      <c r="J976" s="42"/>
      <c r="K976" s="178"/>
      <c r="L976" s="178"/>
      <c r="M976" s="178"/>
      <c r="N976" s="17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6"/>
      <c r="AV976" s="6"/>
      <c r="AW976" s="6"/>
      <c r="AX976" s="6"/>
    </row>
    <row r="977" spans="1:50" ht="15.75" customHeight="1" x14ac:dyDescent="0.3">
      <c r="A977" s="13"/>
      <c r="B977" s="13"/>
      <c r="C977" s="13"/>
      <c r="H977" s="178"/>
      <c r="J977" s="42"/>
      <c r="K977" s="178"/>
      <c r="L977" s="178"/>
      <c r="M977" s="178"/>
      <c r="N977" s="17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6"/>
      <c r="AV977" s="6"/>
      <c r="AW977" s="6"/>
      <c r="AX977" s="6"/>
    </row>
    <row r="978" spans="1:50" ht="15.75" customHeight="1" x14ac:dyDescent="0.3">
      <c r="A978" s="13"/>
      <c r="B978" s="13"/>
      <c r="C978" s="13"/>
      <c r="H978" s="178"/>
      <c r="J978" s="42"/>
      <c r="K978" s="178"/>
      <c r="L978" s="178"/>
      <c r="M978" s="178"/>
      <c r="N978" s="17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6"/>
      <c r="AV978" s="6"/>
      <c r="AW978" s="6"/>
      <c r="AX978" s="6"/>
    </row>
    <row r="979" spans="1:50" ht="15.75" customHeight="1" x14ac:dyDescent="0.3">
      <c r="A979" s="13"/>
      <c r="B979" s="13"/>
      <c r="C979" s="13"/>
      <c r="H979" s="178"/>
      <c r="J979" s="42"/>
      <c r="K979" s="178"/>
      <c r="L979" s="178"/>
      <c r="M979" s="178"/>
      <c r="N979" s="17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6"/>
      <c r="AV979" s="6"/>
      <c r="AW979" s="6"/>
      <c r="AX979" s="6"/>
    </row>
    <row r="980" spans="1:50" ht="15.75" customHeight="1" x14ac:dyDescent="0.3">
      <c r="A980" s="13"/>
      <c r="B980" s="13"/>
      <c r="C980" s="13"/>
      <c r="H980" s="178"/>
      <c r="J980" s="42"/>
      <c r="K980" s="178"/>
      <c r="L980" s="178"/>
      <c r="M980" s="178"/>
      <c r="N980" s="17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6"/>
      <c r="AV980" s="6"/>
      <c r="AW980" s="6"/>
      <c r="AX980" s="6"/>
    </row>
    <row r="981" spans="1:50" ht="15.75" customHeight="1" x14ac:dyDescent="0.3">
      <c r="A981" s="13"/>
      <c r="B981" s="13"/>
      <c r="C981" s="13"/>
      <c r="H981" s="178"/>
      <c r="J981" s="42"/>
      <c r="K981" s="178"/>
      <c r="L981" s="178"/>
      <c r="M981" s="178"/>
      <c r="N981" s="17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6"/>
      <c r="AV981" s="6"/>
      <c r="AW981" s="6"/>
      <c r="AX981" s="6"/>
    </row>
    <row r="982" spans="1:50" ht="15.75" customHeight="1" x14ac:dyDescent="0.3">
      <c r="A982" s="13"/>
      <c r="B982" s="13"/>
      <c r="C982" s="13"/>
      <c r="H982" s="178"/>
      <c r="J982" s="42"/>
      <c r="K982" s="178"/>
      <c r="L982" s="178"/>
      <c r="M982" s="178"/>
      <c r="N982" s="17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6"/>
      <c r="AV982" s="6"/>
      <c r="AW982" s="6"/>
      <c r="AX982" s="6"/>
    </row>
    <row r="983" spans="1:50" ht="15.75" customHeight="1" x14ac:dyDescent="0.3">
      <c r="A983" s="13"/>
      <c r="B983" s="13"/>
      <c r="C983" s="13"/>
      <c r="H983" s="178"/>
      <c r="J983" s="42"/>
      <c r="K983" s="178"/>
      <c r="L983" s="178"/>
      <c r="M983" s="178"/>
      <c r="N983" s="17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6"/>
      <c r="AV983" s="6"/>
      <c r="AW983" s="6"/>
      <c r="AX983" s="6"/>
    </row>
    <row r="984" spans="1:50" ht="15.75" customHeight="1" x14ac:dyDescent="0.3">
      <c r="A984" s="13"/>
      <c r="B984" s="13"/>
      <c r="C984" s="13"/>
      <c r="H984" s="178"/>
      <c r="J984" s="42"/>
      <c r="K984" s="178"/>
      <c r="L984" s="178"/>
      <c r="M984" s="178"/>
      <c r="N984" s="17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6"/>
      <c r="AV984" s="6"/>
      <c r="AW984" s="6"/>
      <c r="AX984" s="6"/>
    </row>
    <row r="985" spans="1:50" ht="15.75" customHeight="1" x14ac:dyDescent="0.3">
      <c r="A985" s="13"/>
      <c r="B985" s="13"/>
      <c r="C985" s="13"/>
      <c r="H985" s="178"/>
      <c r="J985" s="42"/>
      <c r="K985" s="178"/>
      <c r="L985" s="178"/>
      <c r="M985" s="178"/>
      <c r="N985" s="17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6"/>
      <c r="AV985" s="6"/>
      <c r="AW985" s="6"/>
      <c r="AX985" s="6"/>
    </row>
    <row r="986" spans="1:50" ht="15.75" customHeight="1" x14ac:dyDescent="0.3">
      <c r="A986" s="13"/>
      <c r="B986" s="13"/>
      <c r="C986" s="13"/>
      <c r="H986" s="178"/>
      <c r="J986" s="42"/>
      <c r="K986" s="178"/>
      <c r="L986" s="178"/>
      <c r="M986" s="178"/>
      <c r="N986" s="17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6"/>
      <c r="AV986" s="6"/>
      <c r="AW986" s="6"/>
      <c r="AX986" s="6"/>
    </row>
    <row r="987" spans="1:50" ht="15.75" customHeight="1" x14ac:dyDescent="0.3">
      <c r="A987" s="13"/>
      <c r="B987" s="13"/>
      <c r="C987" s="13"/>
      <c r="H987" s="178"/>
      <c r="J987" s="42"/>
      <c r="K987" s="178"/>
      <c r="L987" s="178"/>
      <c r="M987" s="178"/>
      <c r="N987" s="17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6"/>
      <c r="AV987" s="6"/>
      <c r="AW987" s="6"/>
      <c r="AX987" s="6"/>
    </row>
    <row r="988" spans="1:50" ht="15.75" customHeight="1" x14ac:dyDescent="0.3">
      <c r="A988" s="13"/>
      <c r="B988" s="13"/>
      <c r="C988" s="13"/>
      <c r="H988" s="178"/>
      <c r="J988" s="42"/>
      <c r="K988" s="178"/>
      <c r="L988" s="178"/>
      <c r="M988" s="178"/>
      <c r="N988" s="17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6"/>
      <c r="AV988" s="6"/>
      <c r="AW988" s="6"/>
      <c r="AX988" s="6"/>
    </row>
    <row r="989" spans="1:50" ht="15.75" customHeight="1" x14ac:dyDescent="0.3">
      <c r="A989" s="13"/>
      <c r="B989" s="13"/>
      <c r="C989" s="13"/>
      <c r="H989" s="178"/>
      <c r="J989" s="42"/>
      <c r="K989" s="178"/>
      <c r="L989" s="178"/>
      <c r="M989" s="178"/>
      <c r="N989" s="17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6"/>
      <c r="AV989" s="6"/>
      <c r="AW989" s="6"/>
      <c r="AX989" s="6"/>
    </row>
    <row r="990" spans="1:50" ht="15.75" customHeight="1" x14ac:dyDescent="0.3">
      <c r="A990" s="13"/>
      <c r="B990" s="13"/>
      <c r="C990" s="13"/>
      <c r="H990" s="178"/>
      <c r="J990" s="42"/>
      <c r="K990" s="178"/>
      <c r="L990" s="178"/>
      <c r="M990" s="178"/>
      <c r="N990" s="17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6"/>
      <c r="AV990" s="6"/>
      <c r="AW990" s="6"/>
      <c r="AX990" s="6"/>
    </row>
    <row r="991" spans="1:50" ht="15.75" customHeight="1" x14ac:dyDescent="0.3">
      <c r="A991" s="13"/>
      <c r="B991" s="13"/>
      <c r="C991" s="13"/>
      <c r="H991" s="178"/>
      <c r="J991" s="42"/>
      <c r="K991" s="178"/>
      <c r="L991" s="178"/>
      <c r="M991" s="178"/>
      <c r="N991" s="17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6"/>
      <c r="AV991" s="6"/>
      <c r="AW991" s="6"/>
      <c r="AX991" s="6"/>
    </row>
    <row r="992" spans="1:50" ht="15.75" customHeight="1" x14ac:dyDescent="0.3">
      <c r="A992" s="13"/>
      <c r="B992" s="13"/>
      <c r="C992" s="13"/>
      <c r="H992" s="178"/>
      <c r="J992" s="42"/>
      <c r="K992" s="178"/>
      <c r="L992" s="178"/>
      <c r="M992" s="178"/>
      <c r="N992" s="17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6"/>
      <c r="AV992" s="6"/>
      <c r="AW992" s="6"/>
      <c r="AX992" s="6"/>
    </row>
    <row r="993" spans="1:50" ht="15.75" customHeight="1" x14ac:dyDescent="0.3">
      <c r="A993" s="13"/>
      <c r="B993" s="13"/>
      <c r="C993" s="13"/>
      <c r="H993" s="178"/>
      <c r="J993" s="42"/>
      <c r="K993" s="178"/>
      <c r="L993" s="178"/>
      <c r="M993" s="178"/>
      <c r="N993" s="17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6"/>
      <c r="AV993" s="6"/>
      <c r="AW993" s="6"/>
      <c r="AX993" s="6"/>
    </row>
    <row r="994" spans="1:50" ht="15.75" customHeight="1" x14ac:dyDescent="0.3">
      <c r="A994" s="13"/>
      <c r="B994" s="13"/>
      <c r="C994" s="13"/>
      <c r="H994" s="178"/>
      <c r="J994" s="42"/>
      <c r="K994" s="178"/>
      <c r="L994" s="178"/>
      <c r="M994" s="178"/>
      <c r="N994" s="17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6"/>
      <c r="AV994" s="6"/>
      <c r="AW994" s="6"/>
      <c r="AX994" s="6"/>
    </row>
    <row r="995" spans="1:50" ht="15.75" customHeight="1" x14ac:dyDescent="0.3">
      <c r="A995" s="13"/>
      <c r="B995" s="13"/>
      <c r="C995" s="13"/>
      <c r="H995" s="178"/>
      <c r="J995" s="42"/>
      <c r="K995" s="178"/>
      <c r="L995" s="178"/>
      <c r="M995" s="178"/>
      <c r="N995" s="17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6"/>
      <c r="AV995" s="6"/>
      <c r="AW995" s="6"/>
      <c r="AX995" s="6"/>
    </row>
    <row r="996" spans="1:50" ht="15.75" customHeight="1" x14ac:dyDescent="0.3">
      <c r="A996" s="13"/>
      <c r="B996" s="13"/>
      <c r="C996" s="13"/>
      <c r="H996" s="178"/>
      <c r="J996" s="42"/>
      <c r="K996" s="178"/>
      <c r="L996" s="178"/>
      <c r="M996" s="178"/>
      <c r="N996" s="17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6"/>
      <c r="AV996" s="6"/>
      <c r="AW996" s="6"/>
      <c r="AX996" s="6"/>
    </row>
    <row r="997" spans="1:50" ht="15.75" customHeight="1" x14ac:dyDescent="0.3">
      <c r="A997" s="13"/>
      <c r="B997" s="13"/>
      <c r="C997" s="13"/>
      <c r="H997" s="178"/>
      <c r="J997" s="42"/>
      <c r="K997" s="178"/>
      <c r="L997" s="178"/>
      <c r="M997" s="178"/>
      <c r="N997" s="17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6"/>
      <c r="AV997" s="6"/>
      <c r="AW997" s="6"/>
      <c r="AX997" s="6"/>
    </row>
    <row r="998" spans="1:50" ht="15.75" customHeight="1" x14ac:dyDescent="0.3">
      <c r="A998" s="13"/>
      <c r="B998" s="13"/>
      <c r="C998" s="13"/>
      <c r="H998" s="178"/>
      <c r="J998" s="42"/>
      <c r="K998" s="178"/>
      <c r="L998" s="178"/>
      <c r="M998" s="178"/>
      <c r="N998" s="17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6"/>
      <c r="AV998" s="6"/>
      <c r="AW998" s="6"/>
      <c r="AX998" s="6"/>
    </row>
    <row r="999" spans="1:50" ht="15.75" customHeight="1" x14ac:dyDescent="0.3">
      <c r="A999" s="13"/>
      <c r="B999" s="13"/>
      <c r="C999" s="13"/>
      <c r="H999" s="178"/>
      <c r="J999" s="42"/>
      <c r="K999" s="178"/>
      <c r="L999" s="178"/>
      <c r="M999" s="178"/>
      <c r="N999" s="17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6"/>
      <c r="AV999" s="6"/>
      <c r="AW999" s="6"/>
      <c r="AX999" s="6"/>
    </row>
    <row r="1000" spans="1:50" ht="15.75" customHeight="1" x14ac:dyDescent="0.3">
      <c r="A1000" s="13"/>
      <c r="B1000" s="13"/>
      <c r="C1000" s="13"/>
      <c r="H1000" s="178"/>
      <c r="J1000" s="42"/>
      <c r="K1000" s="178"/>
      <c r="L1000" s="178"/>
      <c r="M1000" s="178"/>
      <c r="N1000" s="17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6"/>
      <c r="AV1000" s="6"/>
      <c r="AW1000" s="6"/>
      <c r="AX1000" s="6"/>
    </row>
    <row r="1001" spans="1:50" ht="15.75" customHeight="1" x14ac:dyDescent="0.3">
      <c r="A1001" s="13"/>
      <c r="B1001" s="13"/>
      <c r="C1001" s="13"/>
      <c r="H1001" s="178"/>
      <c r="J1001" s="42"/>
      <c r="K1001" s="178"/>
      <c r="L1001" s="178"/>
      <c r="M1001" s="178"/>
      <c r="N1001" s="178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6"/>
      <c r="AV1001" s="6"/>
      <c r="AW1001" s="6"/>
      <c r="AX1001" s="6"/>
    </row>
    <row r="1002" spans="1:50" ht="15.75" customHeight="1" x14ac:dyDescent="0.3">
      <c r="A1002" s="13"/>
      <c r="B1002" s="13"/>
      <c r="C1002" s="13"/>
      <c r="H1002" s="178"/>
      <c r="J1002" s="42"/>
      <c r="K1002" s="178"/>
      <c r="L1002" s="178"/>
      <c r="M1002" s="178"/>
      <c r="N1002" s="178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6"/>
      <c r="AV1002" s="6"/>
      <c r="AW1002" s="6"/>
      <c r="AX1002" s="6"/>
    </row>
    <row r="1003" spans="1:50" ht="15.75" customHeight="1" x14ac:dyDescent="0.3">
      <c r="A1003" s="13"/>
      <c r="B1003" s="13"/>
      <c r="C1003" s="13"/>
      <c r="H1003" s="178"/>
      <c r="J1003" s="42"/>
      <c r="K1003" s="178"/>
      <c r="L1003" s="178"/>
      <c r="M1003" s="178"/>
      <c r="N1003" s="178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6"/>
      <c r="AV1003" s="6"/>
      <c r="AW1003" s="6"/>
      <c r="AX1003" s="6"/>
    </row>
    <row r="1004" spans="1:50" ht="15.75" customHeight="1" x14ac:dyDescent="0.3">
      <c r="A1004" s="13"/>
      <c r="B1004" s="13"/>
      <c r="C1004" s="13"/>
      <c r="H1004" s="178"/>
      <c r="J1004" s="42"/>
      <c r="K1004" s="178"/>
      <c r="L1004" s="178"/>
      <c r="M1004" s="178"/>
      <c r="N1004" s="178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6"/>
      <c r="AV1004" s="6"/>
      <c r="AW1004" s="6"/>
      <c r="AX1004" s="6"/>
    </row>
    <row r="1005" spans="1:50" ht="15.75" customHeight="1" x14ac:dyDescent="0.3">
      <c r="A1005" s="13"/>
      <c r="B1005" s="13"/>
      <c r="C1005" s="13"/>
      <c r="H1005" s="178"/>
      <c r="J1005" s="42"/>
      <c r="K1005" s="178"/>
      <c r="L1005" s="178"/>
      <c r="M1005" s="178"/>
      <c r="N1005" s="178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6"/>
      <c r="AV1005" s="6"/>
      <c r="AW1005" s="6"/>
      <c r="AX1005" s="6"/>
    </row>
    <row r="1006" spans="1:50" ht="15.75" customHeight="1" x14ac:dyDescent="0.3">
      <c r="A1006" s="13"/>
      <c r="B1006" s="13"/>
      <c r="C1006" s="13"/>
      <c r="H1006" s="178"/>
      <c r="K1006" s="178"/>
      <c r="L1006" s="178"/>
      <c r="M1006" s="178"/>
      <c r="N1006" s="178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6"/>
      <c r="AV1006" s="6"/>
      <c r="AW1006" s="6"/>
      <c r="AX1006" s="6"/>
    </row>
    <row r="1007" spans="1:50" ht="15.75" customHeight="1" x14ac:dyDescent="0.3">
      <c r="A1007" s="13"/>
      <c r="B1007" s="13"/>
      <c r="C1007" s="13"/>
      <c r="H1007" s="178"/>
      <c r="K1007" s="178"/>
      <c r="L1007" s="178"/>
      <c r="M1007" s="178"/>
      <c r="N1007" s="178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6"/>
      <c r="AV1007" s="6"/>
      <c r="AW1007" s="6"/>
      <c r="AX1007" s="6"/>
    </row>
    <row r="1008" spans="1:50" ht="15.75" customHeight="1" x14ac:dyDescent="0.3">
      <c r="A1008" s="13"/>
      <c r="B1008" s="13"/>
      <c r="C1008" s="13"/>
      <c r="H1008" s="178"/>
      <c r="K1008" s="178"/>
      <c r="L1008" s="178"/>
      <c r="M1008" s="178"/>
      <c r="N1008" s="178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6"/>
      <c r="AV1008" s="6"/>
      <c r="AW1008" s="6"/>
      <c r="AX1008" s="6"/>
    </row>
    <row r="1009" spans="1:50" ht="15.75" customHeight="1" x14ac:dyDescent="0.3">
      <c r="A1009" s="13"/>
      <c r="B1009" s="13"/>
      <c r="C1009" s="13"/>
      <c r="H1009" s="178"/>
      <c r="K1009" s="178"/>
      <c r="L1009" s="178"/>
      <c r="M1009" s="178"/>
      <c r="N1009" s="178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6"/>
      <c r="AV1009" s="6"/>
      <c r="AW1009" s="6"/>
      <c r="AX1009" s="6"/>
    </row>
    <row r="1010" spans="1:50" ht="15.75" customHeight="1" x14ac:dyDescent="0.3">
      <c r="A1010" s="13"/>
      <c r="B1010" s="13"/>
      <c r="C1010" s="13"/>
      <c r="H1010" s="178"/>
      <c r="K1010" s="178"/>
      <c r="L1010" s="178"/>
      <c r="M1010" s="178"/>
      <c r="N1010" s="178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6"/>
      <c r="AV1010" s="6"/>
      <c r="AW1010" s="6"/>
      <c r="AX1010" s="6"/>
    </row>
    <row r="1011" spans="1:50" ht="15.75" customHeight="1" x14ac:dyDescent="0.3">
      <c r="A1011" s="13"/>
      <c r="B1011" s="13"/>
      <c r="C1011" s="13"/>
      <c r="H1011" s="178"/>
      <c r="K1011" s="178"/>
      <c r="L1011" s="178"/>
      <c r="M1011" s="178"/>
      <c r="N1011" s="178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6"/>
      <c r="AV1011" s="6"/>
      <c r="AW1011" s="6"/>
      <c r="AX1011" s="6"/>
    </row>
    <row r="1012" spans="1:50" ht="15.75" customHeight="1" x14ac:dyDescent="0.3">
      <c r="A1012" s="13"/>
      <c r="B1012" s="13"/>
      <c r="C1012" s="13"/>
      <c r="H1012" s="178"/>
      <c r="K1012" s="178"/>
      <c r="L1012" s="178"/>
      <c r="M1012" s="178"/>
      <c r="N1012" s="178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6"/>
      <c r="AV1012" s="6"/>
      <c r="AW1012" s="6"/>
      <c r="AX1012" s="6"/>
    </row>
    <row r="1013" spans="1:50" ht="15.75" customHeight="1" x14ac:dyDescent="0.3">
      <c r="A1013" s="13"/>
      <c r="B1013" s="13"/>
      <c r="C1013" s="13"/>
      <c r="H1013" s="178"/>
      <c r="K1013" s="178"/>
      <c r="L1013" s="178"/>
      <c r="M1013" s="178"/>
      <c r="N1013" s="178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6"/>
      <c r="AV1013" s="6"/>
      <c r="AW1013" s="6"/>
      <c r="AX1013" s="6"/>
    </row>
    <row r="1014" spans="1:50" ht="15.75" customHeight="1" x14ac:dyDescent="0.3">
      <c r="A1014" s="13"/>
      <c r="B1014" s="13"/>
      <c r="C1014" s="13"/>
      <c r="H1014" s="178"/>
      <c r="K1014" s="178"/>
      <c r="L1014" s="178"/>
      <c r="M1014" s="178"/>
      <c r="N1014" s="178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6"/>
      <c r="AV1014" s="6"/>
      <c r="AW1014" s="6"/>
      <c r="AX1014" s="6"/>
    </row>
    <row r="1015" spans="1:50" ht="15.75" customHeight="1" x14ac:dyDescent="0.3">
      <c r="A1015" s="13"/>
      <c r="B1015" s="13"/>
      <c r="C1015" s="13"/>
      <c r="H1015" s="178"/>
      <c r="K1015" s="178"/>
      <c r="L1015" s="178"/>
      <c r="M1015" s="178"/>
      <c r="N1015" s="178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6"/>
      <c r="AV1015" s="6"/>
      <c r="AW1015" s="6"/>
      <c r="AX1015" s="6"/>
    </row>
    <row r="1016" spans="1:50" ht="15.75" customHeight="1" x14ac:dyDescent="0.3">
      <c r="A1016" s="13"/>
      <c r="B1016" s="13"/>
      <c r="C1016" s="13"/>
      <c r="H1016" s="178"/>
      <c r="K1016" s="178"/>
      <c r="L1016" s="178"/>
      <c r="M1016" s="178"/>
      <c r="N1016" s="178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6"/>
      <c r="AV1016" s="6"/>
      <c r="AW1016" s="6"/>
      <c r="AX1016" s="6"/>
    </row>
    <row r="1017" spans="1:50" ht="15.75" customHeight="1" x14ac:dyDescent="0.3">
      <c r="A1017" s="13"/>
      <c r="B1017" s="13"/>
      <c r="C1017" s="13"/>
      <c r="H1017" s="178"/>
      <c r="K1017" s="178"/>
      <c r="L1017" s="178"/>
      <c r="M1017" s="178"/>
      <c r="N1017" s="178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6"/>
      <c r="AV1017" s="6"/>
      <c r="AW1017" s="6"/>
      <c r="AX1017" s="6"/>
    </row>
    <row r="1018" spans="1:50" ht="15.75" customHeight="1" x14ac:dyDescent="0.3">
      <c r="A1018" s="13"/>
      <c r="B1018" s="13"/>
      <c r="C1018" s="13"/>
      <c r="H1018" s="178"/>
      <c r="K1018" s="178"/>
      <c r="L1018" s="178"/>
      <c r="M1018" s="178"/>
      <c r="N1018" s="178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6"/>
      <c r="AV1018" s="6"/>
      <c r="AW1018" s="6"/>
      <c r="AX1018" s="6"/>
    </row>
    <row r="1019" spans="1:50" ht="15.75" customHeight="1" x14ac:dyDescent="0.3">
      <c r="A1019" s="13"/>
      <c r="B1019" s="13"/>
      <c r="C1019" s="13"/>
      <c r="H1019" s="178"/>
      <c r="K1019" s="178"/>
      <c r="L1019" s="178"/>
      <c r="M1019" s="178"/>
      <c r="N1019" s="178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6"/>
      <c r="AV1019" s="6"/>
      <c r="AW1019" s="6"/>
      <c r="AX1019" s="6"/>
    </row>
    <row r="1020" spans="1:50" ht="15.75" customHeight="1" x14ac:dyDescent="0.3">
      <c r="A1020" s="13"/>
      <c r="B1020" s="13"/>
      <c r="C1020" s="13"/>
      <c r="H1020" s="178"/>
      <c r="K1020" s="178"/>
      <c r="L1020" s="178"/>
      <c r="M1020" s="178"/>
      <c r="N1020" s="178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6"/>
      <c r="AV1020" s="6"/>
      <c r="AW1020" s="6"/>
      <c r="AX1020" s="6"/>
    </row>
    <row r="1021" spans="1:50" ht="15.75" customHeight="1" x14ac:dyDescent="0.3">
      <c r="A1021" s="13"/>
      <c r="B1021" s="13"/>
      <c r="C1021" s="13"/>
      <c r="H1021" s="178"/>
      <c r="K1021" s="178"/>
      <c r="L1021" s="178"/>
      <c r="M1021" s="178"/>
      <c r="N1021" s="178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6"/>
      <c r="AV1021" s="6"/>
      <c r="AW1021" s="6"/>
      <c r="AX1021" s="6"/>
    </row>
    <row r="1022" spans="1:50" ht="15.75" customHeight="1" x14ac:dyDescent="0.3">
      <c r="A1022" s="13"/>
      <c r="B1022" s="13"/>
      <c r="C1022" s="13"/>
      <c r="H1022" s="178"/>
      <c r="K1022" s="178"/>
      <c r="L1022" s="178"/>
      <c r="M1022" s="178"/>
      <c r="N1022" s="178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6"/>
      <c r="AV1022" s="6"/>
      <c r="AW1022" s="6"/>
      <c r="AX1022" s="6"/>
    </row>
    <row r="1023" spans="1:50" ht="15.75" customHeight="1" x14ac:dyDescent="0.3">
      <c r="A1023" s="13"/>
      <c r="B1023" s="13"/>
      <c r="C1023" s="13"/>
      <c r="H1023" s="178"/>
      <c r="K1023" s="178"/>
      <c r="L1023" s="178"/>
      <c r="M1023" s="178"/>
      <c r="N1023" s="178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6"/>
      <c r="AV1023" s="6"/>
      <c r="AW1023" s="6"/>
      <c r="AX1023" s="6"/>
    </row>
    <row r="1024" spans="1:50" ht="15.75" customHeight="1" x14ac:dyDescent="0.3">
      <c r="A1024" s="13"/>
      <c r="B1024" s="13"/>
      <c r="C1024" s="13"/>
      <c r="H1024" s="178"/>
      <c r="K1024" s="178"/>
      <c r="L1024" s="178"/>
      <c r="M1024" s="178"/>
      <c r="N1024" s="178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6"/>
      <c r="AV1024" s="6"/>
      <c r="AW1024" s="6"/>
      <c r="AX1024" s="6"/>
    </row>
    <row r="1025" spans="1:50" ht="15.75" customHeight="1" x14ac:dyDescent="0.3">
      <c r="A1025" s="13"/>
      <c r="B1025" s="13"/>
      <c r="C1025" s="13"/>
      <c r="H1025" s="178"/>
      <c r="K1025" s="178"/>
      <c r="L1025" s="178"/>
      <c r="M1025" s="178"/>
      <c r="N1025" s="178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6"/>
      <c r="AV1025" s="6"/>
      <c r="AW1025" s="6"/>
      <c r="AX1025" s="6"/>
    </row>
    <row r="1026" spans="1:50" ht="15.75" customHeight="1" x14ac:dyDescent="0.3">
      <c r="A1026" s="13"/>
      <c r="B1026" s="13"/>
      <c r="C1026" s="13"/>
      <c r="H1026" s="178"/>
      <c r="K1026" s="178"/>
      <c r="L1026" s="178"/>
      <c r="M1026" s="178"/>
      <c r="N1026" s="178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6"/>
      <c r="AV1026" s="6"/>
      <c r="AW1026" s="6"/>
      <c r="AX1026" s="6"/>
    </row>
    <row r="1027" spans="1:50" ht="15.75" customHeight="1" x14ac:dyDescent="0.3">
      <c r="A1027" s="13"/>
      <c r="B1027" s="13"/>
      <c r="C1027" s="13"/>
      <c r="H1027" s="178"/>
      <c r="K1027" s="178"/>
      <c r="L1027" s="178"/>
      <c r="M1027" s="178"/>
      <c r="N1027" s="178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6"/>
      <c r="AV1027" s="6"/>
      <c r="AW1027" s="6"/>
      <c r="AX1027" s="6"/>
    </row>
    <row r="1028" spans="1:50" ht="15.75" customHeight="1" x14ac:dyDescent="0.3">
      <c r="A1028" s="13"/>
      <c r="B1028" s="13"/>
      <c r="C1028" s="13"/>
      <c r="H1028" s="178"/>
      <c r="K1028" s="178"/>
      <c r="L1028" s="178"/>
      <c r="M1028" s="178"/>
      <c r="N1028" s="178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6"/>
      <c r="AV1028" s="6"/>
      <c r="AW1028" s="6"/>
      <c r="AX1028" s="6"/>
    </row>
    <row r="1029" spans="1:50" ht="15.75" customHeight="1" x14ac:dyDescent="0.3">
      <c r="A1029" s="13"/>
      <c r="B1029" s="13"/>
      <c r="C1029" s="13"/>
      <c r="H1029" s="178"/>
      <c r="K1029" s="178"/>
      <c r="L1029" s="178"/>
      <c r="M1029" s="178"/>
      <c r="N1029" s="178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6"/>
      <c r="AV1029" s="6"/>
      <c r="AW1029" s="6"/>
      <c r="AX1029" s="6"/>
    </row>
    <row r="1030" spans="1:50" ht="15.75" customHeight="1" x14ac:dyDescent="0.3">
      <c r="A1030" s="13"/>
      <c r="B1030" s="13"/>
      <c r="C1030" s="13"/>
      <c r="H1030" s="178"/>
      <c r="K1030" s="178"/>
      <c r="L1030" s="178"/>
      <c r="M1030" s="178"/>
      <c r="N1030" s="178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6"/>
      <c r="AV1030" s="6"/>
      <c r="AW1030" s="6"/>
      <c r="AX1030" s="6"/>
    </row>
    <row r="1031" spans="1:50" ht="15.75" customHeight="1" x14ac:dyDescent="0.3">
      <c r="A1031" s="13"/>
      <c r="B1031" s="13"/>
      <c r="C1031" s="13"/>
      <c r="H1031" s="178"/>
      <c r="K1031" s="178"/>
      <c r="L1031" s="178"/>
      <c r="M1031" s="178"/>
      <c r="N1031" s="178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6"/>
      <c r="AV1031" s="6"/>
      <c r="AW1031" s="6"/>
      <c r="AX1031" s="6"/>
    </row>
    <row r="1032" spans="1:50" ht="15.75" customHeight="1" x14ac:dyDescent="0.3">
      <c r="A1032" s="13"/>
      <c r="B1032" s="13"/>
      <c r="C1032" s="13"/>
      <c r="H1032" s="178"/>
      <c r="K1032" s="178"/>
      <c r="L1032" s="178"/>
      <c r="M1032" s="178"/>
      <c r="N1032" s="178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6"/>
      <c r="AV1032" s="6"/>
      <c r="AW1032" s="6"/>
      <c r="AX1032" s="6"/>
    </row>
    <row r="1033" spans="1:50" ht="15.75" customHeight="1" x14ac:dyDescent="0.3">
      <c r="A1033" s="13"/>
      <c r="B1033" s="13"/>
      <c r="C1033" s="13"/>
      <c r="H1033" s="178"/>
      <c r="K1033" s="178"/>
      <c r="L1033" s="178"/>
      <c r="M1033" s="178"/>
      <c r="N1033" s="178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6"/>
      <c r="AV1033" s="6"/>
      <c r="AW1033" s="6"/>
      <c r="AX1033" s="6"/>
    </row>
    <row r="1034" spans="1:50" ht="15.75" customHeight="1" x14ac:dyDescent="0.3">
      <c r="A1034" s="13"/>
      <c r="B1034" s="13"/>
      <c r="C1034" s="13"/>
      <c r="H1034" s="178"/>
      <c r="K1034" s="178"/>
      <c r="L1034" s="178"/>
      <c r="M1034" s="178"/>
      <c r="N1034" s="178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6"/>
      <c r="AV1034" s="6"/>
      <c r="AW1034" s="6"/>
      <c r="AX1034" s="6"/>
    </row>
    <row r="1035" spans="1:50" ht="15.75" customHeight="1" x14ac:dyDescent="0.3">
      <c r="A1035" s="13"/>
      <c r="B1035" s="13"/>
      <c r="C1035" s="13"/>
      <c r="H1035" s="178"/>
      <c r="K1035" s="178"/>
      <c r="L1035" s="178"/>
      <c r="M1035" s="178"/>
      <c r="N1035" s="178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6"/>
      <c r="AV1035" s="6"/>
      <c r="AW1035" s="6"/>
      <c r="AX1035" s="6"/>
    </row>
    <row r="1036" spans="1:50" ht="15.75" customHeight="1" x14ac:dyDescent="0.3">
      <c r="A1036" s="13"/>
      <c r="B1036" s="13"/>
      <c r="C1036" s="13"/>
      <c r="H1036" s="178"/>
      <c r="K1036" s="178"/>
      <c r="L1036" s="178"/>
      <c r="M1036" s="178"/>
      <c r="N1036" s="178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6"/>
      <c r="AV1036" s="6"/>
      <c r="AW1036" s="6"/>
      <c r="AX1036" s="6"/>
    </row>
    <row r="1037" spans="1:50" ht="15.75" customHeight="1" x14ac:dyDescent="0.3">
      <c r="A1037" s="13"/>
      <c r="B1037" s="13"/>
      <c r="C1037" s="13"/>
      <c r="H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78"/>
      <c r="AH1037" s="178"/>
      <c r="AI1037" s="178"/>
      <c r="AJ1037" s="178"/>
      <c r="AK1037" s="178"/>
      <c r="AL1037" s="178"/>
      <c r="AM1037" s="178"/>
      <c r="AN1037" s="178"/>
      <c r="AO1037" s="178"/>
      <c r="AP1037" s="178"/>
      <c r="AQ1037" s="178"/>
      <c r="AR1037" s="178"/>
      <c r="AS1037" s="178"/>
      <c r="AT1037" s="178"/>
    </row>
    <row r="1038" spans="1:50" ht="15.75" customHeight="1" x14ac:dyDescent="0.3">
      <c r="A1038" s="13"/>
      <c r="B1038" s="13"/>
      <c r="C1038" s="13"/>
      <c r="H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78"/>
      <c r="AH1038" s="178"/>
      <c r="AI1038" s="178"/>
      <c r="AJ1038" s="178"/>
      <c r="AK1038" s="178"/>
      <c r="AL1038" s="178"/>
      <c r="AM1038" s="178"/>
      <c r="AN1038" s="178"/>
      <c r="AO1038" s="178"/>
      <c r="AP1038" s="178"/>
      <c r="AQ1038" s="178"/>
      <c r="AR1038" s="178"/>
      <c r="AS1038" s="178"/>
      <c r="AT1038" s="178"/>
    </row>
    <row r="1039" spans="1:50" ht="15.75" customHeight="1" x14ac:dyDescent="0.3">
      <c r="A1039" s="13"/>
      <c r="B1039" s="13"/>
      <c r="C1039" s="13"/>
      <c r="H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78"/>
      <c r="AH1039" s="178"/>
      <c r="AI1039" s="178"/>
      <c r="AJ1039" s="178"/>
      <c r="AK1039" s="178"/>
      <c r="AL1039" s="178"/>
      <c r="AM1039" s="178"/>
      <c r="AN1039" s="178"/>
      <c r="AO1039" s="178"/>
      <c r="AP1039" s="178"/>
      <c r="AQ1039" s="178"/>
      <c r="AR1039" s="178"/>
      <c r="AS1039" s="178"/>
      <c r="AT1039" s="178"/>
    </row>
    <row r="1040" spans="1:50" ht="15.75" customHeight="1" x14ac:dyDescent="0.3">
      <c r="A1040" s="13"/>
      <c r="B1040" s="13"/>
      <c r="C1040" s="13"/>
      <c r="H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78"/>
      <c r="AH1040" s="178"/>
      <c r="AI1040" s="178"/>
      <c r="AJ1040" s="178"/>
      <c r="AK1040" s="178"/>
      <c r="AL1040" s="178"/>
      <c r="AM1040" s="178"/>
      <c r="AN1040" s="178"/>
      <c r="AO1040" s="178"/>
      <c r="AP1040" s="178"/>
      <c r="AQ1040" s="178"/>
      <c r="AR1040" s="178"/>
      <c r="AS1040" s="178"/>
      <c r="AT1040" s="178"/>
    </row>
    <row r="1041" spans="1:46" ht="15.75" customHeight="1" x14ac:dyDescent="0.3">
      <c r="A1041" s="13"/>
      <c r="B1041" s="13"/>
      <c r="C1041" s="13"/>
      <c r="H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78"/>
      <c r="AH1041" s="178"/>
      <c r="AI1041" s="178"/>
      <c r="AJ1041" s="178"/>
      <c r="AK1041" s="178"/>
      <c r="AL1041" s="178"/>
      <c r="AM1041" s="178"/>
      <c r="AN1041" s="178"/>
      <c r="AO1041" s="178"/>
      <c r="AP1041" s="178"/>
      <c r="AQ1041" s="178"/>
      <c r="AR1041" s="178"/>
      <c r="AS1041" s="178"/>
      <c r="AT1041" s="178"/>
    </row>
    <row r="1042" spans="1:46" ht="15.75" customHeight="1" x14ac:dyDescent="0.3">
      <c r="A1042" s="13"/>
      <c r="B1042" s="13"/>
      <c r="C1042" s="13"/>
      <c r="H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78"/>
      <c r="AH1042" s="178"/>
      <c r="AI1042" s="178"/>
      <c r="AJ1042" s="178"/>
      <c r="AK1042" s="178"/>
      <c r="AL1042" s="178"/>
      <c r="AM1042" s="178"/>
      <c r="AN1042" s="178"/>
      <c r="AO1042" s="178"/>
      <c r="AP1042" s="178"/>
      <c r="AQ1042" s="178"/>
      <c r="AR1042" s="178"/>
      <c r="AS1042" s="178"/>
      <c r="AT1042" s="178"/>
    </row>
    <row r="1043" spans="1:46" ht="15.75" customHeight="1" x14ac:dyDescent="0.3">
      <c r="A1043" s="13"/>
      <c r="B1043" s="13"/>
      <c r="C1043" s="13"/>
      <c r="H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78"/>
      <c r="AH1043" s="178"/>
      <c r="AI1043" s="178"/>
      <c r="AJ1043" s="178"/>
      <c r="AK1043" s="178"/>
      <c r="AL1043" s="178"/>
      <c r="AM1043" s="178"/>
      <c r="AN1043" s="178"/>
      <c r="AO1043" s="178"/>
      <c r="AP1043" s="178"/>
      <c r="AQ1043" s="178"/>
      <c r="AR1043" s="178"/>
      <c r="AS1043" s="178"/>
      <c r="AT1043" s="178"/>
    </row>
    <row r="1044" spans="1:46" ht="15.75" customHeight="1" x14ac:dyDescent="0.3">
      <c r="A1044" s="13"/>
      <c r="B1044" s="13"/>
      <c r="C1044" s="13"/>
      <c r="H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78"/>
      <c r="AH1044" s="178"/>
      <c r="AI1044" s="178"/>
      <c r="AJ1044" s="178"/>
      <c r="AK1044" s="178"/>
      <c r="AL1044" s="178"/>
      <c r="AM1044" s="178"/>
      <c r="AN1044" s="178"/>
      <c r="AO1044" s="178"/>
      <c r="AP1044" s="178"/>
      <c r="AQ1044" s="178"/>
      <c r="AR1044" s="178"/>
      <c r="AS1044" s="178"/>
      <c r="AT1044" s="178"/>
    </row>
    <row r="1045" spans="1:46" ht="15.75" customHeight="1" x14ac:dyDescent="0.3">
      <c r="A1045" s="13"/>
      <c r="B1045" s="13"/>
      <c r="C1045" s="13"/>
      <c r="H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78"/>
      <c r="AH1045" s="178"/>
      <c r="AI1045" s="178"/>
      <c r="AJ1045" s="178"/>
      <c r="AK1045" s="178"/>
      <c r="AL1045" s="178"/>
      <c r="AM1045" s="178"/>
      <c r="AN1045" s="178"/>
      <c r="AO1045" s="178"/>
      <c r="AP1045" s="178"/>
      <c r="AQ1045" s="178"/>
      <c r="AR1045" s="178"/>
      <c r="AS1045" s="178"/>
      <c r="AT1045" s="178"/>
    </row>
    <row r="1046" spans="1:46" ht="15.75" customHeight="1" x14ac:dyDescent="0.3">
      <c r="A1046" s="13"/>
      <c r="B1046" s="13"/>
      <c r="C1046" s="13"/>
      <c r="H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78"/>
      <c r="AH1046" s="178"/>
      <c r="AI1046" s="178"/>
      <c r="AJ1046" s="178"/>
      <c r="AK1046" s="178"/>
      <c r="AL1046" s="178"/>
      <c r="AM1046" s="178"/>
      <c r="AN1046" s="178"/>
      <c r="AO1046" s="178"/>
      <c r="AP1046" s="178"/>
      <c r="AQ1046" s="178"/>
      <c r="AR1046" s="178"/>
      <c r="AS1046" s="178"/>
      <c r="AT1046" s="178"/>
    </row>
    <row r="1047" spans="1:46" ht="15.75" customHeight="1" x14ac:dyDescent="0.3">
      <c r="A1047" s="13"/>
      <c r="B1047" s="13"/>
      <c r="C1047" s="13"/>
      <c r="H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78"/>
      <c r="AH1047" s="178"/>
      <c r="AI1047" s="178"/>
      <c r="AJ1047" s="178"/>
      <c r="AK1047" s="178"/>
      <c r="AL1047" s="178"/>
      <c r="AM1047" s="178"/>
      <c r="AN1047" s="178"/>
      <c r="AO1047" s="178"/>
      <c r="AP1047" s="178"/>
      <c r="AQ1047" s="178"/>
      <c r="AR1047" s="178"/>
      <c r="AS1047" s="178"/>
      <c r="AT1047" s="178"/>
    </row>
    <row r="1048" spans="1:46" ht="15.75" customHeight="1" x14ac:dyDescent="0.3">
      <c r="A1048" s="13"/>
      <c r="B1048" s="13"/>
      <c r="C1048" s="13"/>
      <c r="H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78"/>
      <c r="AH1048" s="178"/>
      <c r="AI1048" s="178"/>
      <c r="AJ1048" s="178"/>
      <c r="AK1048" s="178"/>
      <c r="AL1048" s="178"/>
      <c r="AM1048" s="178"/>
      <c r="AN1048" s="178"/>
      <c r="AO1048" s="178"/>
      <c r="AP1048" s="178"/>
      <c r="AQ1048" s="178"/>
      <c r="AR1048" s="178"/>
      <c r="AS1048" s="178"/>
      <c r="AT1048" s="178"/>
    </row>
    <row r="1049" spans="1:46" ht="15.75" customHeight="1" x14ac:dyDescent="0.3">
      <c r="A1049" s="13"/>
      <c r="B1049" s="13"/>
      <c r="C1049" s="13"/>
      <c r="H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78"/>
      <c r="AH1049" s="178"/>
      <c r="AI1049" s="178"/>
      <c r="AJ1049" s="178"/>
      <c r="AK1049" s="178"/>
      <c r="AL1049" s="178"/>
      <c r="AM1049" s="178"/>
      <c r="AN1049" s="178"/>
      <c r="AO1049" s="178"/>
      <c r="AP1049" s="178"/>
      <c r="AQ1049" s="178"/>
      <c r="AR1049" s="178"/>
      <c r="AS1049" s="178"/>
      <c r="AT1049" s="178"/>
    </row>
    <row r="1050" spans="1:46" ht="15.75" customHeight="1" x14ac:dyDescent="0.3">
      <c r="A1050" s="13"/>
      <c r="B1050" s="13"/>
      <c r="C1050" s="13"/>
      <c r="H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78"/>
      <c r="AH1050" s="178"/>
      <c r="AI1050" s="178"/>
      <c r="AJ1050" s="178"/>
      <c r="AK1050" s="178"/>
      <c r="AL1050" s="178"/>
      <c r="AM1050" s="178"/>
      <c r="AN1050" s="178"/>
      <c r="AO1050" s="178"/>
      <c r="AP1050" s="178"/>
      <c r="AQ1050" s="178"/>
      <c r="AR1050" s="178"/>
      <c r="AS1050" s="178"/>
      <c r="AT1050" s="178"/>
    </row>
    <row r="1051" spans="1:46" ht="15" customHeight="1" x14ac:dyDescent="0.3">
      <c r="A1051" s="13"/>
      <c r="B1051" s="13"/>
      <c r="C1051" s="13"/>
    </row>
    <row r="1052" spans="1:46" ht="15" customHeight="1" x14ac:dyDescent="0.3">
      <c r="A1052" s="13"/>
      <c r="B1052" s="13"/>
      <c r="C1052" s="13"/>
    </row>
    <row r="1053" spans="1:46" ht="15" customHeight="1" x14ac:dyDescent="0.3">
      <c r="A1053" s="13"/>
      <c r="B1053" s="13"/>
      <c r="C1053" s="13"/>
    </row>
    <row r="1054" spans="1:46" ht="15" customHeight="1" x14ac:dyDescent="0.3">
      <c r="A1054" s="13"/>
      <c r="B1054" s="13"/>
      <c r="C1054" s="13"/>
    </row>
    <row r="1055" spans="1:46" ht="15" customHeight="1" x14ac:dyDescent="0.3">
      <c r="A1055" s="13"/>
      <c r="B1055" s="13"/>
      <c r="C1055" s="13"/>
    </row>
    <row r="1056" spans="1:46" ht="15" customHeight="1" x14ac:dyDescent="0.3">
      <c r="A1056" s="13"/>
      <c r="B1056" s="13"/>
      <c r="C1056" s="13"/>
    </row>
    <row r="1057" spans="1:3" ht="15" customHeight="1" x14ac:dyDescent="0.3">
      <c r="A1057" s="13"/>
      <c r="B1057" s="13"/>
      <c r="C1057" s="13"/>
    </row>
    <row r="1058" spans="1:3" ht="15" customHeight="1" x14ac:dyDescent="0.3">
      <c r="A1058" s="13"/>
      <c r="B1058" s="13"/>
      <c r="C1058" s="13"/>
    </row>
    <row r="1059" spans="1:3" ht="15" customHeight="1" x14ac:dyDescent="0.3">
      <c r="A1059" s="13"/>
      <c r="B1059" s="13"/>
      <c r="C1059" s="13"/>
    </row>
    <row r="1060" spans="1:3" ht="15" customHeight="1" x14ac:dyDescent="0.3">
      <c r="A1060" s="13"/>
      <c r="B1060" s="13"/>
      <c r="C1060" s="13"/>
    </row>
    <row r="1061" spans="1:3" ht="15" customHeight="1" x14ac:dyDescent="0.3">
      <c r="A1061" s="13"/>
      <c r="B1061" s="13"/>
      <c r="C1061" s="13"/>
    </row>
    <row r="1062" spans="1:3" ht="15" customHeight="1" x14ac:dyDescent="0.3">
      <c r="A1062" s="13"/>
      <c r="B1062" s="13"/>
      <c r="C1062" s="13"/>
    </row>
    <row r="1063" spans="1:3" ht="15" customHeight="1" x14ac:dyDescent="0.3">
      <c r="A1063" s="13"/>
      <c r="B1063" s="13"/>
      <c r="C1063" s="13"/>
    </row>
    <row r="1064" spans="1:3" ht="15" customHeight="1" x14ac:dyDescent="0.3">
      <c r="A1064" s="13"/>
      <c r="B1064" s="13"/>
      <c r="C1064" s="13"/>
    </row>
    <row r="1065" spans="1:3" ht="15" customHeight="1" x14ac:dyDescent="0.3">
      <c r="A1065" s="13"/>
      <c r="B1065" s="13"/>
      <c r="C1065" s="13"/>
    </row>
    <row r="1066" spans="1:3" ht="15" customHeight="1" x14ac:dyDescent="0.3">
      <c r="A1066" s="13"/>
      <c r="B1066" s="13"/>
      <c r="C1066" s="13"/>
    </row>
    <row r="1067" spans="1:3" ht="15" customHeight="1" x14ac:dyDescent="0.3">
      <c r="A1067" s="13"/>
      <c r="B1067" s="13"/>
      <c r="C1067" s="13"/>
    </row>
    <row r="1068" spans="1:3" ht="15" customHeight="1" x14ac:dyDescent="0.3">
      <c r="A1068" s="13"/>
      <c r="B1068" s="13"/>
      <c r="C1068" s="13"/>
    </row>
    <row r="1069" spans="1:3" ht="15" customHeight="1" x14ac:dyDescent="0.3">
      <c r="A1069" s="13"/>
      <c r="B1069" s="13"/>
      <c r="C1069" s="13"/>
    </row>
    <row r="1070" spans="1:3" ht="15" customHeight="1" x14ac:dyDescent="0.3">
      <c r="A1070" s="13"/>
      <c r="B1070" s="13"/>
      <c r="C1070" s="13"/>
    </row>
    <row r="1071" spans="1:3" ht="15" customHeight="1" x14ac:dyDescent="0.3">
      <c r="A1071" s="13"/>
      <c r="B1071" s="13"/>
      <c r="C1071" s="13"/>
    </row>
    <row r="1072" spans="1:3" ht="15" customHeight="1" x14ac:dyDescent="0.3">
      <c r="A1072" s="13"/>
      <c r="B1072" s="13"/>
      <c r="C1072" s="13"/>
    </row>
    <row r="1073" spans="1:3" ht="15" customHeight="1" x14ac:dyDescent="0.3">
      <c r="A1073" s="13"/>
      <c r="B1073" s="13"/>
      <c r="C1073" s="13"/>
    </row>
    <row r="1074" spans="1:3" ht="15" customHeight="1" x14ac:dyDescent="0.3">
      <c r="A1074" s="13"/>
      <c r="B1074" s="13"/>
      <c r="C1074" s="13"/>
    </row>
    <row r="1075" spans="1:3" ht="15" customHeight="1" x14ac:dyDescent="0.3">
      <c r="A1075" s="13"/>
      <c r="B1075" s="13"/>
      <c r="C1075" s="13"/>
    </row>
    <row r="1076" spans="1:3" ht="15" customHeight="1" x14ac:dyDescent="0.3">
      <c r="A1076" s="13"/>
      <c r="B1076" s="13"/>
      <c r="C1076" s="13"/>
    </row>
    <row r="1077" spans="1:3" ht="15" customHeight="1" x14ac:dyDescent="0.3">
      <c r="A1077" s="13"/>
      <c r="B1077" s="13"/>
      <c r="C1077" s="13"/>
    </row>
    <row r="1078" spans="1:3" ht="15" customHeight="1" x14ac:dyDescent="0.3">
      <c r="A1078" s="13"/>
      <c r="B1078" s="13"/>
      <c r="C1078" s="13"/>
    </row>
    <row r="1079" spans="1:3" ht="15" customHeight="1" x14ac:dyDescent="0.3">
      <c r="A1079" s="13"/>
      <c r="B1079" s="13"/>
      <c r="C1079" s="13"/>
    </row>
    <row r="1080" spans="1:3" ht="15" customHeight="1" x14ac:dyDescent="0.3">
      <c r="A1080" s="13"/>
      <c r="B1080" s="13"/>
      <c r="C1080" s="13"/>
    </row>
    <row r="1081" spans="1:3" ht="15" customHeight="1" x14ac:dyDescent="0.3">
      <c r="A1081" s="13"/>
      <c r="B1081" s="13"/>
      <c r="C1081" s="13"/>
    </row>
    <row r="1082" spans="1:3" ht="15" customHeight="1" x14ac:dyDescent="0.3">
      <c r="A1082" s="13"/>
      <c r="B1082" s="13"/>
      <c r="C1082" s="13"/>
    </row>
    <row r="1083" spans="1:3" ht="15" customHeight="1" x14ac:dyDescent="0.3">
      <c r="A1083" s="13"/>
      <c r="B1083" s="13"/>
      <c r="C1083" s="13"/>
    </row>
    <row r="1084" spans="1:3" ht="15" customHeight="1" x14ac:dyDescent="0.3">
      <c r="A1084" s="13"/>
      <c r="B1084" s="13"/>
      <c r="C1084" s="13"/>
    </row>
    <row r="1085" spans="1:3" ht="15" customHeight="1" x14ac:dyDescent="0.3">
      <c r="A1085" s="13"/>
      <c r="B1085" s="13"/>
      <c r="C1085" s="13"/>
    </row>
    <row r="1086" spans="1:3" ht="15" customHeight="1" x14ac:dyDescent="0.3">
      <c r="A1086" s="13"/>
      <c r="B1086" s="13"/>
      <c r="C1086" s="13"/>
    </row>
    <row r="1087" spans="1:3" ht="15" customHeight="1" x14ac:dyDescent="0.3">
      <c r="A1087" s="13"/>
      <c r="B1087" s="13"/>
      <c r="C1087" s="13"/>
    </row>
    <row r="1088" spans="1:3" ht="15" customHeight="1" x14ac:dyDescent="0.3">
      <c r="A1088" s="13"/>
      <c r="B1088" s="13"/>
      <c r="C1088" s="13"/>
    </row>
    <row r="1089" spans="1:3" ht="15" customHeight="1" x14ac:dyDescent="0.3">
      <c r="A1089" s="13"/>
      <c r="B1089" s="13"/>
      <c r="C1089" s="1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outlinePr summaryBelow="0" summaryRight="0"/>
  </sheetPr>
  <dimension ref="A1:BN963"/>
  <sheetViews>
    <sheetView showGridLines="0" tabSelected="1" zoomScale="90" zoomScaleNormal="90" workbookViewId="0">
      <pane xSplit="9" ySplit="8" topLeftCell="K17" activePane="bottomRight" state="frozen"/>
      <selection activeCell="G28" sqref="G28"/>
      <selection pane="topRight" activeCell="G28" sqref="G28"/>
      <selection pane="bottomLeft" activeCell="G28" sqref="G28"/>
      <selection pane="bottomRight" activeCell="K26" sqref="K26"/>
    </sheetView>
  </sheetViews>
  <sheetFormatPr defaultColWidth="0" defaultRowHeight="15" customHeight="1" outlineLevelRow="2" x14ac:dyDescent="0.3"/>
  <cols>
    <col min="1" max="3" width="1.07421875" customWidth="1"/>
    <col min="4" max="4" width="52.69140625" customWidth="1"/>
    <col min="5" max="5" width="9.765625" customWidth="1"/>
    <col min="6" max="6" width="22.23046875" customWidth="1"/>
    <col min="7" max="7" width="9.4609375" bestFit="1" customWidth="1"/>
    <col min="8" max="8" width="28" customWidth="1"/>
    <col min="9" max="9" width="16.4609375" customWidth="1"/>
    <col min="10" max="10" width="1" customWidth="1"/>
    <col min="11" max="46" width="14" customWidth="1"/>
    <col min="47" max="66" width="0" hidden="1" customWidth="1"/>
    <col min="67" max="16384" width="14.4609375" hidden="1"/>
  </cols>
  <sheetData>
    <row r="1" spans="1:66" ht="15.75" customHeight="1" x14ac:dyDescent="0.3">
      <c r="A1" s="14"/>
      <c r="B1" s="14"/>
      <c r="C1" s="14"/>
      <c r="D1" s="1" t="s">
        <v>298</v>
      </c>
      <c r="E1" s="4"/>
      <c r="F1" s="74"/>
      <c r="G1" s="4"/>
      <c r="H1" s="4"/>
      <c r="I1" s="2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ht="15.75" customHeight="1" x14ac:dyDescent="0.3">
      <c r="A2" s="13"/>
      <c r="B2" s="13"/>
      <c r="C2" s="13"/>
      <c r="D2" s="16"/>
      <c r="E2" s="16"/>
      <c r="F2" s="17"/>
      <c r="G2" s="16"/>
      <c r="H2" s="17"/>
      <c r="I2" s="18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66" ht="18" customHeight="1" x14ac:dyDescent="0.3">
      <c r="A3" s="19"/>
      <c r="B3" s="20"/>
      <c r="C3" s="20" t="s">
        <v>11</v>
      </c>
      <c r="D3" s="21"/>
      <c r="E3" s="22"/>
      <c r="F3" s="22"/>
      <c r="G3" s="22"/>
      <c r="H3" s="22"/>
      <c r="I3" s="22"/>
      <c r="J3" s="8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66" ht="15.75" customHeight="1" x14ac:dyDescent="0.3">
      <c r="A4" s="13"/>
      <c r="B4" s="13"/>
      <c r="C4" s="13"/>
      <c r="D4" s="24"/>
      <c r="E4" s="25" t="s">
        <v>12</v>
      </c>
      <c r="F4" s="25" t="s">
        <v>13</v>
      </c>
      <c r="G4" s="25" t="s">
        <v>14</v>
      </c>
      <c r="H4" s="25" t="s">
        <v>15</v>
      </c>
      <c r="I4" s="26" t="s">
        <v>16</v>
      </c>
      <c r="J4" s="27"/>
      <c r="K4" s="28">
        <f t="shared" ref="K4:AT4" si="0">YEAR(K5)</f>
        <v>2029</v>
      </c>
      <c r="L4" s="28">
        <f t="shared" si="0"/>
        <v>2029</v>
      </c>
      <c r="M4" s="28">
        <f t="shared" si="0"/>
        <v>2029</v>
      </c>
      <c r="N4" s="28">
        <f t="shared" si="0"/>
        <v>2029</v>
      </c>
      <c r="O4" s="28">
        <f t="shared" si="0"/>
        <v>2029</v>
      </c>
      <c r="P4" s="28">
        <f t="shared" si="0"/>
        <v>2029</v>
      </c>
      <c r="Q4" s="28">
        <f t="shared" si="0"/>
        <v>2029</v>
      </c>
      <c r="R4" s="28">
        <f t="shared" si="0"/>
        <v>2029</v>
      </c>
      <c r="S4" s="28">
        <f t="shared" si="0"/>
        <v>2029</v>
      </c>
      <c r="T4" s="28">
        <f t="shared" si="0"/>
        <v>2029</v>
      </c>
      <c r="U4" s="28">
        <f t="shared" si="0"/>
        <v>2029</v>
      </c>
      <c r="V4" s="28">
        <f t="shared" si="0"/>
        <v>2029</v>
      </c>
      <c r="W4" s="28">
        <f t="shared" si="0"/>
        <v>2030</v>
      </c>
      <c r="X4" s="28">
        <f t="shared" si="0"/>
        <v>2030</v>
      </c>
      <c r="Y4" s="28">
        <f t="shared" si="0"/>
        <v>2030</v>
      </c>
      <c r="Z4" s="28">
        <f t="shared" si="0"/>
        <v>2030</v>
      </c>
      <c r="AA4" s="28">
        <f t="shared" si="0"/>
        <v>2030</v>
      </c>
      <c r="AB4" s="28">
        <f t="shared" si="0"/>
        <v>2030</v>
      </c>
      <c r="AC4" s="28">
        <f t="shared" si="0"/>
        <v>2030</v>
      </c>
      <c r="AD4" s="28">
        <f t="shared" si="0"/>
        <v>2030</v>
      </c>
      <c r="AE4" s="28">
        <f t="shared" si="0"/>
        <v>2030</v>
      </c>
      <c r="AF4" s="28">
        <f t="shared" si="0"/>
        <v>2030</v>
      </c>
      <c r="AG4" s="28">
        <f t="shared" si="0"/>
        <v>2030</v>
      </c>
      <c r="AH4" s="28">
        <f t="shared" si="0"/>
        <v>2030</v>
      </c>
      <c r="AI4" s="28">
        <f t="shared" si="0"/>
        <v>2031</v>
      </c>
      <c r="AJ4" s="28">
        <f t="shared" si="0"/>
        <v>2031</v>
      </c>
      <c r="AK4" s="28">
        <f t="shared" si="0"/>
        <v>2031</v>
      </c>
      <c r="AL4" s="28">
        <f t="shared" si="0"/>
        <v>2031</v>
      </c>
      <c r="AM4" s="28">
        <f t="shared" si="0"/>
        <v>2031</v>
      </c>
      <c r="AN4" s="28">
        <f t="shared" si="0"/>
        <v>2031</v>
      </c>
      <c r="AO4" s="28">
        <f t="shared" si="0"/>
        <v>2031</v>
      </c>
      <c r="AP4" s="28">
        <f t="shared" si="0"/>
        <v>2031</v>
      </c>
      <c r="AQ4" s="28">
        <f t="shared" si="0"/>
        <v>2031</v>
      </c>
      <c r="AR4" s="28">
        <f t="shared" si="0"/>
        <v>2031</v>
      </c>
      <c r="AS4" s="28">
        <f t="shared" si="0"/>
        <v>2031</v>
      </c>
      <c r="AT4" s="28">
        <f t="shared" si="0"/>
        <v>2031</v>
      </c>
      <c r="AU4" s="28"/>
      <c r="AV4" s="29"/>
      <c r="AW4" s="29"/>
      <c r="AX4" s="29"/>
    </row>
    <row r="5" spans="1:66" ht="15.75" customHeight="1" x14ac:dyDescent="0.3">
      <c r="A5" s="13"/>
      <c r="B5" s="13"/>
      <c r="C5" s="13"/>
      <c r="D5" s="9" t="s">
        <v>17</v>
      </c>
      <c r="E5" s="8" t="s">
        <v>18</v>
      </c>
      <c r="F5" s="8"/>
      <c r="G5" s="30"/>
      <c r="H5" s="8"/>
      <c r="I5" s="31"/>
      <c r="J5" s="31"/>
      <c r="K5" s="323">
        <f>I6 + 1</f>
        <v>47119</v>
      </c>
      <c r="L5" s="323">
        <f xml:space="preserve"> K6 + 1</f>
        <v>47150</v>
      </c>
      <c r="M5" s="323">
        <f t="shared" ref="M5:AT5" si="1" xml:space="preserve"> L6 + 1</f>
        <v>47178</v>
      </c>
      <c r="N5" s="323">
        <f t="shared" si="1"/>
        <v>47209</v>
      </c>
      <c r="O5" s="323">
        <f t="shared" si="1"/>
        <v>47239</v>
      </c>
      <c r="P5" s="323">
        <f t="shared" si="1"/>
        <v>47270</v>
      </c>
      <c r="Q5" s="323">
        <f t="shared" si="1"/>
        <v>47300</v>
      </c>
      <c r="R5" s="323">
        <f t="shared" si="1"/>
        <v>47331</v>
      </c>
      <c r="S5" s="323">
        <f t="shared" si="1"/>
        <v>47362</v>
      </c>
      <c r="T5" s="323">
        <f t="shared" si="1"/>
        <v>47392</v>
      </c>
      <c r="U5" s="323">
        <f t="shared" si="1"/>
        <v>47423</v>
      </c>
      <c r="V5" s="323">
        <f t="shared" si="1"/>
        <v>47453</v>
      </c>
      <c r="W5" s="323">
        <f t="shared" si="1"/>
        <v>47484</v>
      </c>
      <c r="X5" s="323">
        <f t="shared" si="1"/>
        <v>47515</v>
      </c>
      <c r="Y5" s="323">
        <f t="shared" si="1"/>
        <v>47543</v>
      </c>
      <c r="Z5" s="323">
        <f t="shared" si="1"/>
        <v>47574</v>
      </c>
      <c r="AA5" s="323">
        <f t="shared" si="1"/>
        <v>47604</v>
      </c>
      <c r="AB5" s="323">
        <f t="shared" si="1"/>
        <v>47635</v>
      </c>
      <c r="AC5" s="323">
        <f t="shared" si="1"/>
        <v>47665</v>
      </c>
      <c r="AD5" s="323">
        <f t="shared" si="1"/>
        <v>47696</v>
      </c>
      <c r="AE5" s="323">
        <f t="shared" si="1"/>
        <v>47727</v>
      </c>
      <c r="AF5" s="323">
        <f t="shared" si="1"/>
        <v>47757</v>
      </c>
      <c r="AG5" s="323">
        <f t="shared" si="1"/>
        <v>47788</v>
      </c>
      <c r="AH5" s="323">
        <f t="shared" si="1"/>
        <v>47818</v>
      </c>
      <c r="AI5" s="323">
        <f t="shared" si="1"/>
        <v>47849</v>
      </c>
      <c r="AJ5" s="323">
        <f t="shared" si="1"/>
        <v>47880</v>
      </c>
      <c r="AK5" s="323">
        <f t="shared" si="1"/>
        <v>47908</v>
      </c>
      <c r="AL5" s="323">
        <f t="shared" si="1"/>
        <v>47939</v>
      </c>
      <c r="AM5" s="323">
        <f t="shared" si="1"/>
        <v>47969</v>
      </c>
      <c r="AN5" s="323">
        <f t="shared" si="1"/>
        <v>48000</v>
      </c>
      <c r="AO5" s="323">
        <f t="shared" si="1"/>
        <v>48030</v>
      </c>
      <c r="AP5" s="323">
        <f t="shared" si="1"/>
        <v>48061</v>
      </c>
      <c r="AQ5" s="323">
        <f t="shared" si="1"/>
        <v>48092</v>
      </c>
      <c r="AR5" s="323">
        <f t="shared" si="1"/>
        <v>48122</v>
      </c>
      <c r="AS5" s="323">
        <f t="shared" si="1"/>
        <v>48153</v>
      </c>
      <c r="AT5" s="323">
        <f t="shared" si="1"/>
        <v>48183</v>
      </c>
      <c r="AU5" s="32"/>
      <c r="AV5" s="9"/>
      <c r="AW5" s="9"/>
      <c r="AX5" s="9"/>
    </row>
    <row r="6" spans="1:66" ht="15.75" customHeight="1" x14ac:dyDescent="0.3">
      <c r="A6" s="13"/>
      <c r="B6" s="13"/>
      <c r="C6" s="13"/>
      <c r="D6" s="9" t="s">
        <v>20</v>
      </c>
      <c r="E6" s="8" t="s">
        <v>18</v>
      </c>
      <c r="F6" s="8"/>
      <c r="G6" s="30"/>
      <c r="H6" s="8"/>
      <c r="I6" s="596">
        <f>'Assumptions and inputs'!I8</f>
        <v>47118</v>
      </c>
      <c r="J6" s="33"/>
      <c r="K6" s="323">
        <f>EOMONTH(K5, 0)</f>
        <v>47149</v>
      </c>
      <c r="L6" s="323">
        <f t="shared" ref="L6:AT6" si="2">EOMONTH(L5, 0)</f>
        <v>47177</v>
      </c>
      <c r="M6" s="323">
        <f t="shared" si="2"/>
        <v>47208</v>
      </c>
      <c r="N6" s="323">
        <f t="shared" si="2"/>
        <v>47238</v>
      </c>
      <c r="O6" s="323">
        <f t="shared" si="2"/>
        <v>47269</v>
      </c>
      <c r="P6" s="323">
        <f t="shared" si="2"/>
        <v>47299</v>
      </c>
      <c r="Q6" s="323">
        <f t="shared" si="2"/>
        <v>47330</v>
      </c>
      <c r="R6" s="323">
        <f t="shared" si="2"/>
        <v>47361</v>
      </c>
      <c r="S6" s="323">
        <f t="shared" si="2"/>
        <v>47391</v>
      </c>
      <c r="T6" s="323">
        <f t="shared" si="2"/>
        <v>47422</v>
      </c>
      <c r="U6" s="323">
        <f t="shared" si="2"/>
        <v>47452</v>
      </c>
      <c r="V6" s="323">
        <f t="shared" si="2"/>
        <v>47483</v>
      </c>
      <c r="W6" s="323">
        <f t="shared" si="2"/>
        <v>47514</v>
      </c>
      <c r="X6" s="323">
        <f t="shared" si="2"/>
        <v>47542</v>
      </c>
      <c r="Y6" s="323">
        <f t="shared" si="2"/>
        <v>47573</v>
      </c>
      <c r="Z6" s="323">
        <f t="shared" si="2"/>
        <v>47603</v>
      </c>
      <c r="AA6" s="323">
        <f t="shared" si="2"/>
        <v>47634</v>
      </c>
      <c r="AB6" s="323">
        <f t="shared" si="2"/>
        <v>47664</v>
      </c>
      <c r="AC6" s="323">
        <f t="shared" si="2"/>
        <v>47695</v>
      </c>
      <c r="AD6" s="323">
        <f t="shared" si="2"/>
        <v>47726</v>
      </c>
      <c r="AE6" s="323">
        <f t="shared" si="2"/>
        <v>47756</v>
      </c>
      <c r="AF6" s="323">
        <f t="shared" si="2"/>
        <v>47787</v>
      </c>
      <c r="AG6" s="323">
        <f t="shared" si="2"/>
        <v>47817</v>
      </c>
      <c r="AH6" s="323">
        <f t="shared" si="2"/>
        <v>47848</v>
      </c>
      <c r="AI6" s="323">
        <f t="shared" si="2"/>
        <v>47879</v>
      </c>
      <c r="AJ6" s="323">
        <f t="shared" si="2"/>
        <v>47907</v>
      </c>
      <c r="AK6" s="323">
        <f t="shared" si="2"/>
        <v>47938</v>
      </c>
      <c r="AL6" s="323">
        <f t="shared" si="2"/>
        <v>47968</v>
      </c>
      <c r="AM6" s="323">
        <f t="shared" si="2"/>
        <v>47999</v>
      </c>
      <c r="AN6" s="323">
        <f t="shared" si="2"/>
        <v>48029</v>
      </c>
      <c r="AO6" s="323">
        <f t="shared" si="2"/>
        <v>48060</v>
      </c>
      <c r="AP6" s="323">
        <f t="shared" si="2"/>
        <v>48091</v>
      </c>
      <c r="AQ6" s="323">
        <f t="shared" si="2"/>
        <v>48121</v>
      </c>
      <c r="AR6" s="323">
        <f t="shared" si="2"/>
        <v>48152</v>
      </c>
      <c r="AS6" s="323">
        <f t="shared" si="2"/>
        <v>48182</v>
      </c>
      <c r="AT6" s="323">
        <f t="shared" si="2"/>
        <v>48213</v>
      </c>
      <c r="AU6" s="32"/>
      <c r="AV6" s="9"/>
      <c r="AW6" s="9"/>
      <c r="AX6" s="9"/>
    </row>
    <row r="7" spans="1:66" ht="15.75" customHeight="1" x14ac:dyDescent="0.3">
      <c r="A7" s="13"/>
      <c r="B7" s="13"/>
      <c r="C7" s="13"/>
      <c r="D7" s="9" t="s">
        <v>21</v>
      </c>
      <c r="E7" s="8"/>
      <c r="F7" s="8"/>
      <c r="G7" s="30"/>
      <c r="H7" s="8"/>
      <c r="I7" s="227">
        <f>'Assumptions and inputs'!I9</f>
        <v>0</v>
      </c>
      <c r="J7" s="34"/>
      <c r="K7" s="337">
        <f>I7 + 1</f>
        <v>1</v>
      </c>
      <c r="L7" s="337">
        <f t="shared" ref="L7:AT7" si="3">K7 + 1</f>
        <v>2</v>
      </c>
      <c r="M7" s="337">
        <f t="shared" si="3"/>
        <v>3</v>
      </c>
      <c r="N7" s="337">
        <f t="shared" si="3"/>
        <v>4</v>
      </c>
      <c r="O7" s="90">
        <f t="shared" si="3"/>
        <v>5</v>
      </c>
      <c r="P7" s="90">
        <f t="shared" si="3"/>
        <v>6</v>
      </c>
      <c r="Q7" s="90">
        <f t="shared" si="3"/>
        <v>7</v>
      </c>
      <c r="R7" s="90">
        <f t="shared" si="3"/>
        <v>8</v>
      </c>
      <c r="S7" s="90">
        <f t="shared" si="3"/>
        <v>9</v>
      </c>
      <c r="T7" s="90">
        <f t="shared" si="3"/>
        <v>10</v>
      </c>
      <c r="U7" s="90">
        <f t="shared" si="3"/>
        <v>11</v>
      </c>
      <c r="V7" s="90">
        <f t="shared" si="3"/>
        <v>12</v>
      </c>
      <c r="W7" s="90">
        <f t="shared" si="3"/>
        <v>13</v>
      </c>
      <c r="X7" s="90">
        <f t="shared" si="3"/>
        <v>14</v>
      </c>
      <c r="Y7" s="90">
        <f t="shared" si="3"/>
        <v>15</v>
      </c>
      <c r="Z7" s="90">
        <f t="shared" si="3"/>
        <v>16</v>
      </c>
      <c r="AA7" s="90">
        <f t="shared" si="3"/>
        <v>17</v>
      </c>
      <c r="AB7" s="90">
        <f t="shared" si="3"/>
        <v>18</v>
      </c>
      <c r="AC7" s="90">
        <f t="shared" si="3"/>
        <v>19</v>
      </c>
      <c r="AD7" s="90">
        <f t="shared" si="3"/>
        <v>20</v>
      </c>
      <c r="AE7" s="90">
        <f t="shared" si="3"/>
        <v>21</v>
      </c>
      <c r="AF7" s="90">
        <f t="shared" si="3"/>
        <v>22</v>
      </c>
      <c r="AG7" s="90">
        <f t="shared" si="3"/>
        <v>23</v>
      </c>
      <c r="AH7" s="90">
        <f t="shared" si="3"/>
        <v>24</v>
      </c>
      <c r="AI7" s="90">
        <f t="shared" si="3"/>
        <v>25</v>
      </c>
      <c r="AJ7" s="90">
        <f t="shared" si="3"/>
        <v>26</v>
      </c>
      <c r="AK7" s="90">
        <f t="shared" si="3"/>
        <v>27</v>
      </c>
      <c r="AL7" s="90">
        <f t="shared" si="3"/>
        <v>28</v>
      </c>
      <c r="AM7" s="90">
        <f t="shared" si="3"/>
        <v>29</v>
      </c>
      <c r="AN7" s="90">
        <f t="shared" si="3"/>
        <v>30</v>
      </c>
      <c r="AO7" s="90">
        <f t="shared" si="3"/>
        <v>31</v>
      </c>
      <c r="AP7" s="90">
        <f t="shared" si="3"/>
        <v>32</v>
      </c>
      <c r="AQ7" s="90">
        <f t="shared" si="3"/>
        <v>33</v>
      </c>
      <c r="AR7" s="90">
        <f t="shared" si="3"/>
        <v>34</v>
      </c>
      <c r="AS7" s="90">
        <f t="shared" si="3"/>
        <v>35</v>
      </c>
      <c r="AT7" s="90">
        <f t="shared" si="3"/>
        <v>36</v>
      </c>
      <c r="AU7" s="36"/>
      <c r="AV7" s="9"/>
      <c r="AW7" s="9"/>
      <c r="AX7" s="9"/>
    </row>
    <row r="8" spans="1:66" ht="15.75" customHeight="1" x14ac:dyDescent="0.3">
      <c r="A8" s="13"/>
      <c r="B8" s="13"/>
      <c r="C8" s="13"/>
      <c r="D8" s="9" t="s">
        <v>22</v>
      </c>
      <c r="E8" s="8"/>
      <c r="F8" s="37"/>
      <c r="G8" s="30"/>
      <c r="H8" s="8"/>
      <c r="I8" s="7"/>
      <c r="J8" s="7"/>
      <c r="K8" s="338">
        <f>(K6 - K5 + 1)/ (DATE(YEAR(K6), 12, 31) - DATE(YEAR(K6), 1, 1) + 1)</f>
        <v>8.4931506849315067E-2</v>
      </c>
      <c r="L8" s="338">
        <f t="shared" ref="L8:AT8" si="4">(L6 - L5 + 1)/ (DATE(YEAR(L6), 12, 31) - DATE(YEAR(L6), 1, 1) + 1)</f>
        <v>7.6712328767123292E-2</v>
      </c>
      <c r="M8" s="338">
        <f t="shared" si="4"/>
        <v>8.4931506849315067E-2</v>
      </c>
      <c r="N8" s="338">
        <f t="shared" si="4"/>
        <v>8.2191780821917804E-2</v>
      </c>
      <c r="O8" s="338">
        <f t="shared" si="4"/>
        <v>8.4931506849315067E-2</v>
      </c>
      <c r="P8" s="338">
        <f t="shared" si="4"/>
        <v>8.2191780821917804E-2</v>
      </c>
      <c r="Q8" s="338">
        <f t="shared" si="4"/>
        <v>8.4931506849315067E-2</v>
      </c>
      <c r="R8" s="338">
        <f t="shared" si="4"/>
        <v>8.4931506849315067E-2</v>
      </c>
      <c r="S8" s="338">
        <f t="shared" si="4"/>
        <v>8.2191780821917804E-2</v>
      </c>
      <c r="T8" s="338">
        <f t="shared" si="4"/>
        <v>8.4931506849315067E-2</v>
      </c>
      <c r="U8" s="338">
        <f t="shared" si="4"/>
        <v>8.2191780821917804E-2</v>
      </c>
      <c r="V8" s="338">
        <f t="shared" si="4"/>
        <v>8.4931506849315067E-2</v>
      </c>
      <c r="W8" s="338">
        <f t="shared" si="4"/>
        <v>8.4931506849315067E-2</v>
      </c>
      <c r="X8" s="338">
        <f t="shared" si="4"/>
        <v>7.6712328767123292E-2</v>
      </c>
      <c r="Y8" s="338">
        <f t="shared" si="4"/>
        <v>8.4931506849315067E-2</v>
      </c>
      <c r="Z8" s="338">
        <f t="shared" si="4"/>
        <v>8.2191780821917804E-2</v>
      </c>
      <c r="AA8" s="338">
        <f t="shared" si="4"/>
        <v>8.4931506849315067E-2</v>
      </c>
      <c r="AB8" s="338">
        <f t="shared" si="4"/>
        <v>8.2191780821917804E-2</v>
      </c>
      <c r="AC8" s="338">
        <f t="shared" si="4"/>
        <v>8.4931506849315067E-2</v>
      </c>
      <c r="AD8" s="338">
        <f t="shared" si="4"/>
        <v>8.4931506849315067E-2</v>
      </c>
      <c r="AE8" s="338">
        <f t="shared" si="4"/>
        <v>8.2191780821917804E-2</v>
      </c>
      <c r="AF8" s="338">
        <f t="shared" si="4"/>
        <v>8.4931506849315067E-2</v>
      </c>
      <c r="AG8" s="338">
        <f t="shared" si="4"/>
        <v>8.2191780821917804E-2</v>
      </c>
      <c r="AH8" s="338">
        <f t="shared" si="4"/>
        <v>8.4931506849315067E-2</v>
      </c>
      <c r="AI8" s="338">
        <f t="shared" si="4"/>
        <v>8.4931506849315067E-2</v>
      </c>
      <c r="AJ8" s="338">
        <f t="shared" si="4"/>
        <v>7.6712328767123292E-2</v>
      </c>
      <c r="AK8" s="338">
        <f t="shared" si="4"/>
        <v>8.4931506849315067E-2</v>
      </c>
      <c r="AL8" s="338">
        <f t="shared" si="4"/>
        <v>8.2191780821917804E-2</v>
      </c>
      <c r="AM8" s="338">
        <f t="shared" si="4"/>
        <v>8.4931506849315067E-2</v>
      </c>
      <c r="AN8" s="338">
        <f t="shared" si="4"/>
        <v>8.2191780821917804E-2</v>
      </c>
      <c r="AO8" s="338">
        <f t="shared" si="4"/>
        <v>8.4931506849315067E-2</v>
      </c>
      <c r="AP8" s="338">
        <f t="shared" si="4"/>
        <v>8.4931506849315067E-2</v>
      </c>
      <c r="AQ8" s="338">
        <f t="shared" si="4"/>
        <v>8.2191780821917804E-2</v>
      </c>
      <c r="AR8" s="338">
        <f t="shared" si="4"/>
        <v>8.4931506849315067E-2</v>
      </c>
      <c r="AS8" s="338">
        <f t="shared" si="4"/>
        <v>8.2191780821917804E-2</v>
      </c>
      <c r="AT8" s="338">
        <f t="shared" si="4"/>
        <v>8.4931506849315067E-2</v>
      </c>
      <c r="AU8" s="38"/>
      <c r="AV8" s="9"/>
      <c r="AW8" s="9"/>
      <c r="AX8" s="9"/>
    </row>
    <row r="9" spans="1:66" ht="15.75" customHeight="1" x14ac:dyDescent="0.3">
      <c r="A9" s="13"/>
      <c r="B9" s="13"/>
      <c r="C9" s="13"/>
      <c r="D9" s="9"/>
      <c r="E9" s="8"/>
      <c r="F9" s="8"/>
      <c r="G9" s="30"/>
      <c r="H9" s="8"/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38"/>
      <c r="AV9" s="9"/>
      <c r="AW9" s="9"/>
      <c r="AX9" s="9"/>
    </row>
    <row r="10" spans="1:66" ht="15.75" customHeight="1" x14ac:dyDescent="0.3">
      <c r="A10" s="13"/>
      <c r="B10" s="13"/>
      <c r="C10" s="13"/>
      <c r="D10" s="104" t="s">
        <v>174</v>
      </c>
      <c r="E10" s="105"/>
      <c r="F10" s="105"/>
      <c r="G10" s="106"/>
      <c r="H10" s="105"/>
      <c r="I10" s="105"/>
      <c r="J10" s="41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60"/>
      <c r="AV10" s="160"/>
      <c r="AW10" s="160"/>
      <c r="AX10" s="160"/>
    </row>
    <row r="11" spans="1:66" ht="15.75" customHeight="1" outlineLevel="1" x14ac:dyDescent="0.3">
      <c r="A11" s="13"/>
      <c r="B11" s="13"/>
      <c r="C11" s="13"/>
      <c r="D11" s="9"/>
      <c r="E11" s="39"/>
      <c r="F11" s="40"/>
      <c r="G11" s="40"/>
      <c r="H11" s="41"/>
      <c r="I11" s="42"/>
      <c r="J11" s="7"/>
      <c r="K11" s="39"/>
      <c r="L11" s="39"/>
      <c r="M11" s="39"/>
      <c r="N11" s="39"/>
      <c r="O11" s="39"/>
      <c r="P11" s="43"/>
      <c r="Q11" s="43"/>
      <c r="R11" s="43"/>
      <c r="S11" s="43"/>
      <c r="T11" s="43"/>
      <c r="U11" s="43"/>
      <c r="V11" s="43"/>
      <c r="W11" s="44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6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</row>
    <row r="12" spans="1:66" ht="15.75" customHeight="1" outlineLevel="1" x14ac:dyDescent="0.3">
      <c r="A12" s="13"/>
      <c r="B12" s="13"/>
      <c r="C12" s="13"/>
      <c r="D12" s="9" t="str">
        <f>CF!D63</f>
        <v>Cвободный денежный поток на фирму (FCFF)</v>
      </c>
      <c r="E12" s="9"/>
      <c r="F12" s="9"/>
      <c r="G12" s="9"/>
      <c r="H12" s="36"/>
      <c r="I12" s="36"/>
      <c r="J12" s="36"/>
      <c r="K12" s="597">
        <f ca="1">CF!K63</f>
        <v>-297500000</v>
      </c>
      <c r="L12" s="597">
        <f ca="1">CF!L63</f>
        <v>-342941022.06626701</v>
      </c>
      <c r="M12" s="597">
        <f ca="1">CF!M63</f>
        <v>7576544.1037122756</v>
      </c>
      <c r="N12" s="597">
        <f ca="1">CF!N63</f>
        <v>8351051.1967523843</v>
      </c>
      <c r="O12" s="597">
        <f ca="1">CF!O63</f>
        <v>13457450.546139166</v>
      </c>
      <c r="P12" s="597">
        <f ca="1">CF!P63</f>
        <v>23016153.450121887</v>
      </c>
      <c r="Q12" s="597">
        <f ca="1">CF!Q63</f>
        <v>23249411.233665995</v>
      </c>
      <c r="R12" s="597">
        <f ca="1">CF!R63</f>
        <v>28643839.339196995</v>
      </c>
      <c r="S12" s="597">
        <f ca="1">CF!S63</f>
        <v>26050006.896286506</v>
      </c>
      <c r="T12" s="597">
        <f ca="1">CF!T63</f>
        <v>23617764.514455058</v>
      </c>
      <c r="U12" s="597">
        <f ca="1">CF!U63</f>
        <v>26316897.190499861</v>
      </c>
      <c r="V12" s="597">
        <f ca="1">CF!V63</f>
        <v>17746516.738130502</v>
      </c>
      <c r="W12" s="597">
        <f ca="1">CF!W63</f>
        <v>-33012112.892632108</v>
      </c>
      <c r="X12" s="597">
        <f ca="1">CF!X63</f>
        <v>28963278.324749757</v>
      </c>
      <c r="Y12" s="597">
        <f ca="1">CF!Y63</f>
        <v>14638231.674887534</v>
      </c>
      <c r="Z12" s="597">
        <f ca="1">CF!Z63</f>
        <v>15593155.983287966</v>
      </c>
      <c r="AA12" s="597">
        <f ca="1">CF!AA63</f>
        <v>25954479.288531132</v>
      </c>
      <c r="AB12" s="597">
        <f ca="1">CF!AB63</f>
        <v>48107587.805097654</v>
      </c>
      <c r="AC12" s="597">
        <f ca="1">CF!AC63</f>
        <v>51214934.329568692</v>
      </c>
      <c r="AD12" s="597">
        <f ca="1">CF!AD63</f>
        <v>63073944.164737299</v>
      </c>
      <c r="AE12" s="597">
        <f ca="1">CF!AE63</f>
        <v>57109874.28539829</v>
      </c>
      <c r="AF12" s="597">
        <f ca="1">CF!AF63</f>
        <v>51541449.290744781</v>
      </c>
      <c r="AG12" s="597">
        <f ca="1">CF!AG63</f>
        <v>55910835.472742423</v>
      </c>
      <c r="AH12" s="597">
        <f ca="1">CF!AH63</f>
        <v>31050858.531154975</v>
      </c>
      <c r="AI12" s="597">
        <f ca="1">CF!AI63</f>
        <v>16687514.418975163</v>
      </c>
      <c r="AJ12" s="597">
        <f ca="1">CF!AJ63</f>
        <v>28904861.939051729</v>
      </c>
      <c r="AK12" s="597">
        <f ca="1">CF!AK63</f>
        <v>14052088.811180096</v>
      </c>
      <c r="AL12" s="597">
        <f ca="1">CF!AL63</f>
        <v>14861772.288633198</v>
      </c>
      <c r="AM12" s="597">
        <f ca="1">CF!AM63</f>
        <v>25368158.308994308</v>
      </c>
      <c r="AN12" s="597">
        <f ca="1">CF!AN63</f>
        <v>48129011.961543515</v>
      </c>
      <c r="AO12" s="597">
        <f ca="1">CF!AO63</f>
        <v>51337091.417404316</v>
      </c>
      <c r="AP12" s="597">
        <f ca="1">CF!AP63</f>
        <v>63639777.448538102</v>
      </c>
      <c r="AQ12" s="597">
        <f ca="1">CF!AQ63</f>
        <v>57600829.732170932</v>
      </c>
      <c r="AR12" s="597">
        <f ca="1">CF!AR63</f>
        <v>51948887.086705148</v>
      </c>
      <c r="AS12" s="597">
        <f ca="1">CF!AS63</f>
        <v>58033351.440794051</v>
      </c>
      <c r="AT12" s="597">
        <f ca="1">CF!AT63</f>
        <v>38357819.73311685</v>
      </c>
    </row>
    <row r="13" spans="1:66" ht="15.75" customHeight="1" outlineLevel="1" x14ac:dyDescent="0.3">
      <c r="A13" s="13"/>
      <c r="B13" s="13"/>
      <c r="C13" s="13"/>
      <c r="D13" s="9" t="str">
        <f>CF!D66</f>
        <v>Дисконтированный денежный поток (WACC)</v>
      </c>
      <c r="E13" s="9"/>
      <c r="F13" s="9"/>
      <c r="G13" s="9"/>
      <c r="H13" s="36"/>
      <c r="I13" s="36"/>
      <c r="J13" s="36"/>
      <c r="K13" s="597">
        <f ca="1">CF!K66</f>
        <v>-294758287.2814039</v>
      </c>
      <c r="L13" s="597">
        <f ca="1">CF!L66</f>
        <v>-336649168.72729105</v>
      </c>
      <c r="M13" s="597">
        <f ca="1">CF!M66</f>
        <v>7368995.961358658</v>
      </c>
      <c r="N13" s="597">
        <f ca="1">CF!N66</f>
        <v>8047432.8837103955</v>
      </c>
      <c r="O13" s="597">
        <f ca="1">CF!O66</f>
        <v>12848666.714668253</v>
      </c>
      <c r="P13" s="597">
        <f ca="1">CF!P66</f>
        <v>21772438.379736859</v>
      </c>
      <c r="Q13" s="597">
        <f ca="1">CF!Q66</f>
        <v>21790406.8639719</v>
      </c>
      <c r="R13" s="597">
        <f ca="1">CF!R66</f>
        <v>26598899.187252708</v>
      </c>
      <c r="S13" s="597">
        <f ca="1">CF!S66</f>
        <v>23967312.09678999</v>
      </c>
      <c r="T13" s="597">
        <f ca="1">CF!T66</f>
        <v>21529271.32063856</v>
      </c>
      <c r="U13" s="597">
        <f ca="1">CF!U66</f>
        <v>23768637.162648208</v>
      </c>
      <c r="V13" s="597">
        <f ca="1">CF!V66</f>
        <v>15880412.327306695</v>
      </c>
      <c r="W13" s="597">
        <f ca="1">CF!W66</f>
        <v>-29268537.860356037</v>
      </c>
      <c r="X13" s="597">
        <f ca="1">CF!X66</f>
        <v>25442189.187508877</v>
      </c>
      <c r="Y13" s="597">
        <f ca="1">CF!Y66</f>
        <v>12740146.75300879</v>
      </c>
      <c r="Z13" s="597">
        <f ca="1">CF!Z66</f>
        <v>13446179.107497772</v>
      </c>
      <c r="AA13" s="597">
        <f ca="1">CF!AA66</f>
        <v>22174622.909139503</v>
      </c>
      <c r="AB13" s="597">
        <f ca="1">CF!AB66</f>
        <v>40722699.387013413</v>
      </c>
      <c r="AC13" s="597">
        <f ca="1">CF!AC66</f>
        <v>42953509.31853275</v>
      </c>
      <c r="AD13" s="597">
        <f ca="1">CF!AD66</f>
        <v>52412041.360824428</v>
      </c>
      <c r="AE13" s="597">
        <f ca="1">CF!AE66</f>
        <v>47018778.694847517</v>
      </c>
      <c r="AF13" s="597">
        <f ca="1">CF!AF66</f>
        <v>42043205.50820379</v>
      </c>
      <c r="AG13" s="597">
        <f ca="1">CF!AG66</f>
        <v>45187075.06212277</v>
      </c>
      <c r="AH13" s="597">
        <f ca="1">CF!AH66</f>
        <v>24863995.325736694</v>
      </c>
      <c r="AI13" s="597">
        <f ca="1">CF!AI66</f>
        <v>13239391.083775632</v>
      </c>
      <c r="AJ13" s="597">
        <f ca="1">CF!AJ66</f>
        <v>22720940.837085068</v>
      </c>
      <c r="AK13" s="597">
        <f ca="1">CF!AK66</f>
        <v>10943981.536962543</v>
      </c>
      <c r="AL13" s="597">
        <f ca="1">CF!AL66</f>
        <v>11467905.956940226</v>
      </c>
      <c r="AM13" s="597">
        <f ca="1">CF!AM66</f>
        <v>19394630.660237998</v>
      </c>
      <c r="AN13" s="597">
        <f ca="1">CF!AN66</f>
        <v>36456802.438345253</v>
      </c>
      <c r="AO13" s="597">
        <f ca="1">CF!AO66</f>
        <v>38528485.897021122</v>
      </c>
      <c r="AP13" s="597">
        <f ca="1">CF!AP66</f>
        <v>47321487.683739766</v>
      </c>
      <c r="AQ13" s="597">
        <f ca="1">CF!AQ66</f>
        <v>42436301.950224727</v>
      </c>
      <c r="AR13" s="597">
        <f ca="1">CF!AR66</f>
        <v>37919630.237132899</v>
      </c>
      <c r="AS13" s="597">
        <f ca="1">CF!AS66</f>
        <v>41970539.519114807</v>
      </c>
      <c r="AT13" s="597">
        <f ca="1">CF!AT66</f>
        <v>27485261.176239938</v>
      </c>
    </row>
    <row r="14" spans="1:66" ht="15.75" customHeight="1" outlineLevel="1" x14ac:dyDescent="0.3">
      <c r="A14" s="13"/>
      <c r="B14" s="13"/>
      <c r="C14" s="13"/>
      <c r="D14" s="9"/>
      <c r="E14" s="9"/>
      <c r="F14" s="9"/>
      <c r="G14" s="9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1:66" ht="15.75" customHeight="1" outlineLevel="1" x14ac:dyDescent="0.3">
      <c r="A15" s="13"/>
      <c r="B15" s="13"/>
      <c r="C15" s="13"/>
      <c r="D15" s="9" t="str">
        <f>CF!D106</f>
        <v>Свободный денежный поток на акционерный капитал (FCFE)</v>
      </c>
      <c r="E15" s="9"/>
      <c r="F15" s="9"/>
      <c r="G15" s="9"/>
      <c r="H15" s="36"/>
      <c r="I15" s="36"/>
      <c r="J15" s="36"/>
      <c r="K15" s="597">
        <f ca="1">CF!K106</f>
        <v>-297500000</v>
      </c>
      <c r="L15" s="597">
        <f ca="1">CF!L106</f>
        <v>-182830766.54970026</v>
      </c>
      <c r="M15" s="597">
        <f ca="1">CF!M106</f>
        <v>-1359840.5263050878</v>
      </c>
      <c r="N15" s="597">
        <f ca="1">CF!N106</f>
        <v>-1253701.7376399003</v>
      </c>
      <c r="O15" s="597">
        <f ca="1">CF!O106</f>
        <v>-1224565.0593696348</v>
      </c>
      <c r="P15" s="597">
        <f ca="1">CF!P106</f>
        <v>-260042.56843949482</v>
      </c>
      <c r="Q15" s="597">
        <f ca="1">CF!Q106</f>
        <v>-563730.38507050648</v>
      </c>
      <c r="R15" s="597">
        <f ca="1">CF!R106</f>
        <v>-573862.79333072156</v>
      </c>
      <c r="S15" s="597">
        <f ca="1">CF!S106</f>
        <v>-367008.03713081405</v>
      </c>
      <c r="T15" s="597">
        <f ca="1">CF!T106</f>
        <v>-202244.3312375769</v>
      </c>
      <c r="U15" s="597">
        <f ca="1">CF!U106</f>
        <v>20128437.523668926</v>
      </c>
      <c r="V15" s="597">
        <f ca="1">CF!V106</f>
        <v>17746516.738130502</v>
      </c>
      <c r="W15" s="597">
        <f ca="1">CF!W106</f>
        <v>0</v>
      </c>
      <c r="X15" s="597">
        <f ca="1">CF!X106</f>
        <v>-202594.88460135832</v>
      </c>
      <c r="Y15" s="597">
        <f ca="1">CF!Y106</f>
        <v>10561887.217338476</v>
      </c>
      <c r="Z15" s="597">
        <f ca="1">CF!Z106</f>
        <v>15593155.983287966</v>
      </c>
      <c r="AA15" s="597">
        <f ca="1">CF!AA106</f>
        <v>25954479.288531132</v>
      </c>
      <c r="AB15" s="597">
        <f ca="1">CF!AB106</f>
        <v>48107587.805097654</v>
      </c>
      <c r="AC15" s="597">
        <f ca="1">CF!AC106</f>
        <v>51214934.329568692</v>
      </c>
      <c r="AD15" s="597">
        <f ca="1">CF!AD106</f>
        <v>63073944.164737299</v>
      </c>
      <c r="AE15" s="597">
        <f ca="1">CF!AE106</f>
        <v>57109874.28539829</v>
      </c>
      <c r="AF15" s="597">
        <f ca="1">CF!AF106</f>
        <v>51541449.290744781</v>
      </c>
      <c r="AG15" s="597">
        <f ca="1">CF!AG106</f>
        <v>55910835.472742423</v>
      </c>
      <c r="AH15" s="597">
        <f ca="1">CF!AH106</f>
        <v>31050858.531154975</v>
      </c>
      <c r="AI15" s="597">
        <f ca="1">CF!AI106</f>
        <v>16687514.418975163</v>
      </c>
      <c r="AJ15" s="597">
        <f ca="1">CF!AJ106</f>
        <v>28904861.939051729</v>
      </c>
      <c r="AK15" s="597">
        <f ca="1">CF!AK106</f>
        <v>14052088.811180096</v>
      </c>
      <c r="AL15" s="597">
        <f ca="1">CF!AL106</f>
        <v>14861772.288633198</v>
      </c>
      <c r="AM15" s="597">
        <f ca="1">CF!AM106</f>
        <v>25368158.308994308</v>
      </c>
      <c r="AN15" s="597">
        <f ca="1">CF!AN106</f>
        <v>48129011.961543515</v>
      </c>
      <c r="AO15" s="597">
        <f ca="1">CF!AO106</f>
        <v>51337091.417404316</v>
      </c>
      <c r="AP15" s="597">
        <f ca="1">CF!AP106</f>
        <v>63639777.448538102</v>
      </c>
      <c r="AQ15" s="597">
        <f ca="1">CF!AQ106</f>
        <v>57600829.732170932</v>
      </c>
      <c r="AR15" s="597">
        <f ca="1">CF!AR106</f>
        <v>51948887.086705148</v>
      </c>
      <c r="AS15" s="597">
        <f ca="1">CF!AS106</f>
        <v>58033351.440794051</v>
      </c>
      <c r="AT15" s="597">
        <f ca="1">CF!AT106</f>
        <v>38357819.73311685</v>
      </c>
    </row>
    <row r="16" spans="1:66" ht="15.75" customHeight="1" outlineLevel="1" x14ac:dyDescent="0.3">
      <c r="A16" s="13"/>
      <c r="B16" s="13"/>
      <c r="C16" s="13"/>
      <c r="D16" s="9" t="str">
        <f>CF!D109</f>
        <v>Дисконтированный денежный поток (Cost of Equity)</v>
      </c>
      <c r="E16" s="9"/>
      <c r="F16" s="9"/>
      <c r="G16" s="9"/>
      <c r="H16" s="36"/>
      <c r="I16" s="36"/>
      <c r="J16" s="36"/>
      <c r="K16" s="597">
        <f ca="1">CF!K109</f>
        <v>-294485114.4272657</v>
      </c>
      <c r="L16" s="597">
        <f ca="1">CF!L109</f>
        <v>-179143903.88929731</v>
      </c>
      <c r="M16" s="597">
        <f ca="1">CF!M109</f>
        <v>-1318915.9214915924</v>
      </c>
      <c r="N16" s="597">
        <f ca="1">CF!N109</f>
        <v>-1203648.6573975778</v>
      </c>
      <c r="O16" s="597">
        <f ca="1">CF!O109</f>
        <v>-1163760.8644894897</v>
      </c>
      <c r="P16" s="597">
        <f ca="1">CF!P109</f>
        <v>-244626.0534077248</v>
      </c>
      <c r="Q16" s="597">
        <f ca="1">CF!Q109</f>
        <v>-524935.66786073847</v>
      </c>
      <c r="R16" s="597">
        <f ca="1">CF!R109</f>
        <v>-528955.43500189972</v>
      </c>
      <c r="S16" s="597">
        <f ca="1">CF!S109</f>
        <v>-334859.76480631833</v>
      </c>
      <c r="T16" s="597">
        <f ca="1">CF!T109</f>
        <v>-182658.60113860643</v>
      </c>
      <c r="U16" s="597">
        <f ca="1">CF!U109</f>
        <v>17994932.038541351</v>
      </c>
      <c r="V16" s="597">
        <f ca="1">CF!V109</f>
        <v>15704700.078952027</v>
      </c>
      <c r="W16" s="597">
        <f ca="1">CF!W109</f>
        <v>0</v>
      </c>
      <c r="X16" s="597">
        <f ca="1">CF!X109</f>
        <v>-175670.06147949278</v>
      </c>
      <c r="Y16" s="597">
        <f ca="1">CF!Y109</f>
        <v>9065404.3598453198</v>
      </c>
      <c r="Z16" s="597">
        <f ca="1">CF!Z109</f>
        <v>13248174.964411318</v>
      </c>
      <c r="AA16" s="597">
        <f ca="1">CF!AA109</f>
        <v>21827838.35764936</v>
      </c>
      <c r="AB16" s="597">
        <f ca="1">CF!AB109</f>
        <v>40048694.80787047</v>
      </c>
      <c r="AC16" s="597">
        <f ca="1">CF!AC109</f>
        <v>42203433.31247282</v>
      </c>
      <c r="AD16" s="597">
        <f ca="1">CF!AD109</f>
        <v>51449070.026256621</v>
      </c>
      <c r="AE16" s="597">
        <f ca="1">CF!AE109</f>
        <v>46112123.34867353</v>
      </c>
      <c r="AF16" s="597">
        <f ca="1">CF!AF109</f>
        <v>41194280.320119619</v>
      </c>
      <c r="AG16" s="597">
        <f ca="1">CF!AG109</f>
        <v>44233637.305807658</v>
      </c>
      <c r="AH16" s="597">
        <f ca="1">CF!AH109</f>
        <v>24316813.292076994</v>
      </c>
      <c r="AI16" s="597">
        <f ca="1">CF!AI109</f>
        <v>12936031.922130883</v>
      </c>
      <c r="AJ16" s="597">
        <f ca="1">CF!AJ109</f>
        <v>22179752.773608573</v>
      </c>
      <c r="AK16" s="597">
        <f ca="1">CF!AK109</f>
        <v>10673406.85785047</v>
      </c>
      <c r="AL16" s="597">
        <f ca="1">CF!AL109</f>
        <v>11174012.642090017</v>
      </c>
      <c r="AM16" s="597">
        <f ca="1">CF!AM109</f>
        <v>18880081.809281334</v>
      </c>
      <c r="AN16" s="597">
        <f ca="1">CF!AN109</f>
        <v>35456695.339525715</v>
      </c>
      <c r="AO16" s="597">
        <f ca="1">CF!AO109</f>
        <v>37436819.538838997</v>
      </c>
      <c r="AP16" s="597">
        <f ca="1">CF!AP109</f>
        <v>45938066.887569241</v>
      </c>
      <c r="AQ16" s="597">
        <f ca="1">CF!AQ109</f>
        <v>41157518.29867065</v>
      </c>
      <c r="AR16" s="597">
        <f ca="1">CF!AR109</f>
        <v>36742869.094965734</v>
      </c>
      <c r="AS16" s="597">
        <f ca="1">CF!AS109</f>
        <v>40630376.470191233</v>
      </c>
      <c r="AT16" s="597">
        <f ca="1">CF!AT109</f>
        <v>26582969.028661184</v>
      </c>
    </row>
    <row r="17" spans="1:50" ht="15.75" customHeight="1" x14ac:dyDescent="0.3">
      <c r="A17" s="13"/>
      <c r="B17" s="13"/>
      <c r="C17" s="13"/>
      <c r="D17" s="9"/>
      <c r="E17" s="39"/>
      <c r="F17" s="8"/>
      <c r="G17" s="30"/>
      <c r="H17" s="46"/>
      <c r="I17" s="7"/>
      <c r="J17" s="7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50" ht="15.75" customHeight="1" x14ac:dyDescent="0.3">
      <c r="A18" s="13"/>
      <c r="B18" s="13"/>
      <c r="C18" s="13"/>
      <c r="D18" s="104" t="s">
        <v>175</v>
      </c>
      <c r="E18" s="105"/>
      <c r="F18" s="105"/>
      <c r="G18" s="106"/>
      <c r="H18" s="105"/>
      <c r="I18" s="105"/>
      <c r="J18" s="41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60"/>
      <c r="AV18" s="160"/>
      <c r="AW18" s="160"/>
      <c r="AX18" s="160"/>
    </row>
    <row r="19" spans="1:50" ht="15.75" customHeight="1" outlineLevel="1" x14ac:dyDescent="0.3">
      <c r="A19" s="13"/>
      <c r="B19" s="13"/>
      <c r="C19" s="13"/>
      <c r="D19" s="56" t="s">
        <v>176</v>
      </c>
      <c r="E19" s="8"/>
      <c r="F19" s="8"/>
      <c r="G19" s="30"/>
      <c r="H19" s="8"/>
      <c r="I19" s="7"/>
      <c r="J19" s="7"/>
      <c r="K19" s="8"/>
      <c r="L19" s="8"/>
      <c r="M19" s="8"/>
      <c r="N19" s="8"/>
      <c r="O19" s="8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spans="1:50" ht="15.75" customHeight="1" outlineLevel="1" x14ac:dyDescent="0.3">
      <c r="A20" s="13"/>
      <c r="B20" s="13"/>
      <c r="C20" s="13"/>
      <c r="D20" s="13" t="s">
        <v>177</v>
      </c>
      <c r="E20" s="8" t="s">
        <v>40</v>
      </c>
      <c r="F20" s="8"/>
      <c r="G20" s="30"/>
      <c r="H20" s="598">
        <f ca="1">SUM(K21:AT22)</f>
        <v>25.53905658546017</v>
      </c>
      <c r="I20" s="47"/>
      <c r="J20" s="7"/>
      <c r="K20" s="35">
        <f ca="1">SUM($K$12:K12)</f>
        <v>-297500000</v>
      </c>
      <c r="L20" s="35">
        <f ca="1">SUM($K$12:L12)</f>
        <v>-640441022.06626701</v>
      </c>
      <c r="M20" s="35">
        <f ca="1">SUM($K$12:M12)</f>
        <v>-632864477.96255469</v>
      </c>
      <c r="N20" s="35">
        <f t="shared" ref="N20:AT20" ca="1" si="5">SUM($K$12:N12)</f>
        <v>-624513426.76580226</v>
      </c>
      <c r="O20" s="35">
        <f t="shared" ca="1" si="5"/>
        <v>-611055976.21966314</v>
      </c>
      <c r="P20" s="35">
        <f t="shared" ca="1" si="5"/>
        <v>-588039822.76954126</v>
      </c>
      <c r="Q20" s="35">
        <f t="shared" ca="1" si="5"/>
        <v>-564790411.53587532</v>
      </c>
      <c r="R20" s="35">
        <f t="shared" ca="1" si="5"/>
        <v>-536146572.19667834</v>
      </c>
      <c r="S20" s="35">
        <f t="shared" ca="1" si="5"/>
        <v>-510096565.30039185</v>
      </c>
      <c r="T20" s="35">
        <f t="shared" ca="1" si="5"/>
        <v>-486478800.78593677</v>
      </c>
      <c r="U20" s="35">
        <f t="shared" ca="1" si="5"/>
        <v>-460161903.59543693</v>
      </c>
      <c r="V20" s="35">
        <f t="shared" ca="1" si="5"/>
        <v>-442415386.85730642</v>
      </c>
      <c r="W20" s="35">
        <f t="shared" ca="1" si="5"/>
        <v>-475427499.74993855</v>
      </c>
      <c r="X20" s="35">
        <f t="shared" ca="1" si="5"/>
        <v>-446464221.42518878</v>
      </c>
      <c r="Y20" s="35">
        <f t="shared" ca="1" si="5"/>
        <v>-431825989.75030124</v>
      </c>
      <c r="Z20" s="35">
        <f t="shared" ca="1" si="5"/>
        <v>-416232833.76701325</v>
      </c>
      <c r="AA20" s="35">
        <f t="shared" ca="1" si="5"/>
        <v>-390278354.47848213</v>
      </c>
      <c r="AB20" s="35">
        <f t="shared" ca="1" si="5"/>
        <v>-342170766.67338449</v>
      </c>
      <c r="AC20" s="35">
        <f t="shared" ca="1" si="5"/>
        <v>-290955832.3438158</v>
      </c>
      <c r="AD20" s="35">
        <f t="shared" ca="1" si="5"/>
        <v>-227881888.17907852</v>
      </c>
      <c r="AE20" s="35">
        <f t="shared" ca="1" si="5"/>
        <v>-170772013.89368021</v>
      </c>
      <c r="AF20" s="35">
        <f t="shared" ca="1" si="5"/>
        <v>-119230564.60293543</v>
      </c>
      <c r="AG20" s="35">
        <f t="shared" ca="1" si="5"/>
        <v>-63319729.13019301</v>
      </c>
      <c r="AH20" s="35">
        <f t="shared" ca="1" si="5"/>
        <v>-32268870.599038035</v>
      </c>
      <c r="AI20" s="600">
        <f t="shared" ca="1" si="5"/>
        <v>-15581356.180062871</v>
      </c>
      <c r="AJ20" s="600">
        <f ca="1">SUM($K$12:AJ12)</f>
        <v>13323505.758988857</v>
      </c>
      <c r="AK20" s="35">
        <f t="shared" ca="1" si="5"/>
        <v>27375594.570168953</v>
      </c>
      <c r="AL20" s="35">
        <f t="shared" ca="1" si="5"/>
        <v>42237366.858802155</v>
      </c>
      <c r="AM20" s="35">
        <f t="shared" ca="1" si="5"/>
        <v>67605525.167796463</v>
      </c>
      <c r="AN20" s="35">
        <f t="shared" ca="1" si="5"/>
        <v>115734537.12933998</v>
      </c>
      <c r="AO20" s="35">
        <f t="shared" ca="1" si="5"/>
        <v>167071628.54674429</v>
      </c>
      <c r="AP20" s="35">
        <f t="shared" ca="1" si="5"/>
        <v>230711405.99528238</v>
      </c>
      <c r="AQ20" s="35">
        <f t="shared" ca="1" si="5"/>
        <v>288312235.72745329</v>
      </c>
      <c r="AR20" s="35">
        <f t="shared" ca="1" si="5"/>
        <v>340261122.81415844</v>
      </c>
      <c r="AS20" s="35">
        <f t="shared" ca="1" si="5"/>
        <v>398294474.25495249</v>
      </c>
      <c r="AT20" s="35">
        <f t="shared" ca="1" si="5"/>
        <v>436652293.98806936</v>
      </c>
      <c r="AU20" s="13"/>
      <c r="AV20" s="13"/>
      <c r="AW20" s="13"/>
      <c r="AX20" s="13"/>
    </row>
    <row r="21" spans="1:50" ht="15" customHeight="1" outlineLevel="2" x14ac:dyDescent="0.3">
      <c r="A21" s="13"/>
      <c r="B21" s="13"/>
      <c r="C21" s="13"/>
      <c r="D21" s="13"/>
      <c r="E21" s="8"/>
      <c r="F21" s="50"/>
      <c r="G21" s="30"/>
      <c r="H21" s="8"/>
      <c r="I21" s="51"/>
      <c r="J21" s="47"/>
      <c r="K21" s="212">
        <f ca="1">IF(AND(J20&lt;0,K20&gt;0),-J20/K12,0)</f>
        <v>0</v>
      </c>
      <c r="L21" s="212">
        <f ca="1">IF(AND(K20&lt;0,L20&gt;0),-K20/L12,0)</f>
        <v>0</v>
      </c>
      <c r="M21" s="212">
        <f ca="1">IF(AND(L20&lt;0,M20&gt;0),-L20/M12,0)</f>
        <v>0</v>
      </c>
      <c r="N21" s="212">
        <f t="shared" ref="N21:AT21" ca="1" si="6">IF(AND(M20&lt;0,N20&gt;0),-M20/N12,0)</f>
        <v>0</v>
      </c>
      <c r="O21" s="212">
        <f t="shared" ca="1" si="6"/>
        <v>0</v>
      </c>
      <c r="P21" s="212">
        <f t="shared" ca="1" si="6"/>
        <v>0</v>
      </c>
      <c r="Q21" s="212">
        <f t="shared" ca="1" si="6"/>
        <v>0</v>
      </c>
      <c r="R21" s="212">
        <f t="shared" ca="1" si="6"/>
        <v>0</v>
      </c>
      <c r="S21" s="212">
        <f t="shared" ca="1" si="6"/>
        <v>0</v>
      </c>
      <c r="T21" s="212">
        <f t="shared" ca="1" si="6"/>
        <v>0</v>
      </c>
      <c r="U21" s="212">
        <f t="shared" ca="1" si="6"/>
        <v>0</v>
      </c>
      <c r="V21" s="212">
        <f t="shared" ca="1" si="6"/>
        <v>0</v>
      </c>
      <c r="W21" s="212">
        <f t="shared" ca="1" si="6"/>
        <v>0</v>
      </c>
      <c r="X21" s="212">
        <f t="shared" ca="1" si="6"/>
        <v>0</v>
      </c>
      <c r="Y21" s="212">
        <f t="shared" ca="1" si="6"/>
        <v>0</v>
      </c>
      <c r="Z21" s="212">
        <f t="shared" ca="1" si="6"/>
        <v>0</v>
      </c>
      <c r="AA21" s="212">
        <f t="shared" ca="1" si="6"/>
        <v>0</v>
      </c>
      <c r="AB21" s="212">
        <f t="shared" ca="1" si="6"/>
        <v>0</v>
      </c>
      <c r="AC21" s="212">
        <f t="shared" ca="1" si="6"/>
        <v>0</v>
      </c>
      <c r="AD21" s="212">
        <f t="shared" ca="1" si="6"/>
        <v>0</v>
      </c>
      <c r="AE21" s="212">
        <f t="shared" ca="1" si="6"/>
        <v>0</v>
      </c>
      <c r="AF21" s="212">
        <f t="shared" ca="1" si="6"/>
        <v>0</v>
      </c>
      <c r="AG21" s="212">
        <f t="shared" ca="1" si="6"/>
        <v>0</v>
      </c>
      <c r="AH21" s="212">
        <f t="shared" ca="1" si="6"/>
        <v>0</v>
      </c>
      <c r="AI21" s="212">
        <f t="shared" ca="1" si="6"/>
        <v>0</v>
      </c>
      <c r="AJ21" s="212">
        <f ca="1">IF(AND(AI20&lt;0,AJ20&gt;0),-AI20/AJ12,0)</f>
        <v>0.53905658546017066</v>
      </c>
      <c r="AK21" s="212">
        <f t="shared" ca="1" si="6"/>
        <v>0</v>
      </c>
      <c r="AL21" s="212">
        <f t="shared" ca="1" si="6"/>
        <v>0</v>
      </c>
      <c r="AM21" s="212">
        <f t="shared" ca="1" si="6"/>
        <v>0</v>
      </c>
      <c r="AN21" s="212">
        <f t="shared" ca="1" si="6"/>
        <v>0</v>
      </c>
      <c r="AO21" s="212">
        <f t="shared" ca="1" si="6"/>
        <v>0</v>
      </c>
      <c r="AP21" s="212">
        <f t="shared" ca="1" si="6"/>
        <v>0</v>
      </c>
      <c r="AQ21" s="212">
        <f t="shared" ca="1" si="6"/>
        <v>0</v>
      </c>
      <c r="AR21" s="212">
        <f t="shared" ca="1" si="6"/>
        <v>0</v>
      </c>
      <c r="AS21" s="212">
        <f t="shared" ca="1" si="6"/>
        <v>0</v>
      </c>
      <c r="AT21" s="212">
        <f t="shared" ca="1" si="6"/>
        <v>0</v>
      </c>
      <c r="AU21" s="13"/>
      <c r="AV21" s="13"/>
      <c r="AW21" s="13"/>
      <c r="AX21" s="13"/>
    </row>
    <row r="22" spans="1:50" ht="15.75" customHeight="1" outlineLevel="2" x14ac:dyDescent="0.3">
      <c r="A22" s="13"/>
      <c r="B22" s="13"/>
      <c r="C22" s="13"/>
      <c r="D22" s="13"/>
      <c r="E22" s="8"/>
      <c r="F22" s="8"/>
      <c r="G22" s="30"/>
      <c r="H22" s="8"/>
      <c r="I22" s="47"/>
      <c r="J22" s="47"/>
      <c r="K22" s="212">
        <f ca="1">IF(K20&lt;0,1,0)</f>
        <v>1</v>
      </c>
      <c r="L22" s="212">
        <f ca="1">IF(L20&lt;0,1,0)</f>
        <v>1</v>
      </c>
      <c r="M22" s="212">
        <f t="shared" ref="M22:AT22" ca="1" si="7">IF(M20&lt;0,1,0)</f>
        <v>1</v>
      </c>
      <c r="N22" s="212">
        <f t="shared" ca="1" si="7"/>
        <v>1</v>
      </c>
      <c r="O22" s="212">
        <f t="shared" ca="1" si="7"/>
        <v>1</v>
      </c>
      <c r="P22" s="212">
        <f t="shared" ca="1" si="7"/>
        <v>1</v>
      </c>
      <c r="Q22" s="212">
        <f t="shared" ca="1" si="7"/>
        <v>1</v>
      </c>
      <c r="R22" s="212">
        <f t="shared" ca="1" si="7"/>
        <v>1</v>
      </c>
      <c r="S22" s="212">
        <f t="shared" ca="1" si="7"/>
        <v>1</v>
      </c>
      <c r="T22" s="212">
        <f t="shared" ca="1" si="7"/>
        <v>1</v>
      </c>
      <c r="U22" s="212">
        <f t="shared" ca="1" si="7"/>
        <v>1</v>
      </c>
      <c r="V22" s="212">
        <f t="shared" ca="1" si="7"/>
        <v>1</v>
      </c>
      <c r="W22" s="212">
        <f t="shared" ca="1" si="7"/>
        <v>1</v>
      </c>
      <c r="X22" s="212">
        <f t="shared" ca="1" si="7"/>
        <v>1</v>
      </c>
      <c r="Y22" s="212">
        <f t="shared" ca="1" si="7"/>
        <v>1</v>
      </c>
      <c r="Z22" s="212">
        <f t="shared" ca="1" si="7"/>
        <v>1</v>
      </c>
      <c r="AA22" s="212">
        <f t="shared" ca="1" si="7"/>
        <v>1</v>
      </c>
      <c r="AB22" s="212">
        <f t="shared" ca="1" si="7"/>
        <v>1</v>
      </c>
      <c r="AC22" s="212">
        <f t="shared" ca="1" si="7"/>
        <v>1</v>
      </c>
      <c r="AD22" s="212">
        <f t="shared" ca="1" si="7"/>
        <v>1</v>
      </c>
      <c r="AE22" s="212">
        <f t="shared" ca="1" si="7"/>
        <v>1</v>
      </c>
      <c r="AF22" s="212">
        <f t="shared" ca="1" si="7"/>
        <v>1</v>
      </c>
      <c r="AG22" s="212">
        <f t="shared" ca="1" si="7"/>
        <v>1</v>
      </c>
      <c r="AH22" s="212">
        <f t="shared" ca="1" si="7"/>
        <v>1</v>
      </c>
      <c r="AI22" s="212">
        <f t="shared" ca="1" si="7"/>
        <v>1</v>
      </c>
      <c r="AJ22" s="212">
        <f ca="1">IF(AJ20&lt;0,1,0)</f>
        <v>0</v>
      </c>
      <c r="AK22" s="212">
        <f t="shared" ca="1" si="7"/>
        <v>0</v>
      </c>
      <c r="AL22" s="212">
        <f t="shared" ca="1" si="7"/>
        <v>0</v>
      </c>
      <c r="AM22" s="212">
        <f t="shared" ca="1" si="7"/>
        <v>0</v>
      </c>
      <c r="AN22" s="212">
        <f t="shared" ca="1" si="7"/>
        <v>0</v>
      </c>
      <c r="AO22" s="212">
        <f t="shared" ca="1" si="7"/>
        <v>0</v>
      </c>
      <c r="AP22" s="212">
        <f t="shared" ca="1" si="7"/>
        <v>0</v>
      </c>
      <c r="AQ22" s="212">
        <f t="shared" ca="1" si="7"/>
        <v>0</v>
      </c>
      <c r="AR22" s="212">
        <f t="shared" ca="1" si="7"/>
        <v>0</v>
      </c>
      <c r="AS22" s="212">
        <f t="shared" ca="1" si="7"/>
        <v>0</v>
      </c>
      <c r="AT22" s="212">
        <f t="shared" ca="1" si="7"/>
        <v>0</v>
      </c>
      <c r="AU22" s="13"/>
      <c r="AV22" s="13"/>
      <c r="AW22" s="13"/>
      <c r="AX22" s="13"/>
    </row>
    <row r="23" spans="1:50" ht="15.75" customHeight="1" outlineLevel="2" x14ac:dyDescent="0.3">
      <c r="A23" s="13"/>
      <c r="B23" s="13"/>
      <c r="C23" s="13"/>
      <c r="D23" s="13"/>
      <c r="E23" s="8"/>
      <c r="F23" s="8"/>
      <c r="G23" s="30"/>
      <c r="H23" s="8"/>
      <c r="I23" s="47"/>
      <c r="J23" s="47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13"/>
      <c r="AV23" s="13"/>
      <c r="AW23" s="13"/>
      <c r="AX23" s="13"/>
    </row>
    <row r="24" spans="1:50" ht="15.75" customHeight="1" outlineLevel="1" x14ac:dyDescent="0.3">
      <c r="A24" s="13"/>
      <c r="B24" s="13"/>
      <c r="C24" s="13"/>
      <c r="D24" s="13" t="s">
        <v>178</v>
      </c>
      <c r="E24" s="8" t="s">
        <v>40</v>
      </c>
      <c r="F24" s="8"/>
      <c r="G24" s="30"/>
      <c r="H24" s="598">
        <f ca="1">SUM(K25:AT26)</f>
        <v>29.832004626100378</v>
      </c>
      <c r="I24" s="49"/>
      <c r="J24" s="49"/>
      <c r="K24" s="36">
        <f ca="1">SUM($K$13:K13)</f>
        <v>-294758287.2814039</v>
      </c>
      <c r="L24" s="36">
        <f ca="1">SUM($K$13:L13)</f>
        <v>-631407456.00869489</v>
      </c>
      <c r="M24" s="36">
        <f ca="1">SUM($K$13:M13)</f>
        <v>-624038460.04733622</v>
      </c>
      <c r="N24" s="36">
        <f ca="1">SUM($K$13:N13)</f>
        <v>-615991027.16362584</v>
      </c>
      <c r="O24" s="36">
        <f ca="1">SUM($K$13:O13)</f>
        <v>-603142360.44895756</v>
      </c>
      <c r="P24" s="36">
        <f ca="1">SUM($K$13:P13)</f>
        <v>-581369922.06922066</v>
      </c>
      <c r="Q24" s="36">
        <f ca="1">SUM($K$13:Q13)</f>
        <v>-559579515.20524871</v>
      </c>
      <c r="R24" s="36">
        <f ca="1">SUM($K$13:R13)</f>
        <v>-532980616.01799601</v>
      </c>
      <c r="S24" s="36">
        <f ca="1">SUM($K$13:S13)</f>
        <v>-509013303.921206</v>
      </c>
      <c r="T24" s="36">
        <f ca="1">SUM($K$13:T13)</f>
        <v>-487484032.60056746</v>
      </c>
      <c r="U24" s="36">
        <f ca="1">SUM($K$13:U13)</f>
        <v>-463715395.43791926</v>
      </c>
      <c r="V24" s="36">
        <f ca="1">SUM($K$13:V13)</f>
        <v>-447834983.11061257</v>
      </c>
      <c r="W24" s="36">
        <f ca="1">SUM($K$13:W13)</f>
        <v>-477103520.9709686</v>
      </c>
      <c r="X24" s="36">
        <f ca="1">SUM($K$13:X13)</f>
        <v>-451661331.78345972</v>
      </c>
      <c r="Y24" s="36">
        <f ca="1">SUM($K$13:Y13)</f>
        <v>-438921185.03045094</v>
      </c>
      <c r="Z24" s="36">
        <f ca="1">SUM($K$13:Z13)</f>
        <v>-425475005.92295319</v>
      </c>
      <c r="AA24" s="36">
        <f ca="1">SUM($K$13:AA13)</f>
        <v>-403300383.01381367</v>
      </c>
      <c r="AB24" s="36">
        <f ca="1">SUM($K$13:AB13)</f>
        <v>-362577683.62680024</v>
      </c>
      <c r="AC24" s="36">
        <f ca="1">SUM($K$13:AC13)</f>
        <v>-319624174.30826747</v>
      </c>
      <c r="AD24" s="36">
        <f ca="1">SUM($K$13:AD13)</f>
        <v>-267212132.94744304</v>
      </c>
      <c r="AE24" s="36">
        <f ca="1">SUM($K$13:AE13)</f>
        <v>-220193354.25259551</v>
      </c>
      <c r="AF24" s="36">
        <f ca="1">SUM($K$13:AF13)</f>
        <v>-178150148.74439174</v>
      </c>
      <c r="AG24" s="36">
        <f ca="1">SUM($K$13:AG13)</f>
        <v>-132963073.68226898</v>
      </c>
      <c r="AH24" s="36">
        <f ca="1">SUM($K$13:AH13)</f>
        <v>-108099078.35653228</v>
      </c>
      <c r="AI24" s="36">
        <f ca="1">SUM($K$13:AI13)</f>
        <v>-94859687.272756636</v>
      </c>
      <c r="AJ24" s="36">
        <f ca="1">SUM($K$13:AJ13)</f>
        <v>-72138746.435671568</v>
      </c>
      <c r="AK24" s="36">
        <f ca="1">SUM($K$13:AK13)</f>
        <v>-61194764.898709029</v>
      </c>
      <c r="AL24" s="36">
        <f ca="1">SUM($K$13:AL13)</f>
        <v>-49726858.941768803</v>
      </c>
      <c r="AM24" s="600">
        <f ca="1">SUM($K$13:AM13)</f>
        <v>-30332228.281530805</v>
      </c>
      <c r="AN24" s="600">
        <f ca="1">SUM($K$13:AN13)</f>
        <v>6124574.1568144485</v>
      </c>
      <c r="AO24" s="36">
        <f ca="1">SUM($K$13:AO13)</f>
        <v>44653060.053835571</v>
      </c>
      <c r="AP24" s="36">
        <f ca="1">SUM($K$13:AP13)</f>
        <v>91974547.737575337</v>
      </c>
      <c r="AQ24" s="36">
        <f ca="1">SUM($K$13:AQ13)</f>
        <v>134410849.68780005</v>
      </c>
      <c r="AR24" s="36">
        <f ca="1">SUM($K$13:AR13)</f>
        <v>172330479.92493296</v>
      </c>
      <c r="AS24" s="36">
        <f ca="1">SUM($K$13:AS13)</f>
        <v>214301019.44404775</v>
      </c>
      <c r="AT24" s="36">
        <f ca="1">SUM($K$13:AT13)</f>
        <v>241786280.62028769</v>
      </c>
      <c r="AU24" s="13"/>
      <c r="AV24" s="13"/>
      <c r="AW24" s="13"/>
      <c r="AX24" s="13"/>
    </row>
    <row r="25" spans="1:50" ht="15.75" customHeight="1" outlineLevel="2" x14ac:dyDescent="0.3">
      <c r="A25" s="13"/>
      <c r="B25" s="13"/>
      <c r="C25" s="13"/>
      <c r="D25" s="19"/>
      <c r="E25" s="8"/>
      <c r="F25" s="8"/>
      <c r="G25" s="30"/>
      <c r="H25" s="8"/>
      <c r="I25" s="52"/>
      <c r="J25" s="52"/>
      <c r="K25" s="212">
        <f t="shared" ref="K25:AT25" ca="1" si="8">IF(AND(J24&lt;0,K24&gt;0),-J24/K13,0)</f>
        <v>0</v>
      </c>
      <c r="L25" s="212">
        <f t="shared" ca="1" si="8"/>
        <v>0</v>
      </c>
      <c r="M25" s="212">
        <f t="shared" ca="1" si="8"/>
        <v>0</v>
      </c>
      <c r="N25" s="212">
        <f t="shared" ca="1" si="8"/>
        <v>0</v>
      </c>
      <c r="O25" s="212">
        <f t="shared" ca="1" si="8"/>
        <v>0</v>
      </c>
      <c r="P25" s="212">
        <f t="shared" ca="1" si="8"/>
        <v>0</v>
      </c>
      <c r="Q25" s="212">
        <f t="shared" ca="1" si="8"/>
        <v>0</v>
      </c>
      <c r="R25" s="212">
        <f t="shared" ca="1" si="8"/>
        <v>0</v>
      </c>
      <c r="S25" s="212">
        <f t="shared" ca="1" si="8"/>
        <v>0</v>
      </c>
      <c r="T25" s="212">
        <f t="shared" ca="1" si="8"/>
        <v>0</v>
      </c>
      <c r="U25" s="212">
        <f t="shared" ca="1" si="8"/>
        <v>0</v>
      </c>
      <c r="V25" s="212">
        <f t="shared" ca="1" si="8"/>
        <v>0</v>
      </c>
      <c r="W25" s="212">
        <f t="shared" ca="1" si="8"/>
        <v>0</v>
      </c>
      <c r="X25" s="212">
        <f t="shared" ca="1" si="8"/>
        <v>0</v>
      </c>
      <c r="Y25" s="212">
        <f t="shared" ca="1" si="8"/>
        <v>0</v>
      </c>
      <c r="Z25" s="212">
        <f t="shared" ca="1" si="8"/>
        <v>0</v>
      </c>
      <c r="AA25" s="212">
        <f t="shared" ca="1" si="8"/>
        <v>0</v>
      </c>
      <c r="AB25" s="212">
        <f t="shared" ca="1" si="8"/>
        <v>0</v>
      </c>
      <c r="AC25" s="212">
        <f t="shared" ca="1" si="8"/>
        <v>0</v>
      </c>
      <c r="AD25" s="212">
        <f t="shared" ca="1" si="8"/>
        <v>0</v>
      </c>
      <c r="AE25" s="212">
        <f t="shared" ca="1" si="8"/>
        <v>0</v>
      </c>
      <c r="AF25" s="212">
        <f t="shared" ca="1" si="8"/>
        <v>0</v>
      </c>
      <c r="AG25" s="212">
        <f t="shared" ca="1" si="8"/>
        <v>0</v>
      </c>
      <c r="AH25" s="212">
        <f t="shared" ca="1" si="8"/>
        <v>0</v>
      </c>
      <c r="AI25" s="212">
        <f t="shared" ca="1" si="8"/>
        <v>0</v>
      </c>
      <c r="AJ25" s="212">
        <f t="shared" ca="1" si="8"/>
        <v>0</v>
      </c>
      <c r="AK25" s="212">
        <f t="shared" ca="1" si="8"/>
        <v>0</v>
      </c>
      <c r="AL25" s="212">
        <f t="shared" ca="1" si="8"/>
        <v>0</v>
      </c>
      <c r="AM25" s="212">
        <f t="shared" ca="1" si="8"/>
        <v>0</v>
      </c>
      <c r="AN25" s="212">
        <f t="shared" ca="1" si="8"/>
        <v>0.8320046261003784</v>
      </c>
      <c r="AO25" s="212">
        <f t="shared" ca="1" si="8"/>
        <v>0</v>
      </c>
      <c r="AP25" s="212">
        <f t="shared" ca="1" si="8"/>
        <v>0</v>
      </c>
      <c r="AQ25" s="212">
        <f t="shared" ca="1" si="8"/>
        <v>0</v>
      </c>
      <c r="AR25" s="212">
        <f t="shared" ca="1" si="8"/>
        <v>0</v>
      </c>
      <c r="AS25" s="212">
        <f t="shared" ca="1" si="8"/>
        <v>0</v>
      </c>
      <c r="AT25" s="212">
        <f t="shared" ca="1" si="8"/>
        <v>0</v>
      </c>
      <c r="AU25" s="13"/>
      <c r="AV25" s="13"/>
      <c r="AW25" s="13"/>
      <c r="AX25" s="13"/>
    </row>
    <row r="26" spans="1:50" ht="15.75" customHeight="1" outlineLevel="2" x14ac:dyDescent="0.3">
      <c r="A26" s="13"/>
      <c r="B26" s="13"/>
      <c r="C26" s="13"/>
      <c r="D26" s="19"/>
      <c r="E26" s="8"/>
      <c r="F26" s="8"/>
      <c r="G26" s="30"/>
      <c r="H26" s="8"/>
      <c r="I26" s="52"/>
      <c r="J26" s="52"/>
      <c r="K26" s="212">
        <f t="shared" ref="K26:AT26" ca="1" si="9">IF(K24&lt;0,1,0)</f>
        <v>1</v>
      </c>
      <c r="L26" s="212">
        <f t="shared" ca="1" si="9"/>
        <v>1</v>
      </c>
      <c r="M26" s="212">
        <f t="shared" ca="1" si="9"/>
        <v>1</v>
      </c>
      <c r="N26" s="212">
        <f t="shared" ca="1" si="9"/>
        <v>1</v>
      </c>
      <c r="O26" s="212">
        <f t="shared" ca="1" si="9"/>
        <v>1</v>
      </c>
      <c r="P26" s="212">
        <f t="shared" ca="1" si="9"/>
        <v>1</v>
      </c>
      <c r="Q26" s="212">
        <f t="shared" ca="1" si="9"/>
        <v>1</v>
      </c>
      <c r="R26" s="212">
        <f t="shared" ca="1" si="9"/>
        <v>1</v>
      </c>
      <c r="S26" s="212">
        <f t="shared" ca="1" si="9"/>
        <v>1</v>
      </c>
      <c r="T26" s="212">
        <f t="shared" ca="1" si="9"/>
        <v>1</v>
      </c>
      <c r="U26" s="212">
        <f t="shared" ca="1" si="9"/>
        <v>1</v>
      </c>
      <c r="V26" s="212">
        <f t="shared" ca="1" si="9"/>
        <v>1</v>
      </c>
      <c r="W26" s="212">
        <f t="shared" ca="1" si="9"/>
        <v>1</v>
      </c>
      <c r="X26" s="212">
        <f t="shared" ca="1" si="9"/>
        <v>1</v>
      </c>
      <c r="Y26" s="212">
        <f t="shared" ca="1" si="9"/>
        <v>1</v>
      </c>
      <c r="Z26" s="212">
        <f t="shared" ca="1" si="9"/>
        <v>1</v>
      </c>
      <c r="AA26" s="212">
        <f t="shared" ca="1" si="9"/>
        <v>1</v>
      </c>
      <c r="AB26" s="212">
        <f t="shared" ca="1" si="9"/>
        <v>1</v>
      </c>
      <c r="AC26" s="212">
        <f t="shared" ca="1" si="9"/>
        <v>1</v>
      </c>
      <c r="AD26" s="212">
        <f t="shared" ca="1" si="9"/>
        <v>1</v>
      </c>
      <c r="AE26" s="212">
        <f t="shared" ca="1" si="9"/>
        <v>1</v>
      </c>
      <c r="AF26" s="212">
        <f t="shared" ca="1" si="9"/>
        <v>1</v>
      </c>
      <c r="AG26" s="212">
        <f t="shared" ca="1" si="9"/>
        <v>1</v>
      </c>
      <c r="AH26" s="212">
        <f t="shared" ca="1" si="9"/>
        <v>1</v>
      </c>
      <c r="AI26" s="212">
        <f t="shared" ca="1" si="9"/>
        <v>1</v>
      </c>
      <c r="AJ26" s="212">
        <f t="shared" ca="1" si="9"/>
        <v>1</v>
      </c>
      <c r="AK26" s="212">
        <f t="shared" ca="1" si="9"/>
        <v>1</v>
      </c>
      <c r="AL26" s="212">
        <f t="shared" ca="1" si="9"/>
        <v>1</v>
      </c>
      <c r="AM26" s="212">
        <f t="shared" ca="1" si="9"/>
        <v>1</v>
      </c>
      <c r="AN26" s="212">
        <f t="shared" ca="1" si="9"/>
        <v>0</v>
      </c>
      <c r="AO26" s="212">
        <f t="shared" ca="1" si="9"/>
        <v>0</v>
      </c>
      <c r="AP26" s="212">
        <f t="shared" ca="1" si="9"/>
        <v>0</v>
      </c>
      <c r="AQ26" s="212">
        <f t="shared" ca="1" si="9"/>
        <v>0</v>
      </c>
      <c r="AR26" s="212">
        <f t="shared" ca="1" si="9"/>
        <v>0</v>
      </c>
      <c r="AS26" s="212">
        <f t="shared" ca="1" si="9"/>
        <v>0</v>
      </c>
      <c r="AT26" s="212">
        <f t="shared" ca="1" si="9"/>
        <v>0</v>
      </c>
      <c r="AU26" s="13"/>
      <c r="AV26" s="13"/>
      <c r="AW26" s="13"/>
      <c r="AX26" s="13"/>
    </row>
    <row r="27" spans="1:50" ht="15.75" customHeight="1" outlineLevel="2" x14ac:dyDescent="0.3">
      <c r="A27" s="13"/>
      <c r="B27" s="13"/>
      <c r="C27" s="13"/>
      <c r="D27" s="9"/>
      <c r="E27" s="8"/>
      <c r="F27" s="8"/>
      <c r="G27" s="30"/>
      <c r="H27" s="55"/>
      <c r="I27" s="52"/>
      <c r="J27" s="52"/>
      <c r="K27" s="36"/>
      <c r="L27" s="13"/>
      <c r="M27" s="36"/>
      <c r="N27" s="36"/>
      <c r="O27" s="3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3"/>
      <c r="AV27" s="13"/>
      <c r="AW27" s="13"/>
      <c r="AX27" s="13"/>
    </row>
    <row r="28" spans="1:50" ht="15.75" customHeight="1" outlineLevel="1" x14ac:dyDescent="0.3">
      <c r="A28" s="13"/>
      <c r="B28" s="13"/>
      <c r="C28" s="13"/>
      <c r="D28" s="56" t="s">
        <v>179</v>
      </c>
      <c r="E28" s="8"/>
      <c r="F28" s="8"/>
      <c r="G28" s="30"/>
      <c r="H28" s="8"/>
      <c r="I28" s="7"/>
      <c r="J28" s="7"/>
      <c r="K28" s="8"/>
      <c r="L28" s="8"/>
      <c r="M28" s="8"/>
      <c r="N28" s="8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3"/>
      <c r="AV28" s="13"/>
      <c r="AW28" s="13"/>
      <c r="AX28" s="13"/>
    </row>
    <row r="29" spans="1:50" ht="15.75" customHeight="1" outlineLevel="1" x14ac:dyDescent="0.3">
      <c r="A29" s="13"/>
      <c r="B29" s="13"/>
      <c r="C29" s="13"/>
      <c r="D29" s="13" t="s">
        <v>177</v>
      </c>
      <c r="E29" s="8" t="s">
        <v>40</v>
      </c>
      <c r="F29" s="8"/>
      <c r="G29" s="30"/>
      <c r="H29" s="598">
        <f ca="1">SUM(K30:AT31)</f>
        <v>25.749247025262196</v>
      </c>
      <c r="I29" s="47"/>
      <c r="J29" s="7"/>
      <c r="K29" s="35">
        <f t="shared" ref="K29:AT29" ca="1" si="10">SUM($K$15:K15)</f>
        <v>-297500000</v>
      </c>
      <c r="L29" s="35">
        <f ca="1">SUM($K$15:L15)</f>
        <v>-480330766.54970026</v>
      </c>
      <c r="M29" s="35">
        <f t="shared" ca="1" si="10"/>
        <v>-481690607.07600534</v>
      </c>
      <c r="N29" s="35">
        <f t="shared" ca="1" si="10"/>
        <v>-482944308.81364524</v>
      </c>
      <c r="O29" s="35">
        <f t="shared" ca="1" si="10"/>
        <v>-484168873.87301487</v>
      </c>
      <c r="P29" s="35">
        <f t="shared" ca="1" si="10"/>
        <v>-484428916.44145435</v>
      </c>
      <c r="Q29" s="35">
        <f t="shared" ca="1" si="10"/>
        <v>-484992646.82652485</v>
      </c>
      <c r="R29" s="35">
        <f t="shared" ca="1" si="10"/>
        <v>-485566509.61985558</v>
      </c>
      <c r="S29" s="35">
        <f t="shared" ca="1" si="10"/>
        <v>-485933517.65698642</v>
      </c>
      <c r="T29" s="35">
        <f t="shared" ca="1" si="10"/>
        <v>-486135761.98822397</v>
      </c>
      <c r="U29" s="35">
        <f t="shared" ca="1" si="10"/>
        <v>-466007324.46455503</v>
      </c>
      <c r="V29" s="35">
        <f t="shared" ca="1" si="10"/>
        <v>-448260807.72642452</v>
      </c>
      <c r="W29" s="35">
        <f t="shared" ca="1" si="10"/>
        <v>-448260807.72642452</v>
      </c>
      <c r="X29" s="35">
        <f t="shared" ca="1" si="10"/>
        <v>-448463402.61102587</v>
      </c>
      <c r="Y29" s="35">
        <f t="shared" ca="1" si="10"/>
        <v>-437901515.39368737</v>
      </c>
      <c r="Z29" s="35">
        <f t="shared" ca="1" si="10"/>
        <v>-422308359.41039938</v>
      </c>
      <c r="AA29" s="35">
        <f t="shared" ca="1" si="10"/>
        <v>-396353880.12186825</v>
      </c>
      <c r="AB29" s="35">
        <f t="shared" ca="1" si="10"/>
        <v>-348246292.31677061</v>
      </c>
      <c r="AC29" s="35">
        <f t="shared" ca="1" si="10"/>
        <v>-297031357.98720193</v>
      </c>
      <c r="AD29" s="35">
        <f t="shared" ca="1" si="10"/>
        <v>-233957413.82246464</v>
      </c>
      <c r="AE29" s="35">
        <f t="shared" ca="1" si="10"/>
        <v>-176847539.53706634</v>
      </c>
      <c r="AF29" s="35">
        <f t="shared" ca="1" si="10"/>
        <v>-125306090.24632156</v>
      </c>
      <c r="AG29" s="35">
        <f t="shared" ca="1" si="10"/>
        <v>-69395254.773579136</v>
      </c>
      <c r="AH29" s="35">
        <f t="shared" ca="1" si="10"/>
        <v>-38344396.24242416</v>
      </c>
      <c r="AI29" s="35">
        <f t="shared" ca="1" si="10"/>
        <v>-21656881.823448997</v>
      </c>
      <c r="AJ29" s="35">
        <f t="shared" ca="1" si="10"/>
        <v>7247980.1156027317</v>
      </c>
      <c r="AK29" s="35">
        <f t="shared" ca="1" si="10"/>
        <v>21300068.926782828</v>
      </c>
      <c r="AL29" s="35">
        <f t="shared" ca="1" si="10"/>
        <v>36161841.215416029</v>
      </c>
      <c r="AM29" s="35">
        <f t="shared" ca="1" si="10"/>
        <v>61529999.524410337</v>
      </c>
      <c r="AN29" s="35">
        <f t="shared" ca="1" si="10"/>
        <v>109659011.48595385</v>
      </c>
      <c r="AO29" s="35">
        <f t="shared" ca="1" si="10"/>
        <v>160996102.90335816</v>
      </c>
      <c r="AP29" s="35">
        <f t="shared" ca="1" si="10"/>
        <v>224635880.35189626</v>
      </c>
      <c r="AQ29" s="35">
        <f t="shared" ca="1" si="10"/>
        <v>282236710.08406717</v>
      </c>
      <c r="AR29" s="35">
        <f t="shared" ca="1" si="10"/>
        <v>334185597.17077231</v>
      </c>
      <c r="AS29" s="35">
        <f t="shared" ca="1" si="10"/>
        <v>392218948.61156636</v>
      </c>
      <c r="AT29" s="35">
        <f t="shared" ca="1" si="10"/>
        <v>430576768.34468323</v>
      </c>
      <c r="AU29" s="13"/>
      <c r="AV29" s="13"/>
      <c r="AW29" s="13"/>
      <c r="AX29" s="13"/>
    </row>
    <row r="30" spans="1:50" ht="15.75" customHeight="1" outlineLevel="2" x14ac:dyDescent="0.3">
      <c r="A30" s="13"/>
      <c r="B30" s="13"/>
      <c r="C30" s="13"/>
      <c r="D30" s="13"/>
      <c r="E30" s="8"/>
      <c r="F30" s="50"/>
      <c r="G30" s="30"/>
      <c r="H30" s="8"/>
      <c r="I30" s="51"/>
      <c r="J30" s="47"/>
      <c r="K30" s="212">
        <f t="shared" ref="K30:AT30" ca="1" si="11">IF(AND(J29&lt;0,K29&gt;0),-J29/K15,0)</f>
        <v>0</v>
      </c>
      <c r="L30" s="212">
        <f t="shared" ca="1" si="11"/>
        <v>0</v>
      </c>
      <c r="M30" s="212">
        <f t="shared" ca="1" si="11"/>
        <v>0</v>
      </c>
      <c r="N30" s="212">
        <f t="shared" ca="1" si="11"/>
        <v>0</v>
      </c>
      <c r="O30" s="212">
        <f t="shared" ca="1" si="11"/>
        <v>0</v>
      </c>
      <c r="P30" s="212">
        <f t="shared" ca="1" si="11"/>
        <v>0</v>
      </c>
      <c r="Q30" s="212">
        <f t="shared" ca="1" si="11"/>
        <v>0</v>
      </c>
      <c r="R30" s="212">
        <f t="shared" ca="1" si="11"/>
        <v>0</v>
      </c>
      <c r="S30" s="212">
        <f t="shared" ca="1" si="11"/>
        <v>0</v>
      </c>
      <c r="T30" s="212">
        <f t="shared" ca="1" si="11"/>
        <v>0</v>
      </c>
      <c r="U30" s="212">
        <f t="shared" ca="1" si="11"/>
        <v>0</v>
      </c>
      <c r="V30" s="212">
        <f t="shared" ca="1" si="11"/>
        <v>0</v>
      </c>
      <c r="W30" s="212">
        <f t="shared" ca="1" si="11"/>
        <v>0</v>
      </c>
      <c r="X30" s="212">
        <f t="shared" ca="1" si="11"/>
        <v>0</v>
      </c>
      <c r="Y30" s="212">
        <f t="shared" ca="1" si="11"/>
        <v>0</v>
      </c>
      <c r="Z30" s="212">
        <f t="shared" ca="1" si="11"/>
        <v>0</v>
      </c>
      <c r="AA30" s="212">
        <f t="shared" ca="1" si="11"/>
        <v>0</v>
      </c>
      <c r="AB30" s="212">
        <f t="shared" ca="1" si="11"/>
        <v>0</v>
      </c>
      <c r="AC30" s="212">
        <f ca="1">IF(AND(AB29&lt;0,AC29&gt;0),-AB29/AC15,0)</f>
        <v>0</v>
      </c>
      <c r="AD30" s="212">
        <f t="shared" ca="1" si="11"/>
        <v>0</v>
      </c>
      <c r="AE30" s="212">
        <f t="shared" ca="1" si="11"/>
        <v>0</v>
      </c>
      <c r="AF30" s="212">
        <f t="shared" ca="1" si="11"/>
        <v>0</v>
      </c>
      <c r="AG30" s="212">
        <f t="shared" ca="1" si="11"/>
        <v>0</v>
      </c>
      <c r="AH30" s="212">
        <f t="shared" ca="1" si="11"/>
        <v>0</v>
      </c>
      <c r="AI30" s="212">
        <f t="shared" ca="1" si="11"/>
        <v>0</v>
      </c>
      <c r="AJ30" s="212">
        <f t="shared" ca="1" si="11"/>
        <v>0.74924702526219666</v>
      </c>
      <c r="AK30" s="212">
        <f t="shared" ca="1" si="11"/>
        <v>0</v>
      </c>
      <c r="AL30" s="212">
        <f t="shared" ca="1" si="11"/>
        <v>0</v>
      </c>
      <c r="AM30" s="212">
        <f t="shared" ca="1" si="11"/>
        <v>0</v>
      </c>
      <c r="AN30" s="212">
        <f t="shared" ca="1" si="11"/>
        <v>0</v>
      </c>
      <c r="AO30" s="212">
        <f t="shared" ca="1" si="11"/>
        <v>0</v>
      </c>
      <c r="AP30" s="212">
        <f t="shared" ca="1" si="11"/>
        <v>0</v>
      </c>
      <c r="AQ30" s="212">
        <f t="shared" ca="1" si="11"/>
        <v>0</v>
      </c>
      <c r="AR30" s="212">
        <f t="shared" ca="1" si="11"/>
        <v>0</v>
      </c>
      <c r="AS30" s="212">
        <f t="shared" ca="1" si="11"/>
        <v>0</v>
      </c>
      <c r="AT30" s="212">
        <f t="shared" ca="1" si="11"/>
        <v>0</v>
      </c>
      <c r="AU30" s="13"/>
      <c r="AV30" s="13"/>
      <c r="AW30" s="13"/>
      <c r="AX30" s="13"/>
    </row>
    <row r="31" spans="1:50" ht="15.75" customHeight="1" outlineLevel="2" x14ac:dyDescent="0.3">
      <c r="A31" s="13"/>
      <c r="B31" s="13"/>
      <c r="C31" s="13"/>
      <c r="D31" s="13"/>
      <c r="E31" s="8"/>
      <c r="F31" s="8"/>
      <c r="G31" s="30"/>
      <c r="H31" s="8"/>
      <c r="I31" s="47"/>
      <c r="J31" s="47"/>
      <c r="K31" s="212">
        <f ca="1">IF(K29&lt;0,1,0)</f>
        <v>1</v>
      </c>
      <c r="L31" s="212">
        <f t="shared" ref="L31:AT31" ca="1" si="12">IF(L29&lt;0,1,0)</f>
        <v>1</v>
      </c>
      <c r="M31" s="212">
        <f t="shared" ca="1" si="12"/>
        <v>1</v>
      </c>
      <c r="N31" s="212">
        <f t="shared" ca="1" si="12"/>
        <v>1</v>
      </c>
      <c r="O31" s="212">
        <f t="shared" ca="1" si="12"/>
        <v>1</v>
      </c>
      <c r="P31" s="212">
        <f t="shared" ca="1" si="12"/>
        <v>1</v>
      </c>
      <c r="Q31" s="212">
        <f t="shared" ca="1" si="12"/>
        <v>1</v>
      </c>
      <c r="R31" s="212">
        <f t="shared" ca="1" si="12"/>
        <v>1</v>
      </c>
      <c r="S31" s="212">
        <f t="shared" ca="1" si="12"/>
        <v>1</v>
      </c>
      <c r="T31" s="212">
        <f t="shared" ca="1" si="12"/>
        <v>1</v>
      </c>
      <c r="U31" s="212">
        <f t="shared" ca="1" si="12"/>
        <v>1</v>
      </c>
      <c r="V31" s="212">
        <f t="shared" ca="1" si="12"/>
        <v>1</v>
      </c>
      <c r="W31" s="212">
        <f t="shared" ca="1" si="12"/>
        <v>1</v>
      </c>
      <c r="X31" s="212">
        <f t="shared" ca="1" si="12"/>
        <v>1</v>
      </c>
      <c r="Y31" s="212">
        <f t="shared" ca="1" si="12"/>
        <v>1</v>
      </c>
      <c r="Z31" s="212">
        <f t="shared" ca="1" si="12"/>
        <v>1</v>
      </c>
      <c r="AA31" s="212">
        <f t="shared" ca="1" si="12"/>
        <v>1</v>
      </c>
      <c r="AB31" s="212">
        <f t="shared" ca="1" si="12"/>
        <v>1</v>
      </c>
      <c r="AC31" s="212">
        <f t="shared" ca="1" si="12"/>
        <v>1</v>
      </c>
      <c r="AD31" s="212">
        <f t="shared" ca="1" si="12"/>
        <v>1</v>
      </c>
      <c r="AE31" s="212">
        <f t="shared" ca="1" si="12"/>
        <v>1</v>
      </c>
      <c r="AF31" s="212">
        <f t="shared" ca="1" si="12"/>
        <v>1</v>
      </c>
      <c r="AG31" s="212">
        <f t="shared" ca="1" si="12"/>
        <v>1</v>
      </c>
      <c r="AH31" s="212">
        <f t="shared" ca="1" si="12"/>
        <v>1</v>
      </c>
      <c r="AI31" s="212">
        <f t="shared" ca="1" si="12"/>
        <v>1</v>
      </c>
      <c r="AJ31" s="212">
        <f t="shared" ca="1" si="12"/>
        <v>0</v>
      </c>
      <c r="AK31" s="212">
        <f t="shared" ca="1" si="12"/>
        <v>0</v>
      </c>
      <c r="AL31" s="212">
        <f t="shared" ca="1" si="12"/>
        <v>0</v>
      </c>
      <c r="AM31" s="212">
        <f t="shared" ca="1" si="12"/>
        <v>0</v>
      </c>
      <c r="AN31" s="212">
        <f t="shared" ca="1" si="12"/>
        <v>0</v>
      </c>
      <c r="AO31" s="212">
        <f t="shared" ca="1" si="12"/>
        <v>0</v>
      </c>
      <c r="AP31" s="212">
        <f t="shared" ca="1" si="12"/>
        <v>0</v>
      </c>
      <c r="AQ31" s="212">
        <f t="shared" ca="1" si="12"/>
        <v>0</v>
      </c>
      <c r="AR31" s="212">
        <f t="shared" ca="1" si="12"/>
        <v>0</v>
      </c>
      <c r="AS31" s="212">
        <f t="shared" ca="1" si="12"/>
        <v>0</v>
      </c>
      <c r="AT31" s="212">
        <f t="shared" ca="1" si="12"/>
        <v>0</v>
      </c>
      <c r="AU31" s="13"/>
      <c r="AV31" s="13"/>
      <c r="AW31" s="13"/>
      <c r="AX31" s="13"/>
    </row>
    <row r="32" spans="1:50" ht="15.75" customHeight="1" outlineLevel="2" x14ac:dyDescent="0.3">
      <c r="A32" s="13"/>
      <c r="B32" s="13"/>
      <c r="C32" s="13"/>
      <c r="D32" s="13"/>
      <c r="E32" s="8"/>
      <c r="F32" s="8"/>
      <c r="G32" s="30"/>
      <c r="H32" s="8"/>
      <c r="I32" s="47"/>
      <c r="J32" s="47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13"/>
      <c r="AV32" s="13"/>
      <c r="AW32" s="13"/>
      <c r="AX32" s="13"/>
    </row>
    <row r="33" spans="1:50" ht="15.75" customHeight="1" outlineLevel="1" x14ac:dyDescent="0.3">
      <c r="A33" s="13"/>
      <c r="B33" s="13"/>
      <c r="C33" s="13"/>
      <c r="D33" s="13" t="s">
        <v>178</v>
      </c>
      <c r="E33" s="8" t="s">
        <v>40</v>
      </c>
      <c r="F33" s="8"/>
      <c r="G33" s="30"/>
      <c r="H33" s="598">
        <f ca="1">SUM(K34:AT35)</f>
        <v>30.016239781956948</v>
      </c>
      <c r="I33" s="49"/>
      <c r="J33" s="49"/>
      <c r="K33" s="36">
        <f ca="1">SUM($K$16:K16)</f>
        <v>-294485114.4272657</v>
      </c>
      <c r="L33" s="36">
        <f t="shared" ref="L33:AT33" ca="1" si="13">SUM($K$16:L16)</f>
        <v>-473629018.31656301</v>
      </c>
      <c r="M33" s="36">
        <f t="shared" ca="1" si="13"/>
        <v>-474947934.23805457</v>
      </c>
      <c r="N33" s="36">
        <f t="shared" ca="1" si="13"/>
        <v>-476151582.89545214</v>
      </c>
      <c r="O33" s="36">
        <f t="shared" ca="1" si="13"/>
        <v>-477315343.75994164</v>
      </c>
      <c r="P33" s="36">
        <f t="shared" ca="1" si="13"/>
        <v>-477559969.81334937</v>
      </c>
      <c r="Q33" s="36">
        <f t="shared" ca="1" si="13"/>
        <v>-478084905.48121011</v>
      </c>
      <c r="R33" s="36">
        <f t="shared" ca="1" si="13"/>
        <v>-478613860.91621202</v>
      </c>
      <c r="S33" s="36">
        <f t="shared" ca="1" si="13"/>
        <v>-478948720.68101835</v>
      </c>
      <c r="T33" s="36">
        <f t="shared" ca="1" si="13"/>
        <v>-479131379.28215694</v>
      </c>
      <c r="U33" s="36">
        <f t="shared" ca="1" si="13"/>
        <v>-461136447.24361557</v>
      </c>
      <c r="V33" s="36">
        <f t="shared" ca="1" si="13"/>
        <v>-445431747.16466355</v>
      </c>
      <c r="W33" s="36">
        <f t="shared" ca="1" si="13"/>
        <v>-445431747.16466355</v>
      </c>
      <c r="X33" s="36">
        <f t="shared" ca="1" si="13"/>
        <v>-445607417.22614306</v>
      </c>
      <c r="Y33" s="36">
        <f t="shared" ca="1" si="13"/>
        <v>-436542012.86629772</v>
      </c>
      <c r="Z33" s="36">
        <f t="shared" ca="1" si="13"/>
        <v>-423293837.9018864</v>
      </c>
      <c r="AA33" s="36">
        <f t="shared" ca="1" si="13"/>
        <v>-401465999.54423702</v>
      </c>
      <c r="AB33" s="36">
        <f t="shared" ca="1" si="13"/>
        <v>-361417304.73636657</v>
      </c>
      <c r="AC33" s="36">
        <f t="shared" ca="1" si="13"/>
        <v>-319213871.42389375</v>
      </c>
      <c r="AD33" s="36">
        <f t="shared" ca="1" si="13"/>
        <v>-267764801.39763713</v>
      </c>
      <c r="AE33" s="36">
        <f t="shared" ca="1" si="13"/>
        <v>-221652678.04896361</v>
      </c>
      <c r="AF33" s="36">
        <f t="shared" ca="1" si="13"/>
        <v>-180458397.72884399</v>
      </c>
      <c r="AG33" s="36">
        <f t="shared" ca="1" si="13"/>
        <v>-136224760.42303634</v>
      </c>
      <c r="AH33" s="36">
        <f t="shared" ca="1" si="13"/>
        <v>-111907947.13095935</v>
      </c>
      <c r="AI33" s="36">
        <f t="shared" ca="1" si="13"/>
        <v>-98971915.208828464</v>
      </c>
      <c r="AJ33" s="36">
        <f t="shared" ca="1" si="13"/>
        <v>-76792162.435219884</v>
      </c>
      <c r="AK33" s="36">
        <f t="shared" ca="1" si="13"/>
        <v>-66118755.577369414</v>
      </c>
      <c r="AL33" s="36">
        <f t="shared" ca="1" si="13"/>
        <v>-54944742.935279399</v>
      </c>
      <c r="AM33" s="36">
        <f t="shared" ca="1" si="13"/>
        <v>-36064661.125998065</v>
      </c>
      <c r="AN33" s="36">
        <f t="shared" ca="1" si="13"/>
        <v>-607965.78647235036</v>
      </c>
      <c r="AO33" s="36">
        <f t="shared" ca="1" si="13"/>
        <v>36828853.752366647</v>
      </c>
      <c r="AP33" s="36">
        <f t="shared" ca="1" si="13"/>
        <v>82766920.639935881</v>
      </c>
      <c r="AQ33" s="36">
        <f t="shared" ca="1" si="13"/>
        <v>123924438.93860653</v>
      </c>
      <c r="AR33" s="36">
        <f t="shared" ca="1" si="13"/>
        <v>160667308.03357226</v>
      </c>
      <c r="AS33" s="36">
        <f t="shared" ca="1" si="13"/>
        <v>201297684.5037635</v>
      </c>
      <c r="AT33" s="36">
        <f t="shared" ca="1" si="13"/>
        <v>227880653.53242469</v>
      </c>
      <c r="AU33" s="13"/>
      <c r="AV33" s="13"/>
      <c r="AW33" s="13"/>
      <c r="AX33" s="13"/>
    </row>
    <row r="34" spans="1:50" ht="15.75" customHeight="1" outlineLevel="1" x14ac:dyDescent="0.3">
      <c r="A34" s="13"/>
      <c r="B34" s="13"/>
      <c r="C34" s="13"/>
      <c r="D34" s="19"/>
      <c r="E34" s="8"/>
      <c r="F34" s="8"/>
      <c r="G34" s="30"/>
      <c r="H34" s="8"/>
      <c r="I34" s="52"/>
      <c r="J34" s="52"/>
      <c r="K34" s="212">
        <f t="shared" ref="K34:AT34" ca="1" si="14">IF(AND(J33&lt;0,K33&gt;0),-J33/K16,0)</f>
        <v>0</v>
      </c>
      <c r="L34" s="212">
        <f t="shared" ca="1" si="14"/>
        <v>0</v>
      </c>
      <c r="M34" s="212">
        <f t="shared" ca="1" si="14"/>
        <v>0</v>
      </c>
      <c r="N34" s="212">
        <f t="shared" ca="1" si="14"/>
        <v>0</v>
      </c>
      <c r="O34" s="212">
        <f t="shared" ca="1" si="14"/>
        <v>0</v>
      </c>
      <c r="P34" s="212">
        <f t="shared" ca="1" si="14"/>
        <v>0</v>
      </c>
      <c r="Q34" s="212">
        <f t="shared" ca="1" si="14"/>
        <v>0</v>
      </c>
      <c r="R34" s="212">
        <f t="shared" ca="1" si="14"/>
        <v>0</v>
      </c>
      <c r="S34" s="212">
        <f t="shared" ca="1" si="14"/>
        <v>0</v>
      </c>
      <c r="T34" s="212">
        <f t="shared" ca="1" si="14"/>
        <v>0</v>
      </c>
      <c r="U34" s="212">
        <f t="shared" ca="1" si="14"/>
        <v>0</v>
      </c>
      <c r="V34" s="212">
        <f t="shared" ca="1" si="14"/>
        <v>0</v>
      </c>
      <c r="W34" s="212">
        <f t="shared" ca="1" si="14"/>
        <v>0</v>
      </c>
      <c r="X34" s="212">
        <f t="shared" ca="1" si="14"/>
        <v>0</v>
      </c>
      <c r="Y34" s="212">
        <f t="shared" ca="1" si="14"/>
        <v>0</v>
      </c>
      <c r="Z34" s="212">
        <f t="shared" ca="1" si="14"/>
        <v>0</v>
      </c>
      <c r="AA34" s="212">
        <f t="shared" ca="1" si="14"/>
        <v>0</v>
      </c>
      <c r="AB34" s="212">
        <f t="shared" ca="1" si="14"/>
        <v>0</v>
      </c>
      <c r="AC34" s="212">
        <f t="shared" ca="1" si="14"/>
        <v>0</v>
      </c>
      <c r="AD34" s="212">
        <f t="shared" ca="1" si="14"/>
        <v>0</v>
      </c>
      <c r="AE34" s="212">
        <f t="shared" ca="1" si="14"/>
        <v>0</v>
      </c>
      <c r="AF34" s="212">
        <f t="shared" ca="1" si="14"/>
        <v>0</v>
      </c>
      <c r="AG34" s="212">
        <f t="shared" ca="1" si="14"/>
        <v>0</v>
      </c>
      <c r="AH34" s="212">
        <f t="shared" ca="1" si="14"/>
        <v>0</v>
      </c>
      <c r="AI34" s="212">
        <f t="shared" ca="1" si="14"/>
        <v>0</v>
      </c>
      <c r="AJ34" s="212">
        <f t="shared" ca="1" si="14"/>
        <v>0</v>
      </c>
      <c r="AK34" s="212">
        <f t="shared" ca="1" si="14"/>
        <v>0</v>
      </c>
      <c r="AL34" s="212">
        <f t="shared" ca="1" si="14"/>
        <v>0</v>
      </c>
      <c r="AM34" s="212">
        <f t="shared" ca="1" si="14"/>
        <v>0</v>
      </c>
      <c r="AN34" s="212">
        <f t="shared" ca="1" si="14"/>
        <v>0</v>
      </c>
      <c r="AO34" s="212">
        <f t="shared" ca="1" si="14"/>
        <v>1.6239781956947853E-2</v>
      </c>
      <c r="AP34" s="212">
        <f t="shared" ca="1" si="14"/>
        <v>0</v>
      </c>
      <c r="AQ34" s="212">
        <f t="shared" ca="1" si="14"/>
        <v>0</v>
      </c>
      <c r="AR34" s="212">
        <f t="shared" ca="1" si="14"/>
        <v>0</v>
      </c>
      <c r="AS34" s="212">
        <f t="shared" ca="1" si="14"/>
        <v>0</v>
      </c>
      <c r="AT34" s="212">
        <f t="shared" ca="1" si="14"/>
        <v>0</v>
      </c>
    </row>
    <row r="35" spans="1:50" ht="15.75" customHeight="1" x14ac:dyDescent="0.3">
      <c r="A35" s="13"/>
      <c r="B35" s="13"/>
      <c r="C35" s="13"/>
      <c r="D35" s="19"/>
      <c r="E35" s="8"/>
      <c r="F35" s="8"/>
      <c r="G35" s="30"/>
      <c r="H35" s="8"/>
      <c r="I35" s="52"/>
      <c r="J35" s="52"/>
      <c r="K35" s="212">
        <f t="shared" ref="K35:AT35" ca="1" si="15">IF(K33&lt;0,1,0)</f>
        <v>1</v>
      </c>
      <c r="L35" s="212">
        <f t="shared" ca="1" si="15"/>
        <v>1</v>
      </c>
      <c r="M35" s="212">
        <f t="shared" ca="1" si="15"/>
        <v>1</v>
      </c>
      <c r="N35" s="212">
        <f t="shared" ca="1" si="15"/>
        <v>1</v>
      </c>
      <c r="O35" s="212">
        <f t="shared" ca="1" si="15"/>
        <v>1</v>
      </c>
      <c r="P35" s="212">
        <f t="shared" ca="1" si="15"/>
        <v>1</v>
      </c>
      <c r="Q35" s="212">
        <f t="shared" ca="1" si="15"/>
        <v>1</v>
      </c>
      <c r="R35" s="212">
        <f t="shared" ca="1" si="15"/>
        <v>1</v>
      </c>
      <c r="S35" s="212">
        <f t="shared" ca="1" si="15"/>
        <v>1</v>
      </c>
      <c r="T35" s="212">
        <f t="shared" ca="1" si="15"/>
        <v>1</v>
      </c>
      <c r="U35" s="212">
        <f t="shared" ca="1" si="15"/>
        <v>1</v>
      </c>
      <c r="V35" s="212">
        <f t="shared" ca="1" si="15"/>
        <v>1</v>
      </c>
      <c r="W35" s="212">
        <f t="shared" ca="1" si="15"/>
        <v>1</v>
      </c>
      <c r="X35" s="212">
        <f t="shared" ca="1" si="15"/>
        <v>1</v>
      </c>
      <c r="Y35" s="212">
        <f t="shared" ca="1" si="15"/>
        <v>1</v>
      </c>
      <c r="Z35" s="212">
        <f t="shared" ca="1" si="15"/>
        <v>1</v>
      </c>
      <c r="AA35" s="212">
        <f t="shared" ca="1" si="15"/>
        <v>1</v>
      </c>
      <c r="AB35" s="212">
        <f t="shared" ca="1" si="15"/>
        <v>1</v>
      </c>
      <c r="AC35" s="212">
        <f t="shared" ca="1" si="15"/>
        <v>1</v>
      </c>
      <c r="AD35" s="212">
        <f t="shared" ca="1" si="15"/>
        <v>1</v>
      </c>
      <c r="AE35" s="212">
        <f t="shared" ca="1" si="15"/>
        <v>1</v>
      </c>
      <c r="AF35" s="212">
        <f t="shared" ca="1" si="15"/>
        <v>1</v>
      </c>
      <c r="AG35" s="212">
        <f t="shared" ca="1" si="15"/>
        <v>1</v>
      </c>
      <c r="AH35" s="212">
        <f t="shared" ca="1" si="15"/>
        <v>1</v>
      </c>
      <c r="AI35" s="212">
        <f t="shared" ca="1" si="15"/>
        <v>1</v>
      </c>
      <c r="AJ35" s="212">
        <f t="shared" ca="1" si="15"/>
        <v>1</v>
      </c>
      <c r="AK35" s="212">
        <f t="shared" ca="1" si="15"/>
        <v>1</v>
      </c>
      <c r="AL35" s="212">
        <f t="shared" ca="1" si="15"/>
        <v>1</v>
      </c>
      <c r="AM35" s="212">
        <f t="shared" ca="1" si="15"/>
        <v>1</v>
      </c>
      <c r="AN35" s="212">
        <f t="shared" ca="1" si="15"/>
        <v>1</v>
      </c>
      <c r="AO35" s="212">
        <f t="shared" ca="1" si="15"/>
        <v>0</v>
      </c>
      <c r="AP35" s="212">
        <f t="shared" ca="1" si="15"/>
        <v>0</v>
      </c>
      <c r="AQ35" s="212">
        <f t="shared" ca="1" si="15"/>
        <v>0</v>
      </c>
      <c r="AR35" s="212">
        <f t="shared" ca="1" si="15"/>
        <v>0</v>
      </c>
      <c r="AS35" s="212">
        <f t="shared" ca="1" si="15"/>
        <v>0</v>
      </c>
      <c r="AT35" s="212">
        <f t="shared" ca="1" si="15"/>
        <v>0</v>
      </c>
    </row>
    <row r="36" spans="1:50" ht="15.75" customHeight="1" x14ac:dyDescent="0.3">
      <c r="A36" s="13"/>
      <c r="B36" s="13"/>
      <c r="C36" s="13"/>
      <c r="D36" s="104" t="s">
        <v>180</v>
      </c>
      <c r="E36" s="105"/>
      <c r="F36" s="105"/>
      <c r="G36" s="106"/>
      <c r="H36" s="105"/>
      <c r="I36" s="105"/>
      <c r="J36" s="41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60"/>
      <c r="AV36" s="160"/>
      <c r="AW36" s="160"/>
      <c r="AX36" s="160"/>
    </row>
    <row r="37" spans="1:50" ht="15.75" customHeight="1" outlineLevel="1" x14ac:dyDescent="0.3">
      <c r="A37" s="13"/>
      <c r="B37" s="13"/>
      <c r="C37" s="13"/>
      <c r="D37" s="56" t="s">
        <v>176</v>
      </c>
      <c r="E37" s="7"/>
      <c r="F37" s="67"/>
      <c r="G37" s="40"/>
      <c r="H37" s="42"/>
      <c r="I37" s="67"/>
      <c r="J37" s="6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</row>
    <row r="38" spans="1:50" ht="15.75" customHeight="1" outlineLevel="1" x14ac:dyDescent="0.3">
      <c r="A38" s="13"/>
      <c r="B38" s="13"/>
      <c r="C38" s="13"/>
      <c r="D38" s="6" t="s">
        <v>181</v>
      </c>
      <c r="E38" s="7" t="s">
        <v>27</v>
      </c>
      <c r="F38" s="67"/>
      <c r="G38" s="40"/>
      <c r="H38" s="599">
        <f ca="1">(1+IRR(K12:AT12))^12-1</f>
        <v>0.35676880473661421</v>
      </c>
      <c r="I38" s="67"/>
      <c r="J38" s="6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</row>
    <row r="39" spans="1:50" ht="15.75" customHeight="1" outlineLevel="1" x14ac:dyDescent="0.4">
      <c r="A39" s="13"/>
      <c r="B39" s="13"/>
      <c r="C39" s="13"/>
      <c r="D39" s="6"/>
      <c r="E39" s="7"/>
      <c r="F39" s="67"/>
      <c r="G39" s="40"/>
      <c r="H39" s="213"/>
      <c r="I39" s="67"/>
      <c r="J39" s="6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</row>
    <row r="40" spans="1:50" ht="15.75" customHeight="1" outlineLevel="1" x14ac:dyDescent="0.3">
      <c r="A40" s="13"/>
      <c r="B40" s="13"/>
      <c r="C40" s="13"/>
      <c r="D40" s="56" t="s">
        <v>179</v>
      </c>
      <c r="E40" s="7"/>
      <c r="F40" s="68"/>
      <c r="G40" s="40"/>
      <c r="H40" s="42"/>
      <c r="I40" s="68"/>
      <c r="J40" s="68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</row>
    <row r="41" spans="1:50" ht="15.75" customHeight="1" outlineLevel="1" x14ac:dyDescent="0.3">
      <c r="A41" s="13"/>
      <c r="B41" s="13"/>
      <c r="C41" s="13"/>
      <c r="D41" s="6" t="s">
        <v>181</v>
      </c>
      <c r="E41" s="7" t="s">
        <v>27</v>
      </c>
      <c r="F41" s="67"/>
      <c r="G41" s="40"/>
      <c r="H41" s="599">
        <f ca="1">(1+IRR(K15:AT15))^12-1</f>
        <v>0.37896820134332976</v>
      </c>
      <c r="I41" s="67"/>
      <c r="J41" s="6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</row>
    <row r="42" spans="1:50" ht="15.75" customHeight="1" x14ac:dyDescent="0.3">
      <c r="A42" s="13"/>
      <c r="B42" s="13"/>
      <c r="C42" s="13"/>
      <c r="D42" s="62"/>
      <c r="E42" s="63"/>
      <c r="F42" s="64"/>
      <c r="G42" s="65"/>
      <c r="H42" s="66"/>
      <c r="I42" s="64"/>
      <c r="J42" s="6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</row>
    <row r="43" spans="1:50" ht="15.75" customHeight="1" x14ac:dyDescent="0.3">
      <c r="A43" s="13"/>
      <c r="B43" s="13"/>
      <c r="C43" s="13"/>
      <c r="D43" s="104" t="s">
        <v>182</v>
      </c>
      <c r="E43" s="105"/>
      <c r="F43" s="105"/>
      <c r="G43" s="106"/>
      <c r="H43" s="105"/>
      <c r="I43" s="105"/>
      <c r="J43" s="41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60"/>
      <c r="AV43" s="160"/>
      <c r="AW43" s="160"/>
      <c r="AX43" s="160"/>
    </row>
    <row r="44" spans="1:50" ht="15.75" customHeight="1" outlineLevel="1" x14ac:dyDescent="0.3">
      <c r="A44" s="13"/>
      <c r="B44" s="13"/>
      <c r="C44" s="13"/>
      <c r="D44" s="56" t="s">
        <v>176</v>
      </c>
      <c r="E44" s="7"/>
      <c r="F44" s="67"/>
      <c r="G44" s="40"/>
      <c r="H44" s="42"/>
      <c r="I44" s="67"/>
      <c r="J44" s="6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</row>
    <row r="45" spans="1:50" ht="15.75" customHeight="1" outlineLevel="1" x14ac:dyDescent="0.3">
      <c r="A45" s="13"/>
      <c r="B45" s="13"/>
      <c r="C45" s="13"/>
      <c r="D45" s="6" t="s">
        <v>323</v>
      </c>
      <c r="E45" s="7" t="s">
        <v>63</v>
      </c>
      <c r="F45" s="67"/>
      <c r="G45" s="40"/>
      <c r="H45" s="597">
        <f ca="1">CF!H66</f>
        <v>241786280.62028769</v>
      </c>
      <c r="I45" s="67"/>
      <c r="J45" s="6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</row>
    <row r="46" spans="1:50" ht="15.75" customHeight="1" outlineLevel="1" x14ac:dyDescent="0.4">
      <c r="A46" s="13"/>
      <c r="B46" s="13"/>
      <c r="C46" s="13"/>
      <c r="D46" s="6"/>
      <c r="E46" s="7"/>
      <c r="F46" s="67"/>
      <c r="G46" s="40"/>
      <c r="H46" s="213"/>
      <c r="I46" s="67"/>
      <c r="J46" s="6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</row>
    <row r="47" spans="1:50" ht="15" customHeight="1" outlineLevel="1" x14ac:dyDescent="0.3">
      <c r="A47" s="13"/>
      <c r="B47" s="13"/>
      <c r="C47" s="13"/>
      <c r="D47" s="56" t="s">
        <v>179</v>
      </c>
      <c r="E47" s="7"/>
      <c r="F47" s="67"/>
      <c r="G47" s="40"/>
      <c r="H47" s="42"/>
      <c r="I47" s="67"/>
      <c r="J47" s="6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</row>
    <row r="48" spans="1:50" ht="15" customHeight="1" outlineLevel="1" x14ac:dyDescent="0.3">
      <c r="A48" s="13"/>
      <c r="B48" s="13"/>
      <c r="C48" s="13"/>
      <c r="D48" s="6" t="s">
        <v>324</v>
      </c>
      <c r="E48" s="7" t="s">
        <v>63</v>
      </c>
      <c r="F48" s="67"/>
      <c r="G48" s="40"/>
      <c r="H48" s="597">
        <f ca="1">CF!H109</f>
        <v>227880653.53242469</v>
      </c>
      <c r="I48" s="67"/>
      <c r="J48" s="6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</row>
    <row r="49" spans="1:50" ht="15.75" customHeight="1" outlineLevel="1" x14ac:dyDescent="0.4">
      <c r="A49" s="233"/>
      <c r="B49" s="233"/>
      <c r="C49" s="233"/>
      <c r="D49" s="217"/>
      <c r="E49" s="238"/>
      <c r="F49" s="263"/>
      <c r="G49" s="277"/>
      <c r="H49" s="518"/>
      <c r="I49" s="263"/>
      <c r="J49" s="263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</row>
    <row r="50" spans="1:50" ht="15.75" customHeight="1" x14ac:dyDescent="0.3">
      <c r="A50" s="19"/>
      <c r="B50" s="19"/>
      <c r="C50" s="19"/>
      <c r="D50" s="6"/>
      <c r="E50" s="7"/>
      <c r="F50" s="69"/>
      <c r="G50" s="40"/>
      <c r="H50" s="70"/>
      <c r="I50" s="69"/>
      <c r="J50" s="6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</row>
    <row r="51" spans="1:50" ht="15.75" customHeight="1" x14ac:dyDescent="0.3">
      <c r="A51" s="13"/>
      <c r="B51" s="13"/>
      <c r="C51" s="13"/>
      <c r="D51" s="104" t="s">
        <v>183</v>
      </c>
      <c r="E51" s="105"/>
      <c r="F51" s="105"/>
      <c r="G51" s="106"/>
      <c r="H51" s="105"/>
      <c r="I51" s="105"/>
      <c r="J51" s="41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60"/>
      <c r="AV51" s="160"/>
      <c r="AW51" s="160"/>
      <c r="AX51" s="160"/>
    </row>
    <row r="52" spans="1:50" ht="15" customHeight="1" x14ac:dyDescent="0.3">
      <c r="A52" s="13"/>
      <c r="B52" s="13"/>
      <c r="C52" s="13"/>
      <c r="D52" s="6"/>
      <c r="E52" s="7"/>
      <c r="F52" s="69"/>
      <c r="G52" s="40"/>
      <c r="H52" s="70"/>
      <c r="I52" s="69"/>
      <c r="J52" s="6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</row>
    <row r="53" spans="1:50" s="459" customFormat="1" ht="15.75" customHeight="1" x14ac:dyDescent="0.3">
      <c r="A53" s="453"/>
      <c r="B53" s="453"/>
      <c r="C53" s="453"/>
      <c r="D53" s="638"/>
      <c r="E53" s="638"/>
      <c r="F53" s="638"/>
      <c r="G53" s="638"/>
      <c r="H53" s="638"/>
      <c r="I53" s="364"/>
      <c r="J53" s="364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</row>
    <row r="54" spans="1:50" s="459" customFormat="1" ht="15.75" customHeight="1" x14ac:dyDescent="0.3">
      <c r="A54" s="362"/>
      <c r="B54" s="362"/>
      <c r="C54" s="362"/>
      <c r="D54" s="638"/>
      <c r="E54" s="638"/>
      <c r="F54" s="638"/>
      <c r="G54" s="638"/>
      <c r="H54" s="638"/>
      <c r="I54" s="364"/>
      <c r="J54" s="364"/>
      <c r="K54" s="454"/>
      <c r="L54" s="454"/>
      <c r="M54" s="454"/>
      <c r="N54" s="454"/>
      <c r="O54" s="454"/>
      <c r="P54" s="454"/>
      <c r="Q54" s="454"/>
      <c r="R54" s="454"/>
      <c r="S54" s="454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</row>
    <row r="55" spans="1:50" s="459" customFormat="1" ht="16.95" customHeight="1" x14ac:dyDescent="0.3">
      <c r="A55" s="453"/>
      <c r="B55" s="453"/>
      <c r="C55" s="453"/>
      <c r="D55" s="638"/>
      <c r="E55" s="638"/>
      <c r="F55" s="638"/>
      <c r="G55" s="638"/>
      <c r="H55" s="638"/>
      <c r="I55" s="364"/>
      <c r="J55" s="364"/>
      <c r="K55" s="454"/>
      <c r="L55" s="454"/>
      <c r="M55" s="454"/>
      <c r="N55" s="454"/>
      <c r="O55" s="454"/>
      <c r="P55" s="454"/>
      <c r="Q55" s="454"/>
      <c r="R55" s="454"/>
      <c r="S55" s="454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</row>
    <row r="56" spans="1:50" s="459" customFormat="1" ht="25.95" customHeight="1" x14ac:dyDescent="0.3">
      <c r="A56" s="453"/>
      <c r="B56" s="453"/>
      <c r="C56" s="453"/>
      <c r="D56" s="638"/>
      <c r="E56" s="638"/>
      <c r="F56" s="638"/>
      <c r="G56" s="638"/>
      <c r="H56" s="638"/>
      <c r="I56" s="364"/>
      <c r="J56" s="364"/>
      <c r="K56" s="454"/>
      <c r="L56" s="454"/>
      <c r="M56" s="454"/>
      <c r="N56" s="454"/>
      <c r="O56" s="454"/>
      <c r="P56" s="454"/>
      <c r="Q56" s="454"/>
      <c r="R56" s="454"/>
      <c r="S56" s="454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</row>
    <row r="57" spans="1:50" s="459" customFormat="1" ht="25.95" customHeight="1" x14ac:dyDescent="0.3">
      <c r="A57" s="453"/>
      <c r="B57" s="453"/>
      <c r="C57" s="453"/>
      <c r="D57" s="638"/>
      <c r="E57" s="638"/>
      <c r="F57" s="638"/>
      <c r="G57" s="638"/>
      <c r="H57" s="638"/>
      <c r="I57" s="364"/>
      <c r="J57" s="36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</row>
    <row r="58" spans="1:50" s="459" customFormat="1" ht="25.95" customHeight="1" x14ac:dyDescent="0.3">
      <c r="A58" s="453"/>
      <c r="B58" s="453"/>
      <c r="C58" s="453"/>
      <c r="D58" s="638"/>
      <c r="E58" s="638"/>
      <c r="F58" s="638"/>
      <c r="G58" s="638"/>
      <c r="H58" s="638"/>
      <c r="I58" s="364"/>
      <c r="J58" s="36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</row>
    <row r="59" spans="1:50" s="459" customFormat="1" ht="25.95" customHeight="1" x14ac:dyDescent="0.3">
      <c r="A59" s="362"/>
      <c r="B59" s="453"/>
      <c r="C59" s="453"/>
      <c r="D59" s="638"/>
      <c r="E59" s="638"/>
      <c r="F59" s="638"/>
      <c r="G59" s="638"/>
      <c r="H59" s="638"/>
      <c r="I59" s="364"/>
      <c r="J59" s="364"/>
      <c r="K59" s="454"/>
      <c r="L59" s="454"/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</row>
    <row r="60" spans="1:50" s="459" customFormat="1" ht="10.1" customHeight="1" x14ac:dyDescent="0.3">
      <c r="A60" s="453"/>
      <c r="B60" s="453"/>
      <c r="C60" s="453"/>
      <c r="D60" s="638"/>
      <c r="E60" s="638"/>
      <c r="F60" s="638"/>
      <c r="G60" s="638"/>
      <c r="H60" s="638"/>
      <c r="I60" s="364"/>
      <c r="J60" s="364"/>
      <c r="K60" s="454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</row>
    <row r="61" spans="1:50" s="459" customFormat="1" ht="15.75" customHeight="1" x14ac:dyDescent="0.3">
      <c r="A61" s="453"/>
      <c r="B61" s="453"/>
      <c r="C61" s="453"/>
      <c r="D61" s="638"/>
      <c r="E61" s="638"/>
      <c r="F61" s="638"/>
      <c r="G61" s="638"/>
      <c r="H61" s="638"/>
      <c r="I61" s="364"/>
      <c r="J61" s="364"/>
      <c r="K61" s="454"/>
      <c r="L61" s="454"/>
      <c r="M61" s="454"/>
      <c r="N61" s="454"/>
      <c r="O61" s="454"/>
      <c r="P61" s="454"/>
      <c r="Q61" s="454"/>
      <c r="R61" s="454"/>
      <c r="S61" s="454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</row>
    <row r="62" spans="1:50" s="459" customFormat="1" ht="15.75" customHeight="1" x14ac:dyDescent="0.3">
      <c r="A62" s="453"/>
      <c r="B62" s="453"/>
      <c r="C62" s="453"/>
      <c r="D62" s="638"/>
      <c r="E62" s="638"/>
      <c r="F62" s="638"/>
      <c r="G62" s="638"/>
      <c r="H62" s="638"/>
      <c r="I62" s="364"/>
      <c r="J62" s="364"/>
      <c r="K62" s="454"/>
      <c r="L62" s="454"/>
      <c r="M62" s="454"/>
      <c r="N62" s="454"/>
      <c r="O62" s="454"/>
      <c r="P62" s="454"/>
      <c r="Q62" s="454"/>
      <c r="R62" s="454"/>
      <c r="S62" s="454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</row>
    <row r="63" spans="1:50" s="459" customFormat="1" ht="15" customHeight="1" x14ac:dyDescent="0.3">
      <c r="A63" s="453"/>
      <c r="B63" s="453"/>
      <c r="C63" s="453"/>
      <c r="D63" s="638"/>
      <c r="E63" s="638"/>
      <c r="F63" s="638"/>
      <c r="G63" s="638"/>
      <c r="H63" s="638"/>
      <c r="I63" s="363"/>
      <c r="J63" s="363"/>
      <c r="K63" s="601"/>
      <c r="L63" s="601"/>
      <c r="M63" s="601"/>
      <c r="N63" s="601"/>
      <c r="O63" s="601"/>
      <c r="P63" s="601"/>
      <c r="Q63" s="601"/>
      <c r="R63" s="601"/>
      <c r="S63" s="601"/>
      <c r="T63" s="601"/>
      <c r="U63" s="601"/>
      <c r="V63" s="601"/>
      <c r="W63" s="601"/>
      <c r="X63" s="601"/>
      <c r="Y63" s="601"/>
      <c r="Z63" s="601"/>
      <c r="AA63" s="601"/>
      <c r="AB63" s="601"/>
      <c r="AC63" s="601"/>
      <c r="AD63" s="601"/>
      <c r="AE63" s="601"/>
      <c r="AF63" s="601"/>
      <c r="AG63" s="601"/>
      <c r="AH63" s="601"/>
      <c r="AI63" s="601"/>
      <c r="AJ63" s="601"/>
      <c r="AK63" s="601"/>
      <c r="AL63" s="601"/>
      <c r="AM63" s="601"/>
      <c r="AN63" s="601"/>
      <c r="AO63" s="601"/>
      <c r="AP63" s="601"/>
      <c r="AQ63" s="601"/>
      <c r="AR63" s="601"/>
      <c r="AS63" s="601"/>
      <c r="AT63" s="601"/>
    </row>
    <row r="64" spans="1:50" s="459" customFormat="1" ht="15.75" customHeight="1" x14ac:dyDescent="0.3">
      <c r="A64" s="453"/>
      <c r="B64" s="453"/>
      <c r="C64" s="453"/>
      <c r="D64" s="638"/>
      <c r="E64" s="638"/>
      <c r="F64" s="638"/>
      <c r="G64" s="638"/>
      <c r="H64" s="638"/>
      <c r="I64" s="363"/>
      <c r="J64" s="363"/>
      <c r="K64" s="601"/>
      <c r="L64" s="601"/>
      <c r="M64" s="601"/>
      <c r="N64" s="601"/>
      <c r="O64" s="601"/>
      <c r="P64" s="601"/>
      <c r="Q64" s="601"/>
      <c r="R64" s="601"/>
      <c r="S64" s="601"/>
      <c r="T64" s="601"/>
      <c r="U64" s="601"/>
      <c r="V64" s="601"/>
      <c r="W64" s="601"/>
      <c r="X64" s="601"/>
      <c r="Y64" s="601"/>
      <c r="Z64" s="601"/>
      <c r="AA64" s="601"/>
      <c r="AB64" s="601"/>
      <c r="AC64" s="601"/>
      <c r="AD64" s="601"/>
      <c r="AE64" s="601"/>
      <c r="AF64" s="601"/>
      <c r="AG64" s="601"/>
      <c r="AH64" s="601"/>
      <c r="AI64" s="601"/>
      <c r="AJ64" s="601"/>
      <c r="AK64" s="601"/>
      <c r="AL64" s="601"/>
      <c r="AM64" s="601"/>
      <c r="AN64" s="601"/>
      <c r="AO64" s="601"/>
      <c r="AP64" s="601"/>
      <c r="AQ64" s="601"/>
      <c r="AR64" s="601"/>
      <c r="AS64" s="601"/>
      <c r="AT64" s="601"/>
    </row>
    <row r="65" spans="1:46" s="459" customFormat="1" ht="15.75" customHeight="1" x14ac:dyDescent="0.3">
      <c r="A65" s="453"/>
      <c r="B65" s="453"/>
      <c r="C65" s="453"/>
      <c r="D65" s="638"/>
      <c r="E65" s="638"/>
      <c r="F65" s="638"/>
      <c r="G65" s="638"/>
      <c r="H65" s="638"/>
      <c r="I65" s="363"/>
      <c r="J65" s="363"/>
      <c r="K65" s="601"/>
      <c r="L65" s="601"/>
      <c r="M65" s="601"/>
      <c r="N65" s="601"/>
      <c r="O65" s="601"/>
      <c r="P65" s="601"/>
      <c r="Q65" s="601"/>
      <c r="R65" s="601"/>
      <c r="S65" s="601"/>
      <c r="T65" s="601"/>
      <c r="U65" s="601"/>
      <c r="V65" s="601"/>
      <c r="W65" s="601"/>
      <c r="X65" s="601"/>
      <c r="Y65" s="601"/>
      <c r="Z65" s="601"/>
      <c r="AA65" s="601"/>
      <c r="AB65" s="601"/>
      <c r="AC65" s="601"/>
      <c r="AD65" s="601"/>
      <c r="AE65" s="601"/>
      <c r="AF65" s="601"/>
      <c r="AG65" s="601"/>
      <c r="AH65" s="601"/>
      <c r="AI65" s="601"/>
      <c r="AJ65" s="601"/>
      <c r="AK65" s="601"/>
      <c r="AL65" s="601"/>
      <c r="AM65" s="601"/>
      <c r="AN65" s="601"/>
      <c r="AO65" s="601"/>
      <c r="AP65" s="601"/>
      <c r="AQ65" s="601"/>
      <c r="AR65" s="601"/>
      <c r="AS65" s="601"/>
      <c r="AT65" s="601"/>
    </row>
    <row r="66" spans="1:46" s="459" customFormat="1" ht="15.75" customHeight="1" x14ac:dyDescent="0.3">
      <c r="A66" s="453"/>
      <c r="B66" s="453"/>
      <c r="C66" s="453"/>
      <c r="D66" s="638"/>
      <c r="E66" s="638"/>
      <c r="F66" s="638"/>
      <c r="G66" s="638"/>
      <c r="H66" s="638"/>
      <c r="I66" s="363"/>
      <c r="J66" s="363"/>
      <c r="K66" s="601"/>
      <c r="L66" s="601"/>
      <c r="M66" s="601"/>
      <c r="N66" s="601"/>
      <c r="O66" s="601"/>
      <c r="P66" s="601"/>
      <c r="Q66" s="601"/>
      <c r="R66" s="601"/>
      <c r="S66" s="601"/>
      <c r="T66" s="601"/>
      <c r="U66" s="601"/>
      <c r="V66" s="601"/>
      <c r="W66" s="601"/>
      <c r="X66" s="601"/>
      <c r="Y66" s="601"/>
      <c r="Z66" s="601"/>
      <c r="AA66" s="601"/>
      <c r="AB66" s="601"/>
      <c r="AC66" s="601"/>
      <c r="AD66" s="601"/>
      <c r="AE66" s="601"/>
      <c r="AF66" s="601"/>
      <c r="AG66" s="601"/>
      <c r="AH66" s="601"/>
      <c r="AI66" s="601"/>
      <c r="AJ66" s="601"/>
      <c r="AK66" s="601"/>
      <c r="AL66" s="601"/>
      <c r="AM66" s="601"/>
      <c r="AN66" s="601"/>
      <c r="AO66" s="601"/>
      <c r="AP66" s="601"/>
      <c r="AQ66" s="601"/>
      <c r="AR66" s="601"/>
      <c r="AS66" s="601"/>
      <c r="AT66" s="601"/>
    </row>
    <row r="67" spans="1:46" s="459" customFormat="1" ht="15.75" customHeight="1" x14ac:dyDescent="0.3">
      <c r="A67" s="453"/>
      <c r="B67" s="453"/>
      <c r="C67" s="453"/>
      <c r="D67" s="602"/>
      <c r="E67" s="603"/>
      <c r="F67" s="603"/>
      <c r="G67" s="604"/>
      <c r="H67" s="605"/>
      <c r="I67" s="363"/>
      <c r="J67" s="363"/>
      <c r="K67" s="601"/>
      <c r="L67" s="601"/>
      <c r="M67" s="601"/>
      <c r="N67" s="601"/>
      <c r="O67" s="601"/>
      <c r="P67" s="601"/>
      <c r="Q67" s="601"/>
      <c r="R67" s="601"/>
      <c r="S67" s="601"/>
      <c r="T67" s="601"/>
      <c r="U67" s="601"/>
      <c r="V67" s="601"/>
      <c r="W67" s="601"/>
      <c r="X67" s="601"/>
      <c r="Y67" s="601"/>
      <c r="Z67" s="601"/>
      <c r="AA67" s="601"/>
      <c r="AB67" s="601"/>
      <c r="AC67" s="601"/>
      <c r="AD67" s="601"/>
      <c r="AE67" s="601"/>
      <c r="AF67" s="601"/>
      <c r="AG67" s="601"/>
      <c r="AH67" s="601"/>
      <c r="AI67" s="601"/>
      <c r="AJ67" s="601"/>
      <c r="AK67" s="601"/>
      <c r="AL67" s="601"/>
      <c r="AM67" s="601"/>
      <c r="AN67" s="601"/>
      <c r="AO67" s="601"/>
      <c r="AP67" s="601"/>
      <c r="AQ67" s="601"/>
      <c r="AR67" s="601"/>
      <c r="AS67" s="601"/>
      <c r="AT67" s="601"/>
    </row>
    <row r="68" spans="1:46" s="419" customFormat="1" ht="15.75" customHeight="1" x14ac:dyDescent="0.3">
      <c r="A68" s="233"/>
      <c r="B68" s="233"/>
      <c r="C68" s="233"/>
      <c r="D68" s="420"/>
      <c r="E68" s="502"/>
      <c r="F68" s="502"/>
      <c r="G68" s="218"/>
      <c r="H68" s="606"/>
      <c r="I68" s="238"/>
      <c r="J68" s="238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6"/>
      <c r="AA68" s="606"/>
      <c r="AB68" s="606"/>
      <c r="AC68" s="606"/>
      <c r="AD68" s="606"/>
      <c r="AE68" s="606"/>
      <c r="AF68" s="606"/>
      <c r="AG68" s="606"/>
      <c r="AH68" s="606"/>
      <c r="AI68" s="606"/>
      <c r="AJ68" s="606"/>
      <c r="AK68" s="606"/>
      <c r="AL68" s="606"/>
      <c r="AM68" s="606"/>
      <c r="AN68" s="606"/>
      <c r="AO68" s="606"/>
      <c r="AP68" s="606"/>
      <c r="AQ68" s="606"/>
      <c r="AR68" s="606"/>
      <c r="AS68" s="606"/>
      <c r="AT68" s="606"/>
    </row>
    <row r="69" spans="1:46" ht="15.75" customHeight="1" x14ac:dyDescent="0.3">
      <c r="A69" s="13"/>
      <c r="B69" s="13"/>
      <c r="C69" s="13"/>
      <c r="D69" s="19"/>
      <c r="E69" s="8"/>
      <c r="F69" s="8"/>
      <c r="G69" s="43"/>
      <c r="H69" s="88"/>
      <c r="I69" s="7"/>
      <c r="J69" s="7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</row>
    <row r="70" spans="1:46" ht="15.75" customHeight="1" x14ac:dyDescent="0.3">
      <c r="A70" s="13"/>
      <c r="B70" s="13"/>
      <c r="C70" s="13"/>
      <c r="D70" s="19"/>
      <c r="E70" s="8"/>
      <c r="F70" s="8"/>
      <c r="G70" s="43"/>
      <c r="H70" s="88"/>
      <c r="I70" s="7"/>
      <c r="J70" s="7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</row>
    <row r="71" spans="1:46" ht="15.75" customHeight="1" x14ac:dyDescent="0.3">
      <c r="A71" s="13"/>
      <c r="B71" s="13"/>
      <c r="C71" s="13"/>
      <c r="D71" s="56"/>
      <c r="E71" s="39"/>
      <c r="F71" s="39"/>
      <c r="G71" s="8"/>
      <c r="H71" s="88"/>
      <c r="I71" s="7"/>
      <c r="J71" s="7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</row>
    <row r="72" spans="1:46" ht="15.75" customHeight="1" x14ac:dyDescent="0.3">
      <c r="A72" s="13"/>
      <c r="B72" s="13"/>
      <c r="C72" s="13"/>
      <c r="D72" s="19"/>
      <c r="E72" s="8"/>
      <c r="F72" s="8"/>
      <c r="G72" s="101"/>
      <c r="H72" s="103"/>
      <c r="I72" s="7"/>
      <c r="J72" s="7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2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2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</row>
    <row r="73" spans="1:46" ht="15.75" customHeight="1" x14ac:dyDescent="0.3">
      <c r="A73" s="13"/>
      <c r="B73" s="13"/>
      <c r="C73" s="13"/>
      <c r="D73" s="19"/>
      <c r="E73" s="8"/>
      <c r="F73" s="8"/>
      <c r="G73" s="101"/>
      <c r="H73" s="103"/>
      <c r="I73" s="7"/>
      <c r="J73" s="7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2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2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</row>
    <row r="74" spans="1:46" ht="15.75" customHeight="1" x14ac:dyDescent="0.3">
      <c r="A74" s="13"/>
      <c r="B74" s="13"/>
      <c r="C74" s="13"/>
      <c r="D74" s="56"/>
      <c r="E74" s="8"/>
      <c r="F74" s="8"/>
      <c r="G74" s="8"/>
      <c r="H74" s="103"/>
      <c r="I74" s="7"/>
      <c r="J74" s="7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2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2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</row>
    <row r="75" spans="1:46" ht="15.75" customHeight="1" x14ac:dyDescent="0.3">
      <c r="A75" s="13"/>
      <c r="B75" s="13"/>
      <c r="C75" s="13"/>
      <c r="D75" s="19"/>
      <c r="E75" s="8"/>
      <c r="F75" s="8"/>
      <c r="G75" s="101"/>
      <c r="H75" s="103"/>
      <c r="I75" s="7"/>
      <c r="J75" s="7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2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2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</row>
    <row r="76" spans="1:46" ht="15.75" customHeight="1" x14ac:dyDescent="0.3">
      <c r="A76" s="13"/>
      <c r="B76" s="13"/>
      <c r="C76" s="13"/>
      <c r="D76" s="19"/>
      <c r="E76" s="8"/>
      <c r="F76" s="8"/>
      <c r="G76" s="101"/>
      <c r="H76" s="103"/>
      <c r="I76" s="7"/>
      <c r="J76" s="7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2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2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</row>
    <row r="77" spans="1:46" ht="15.75" customHeight="1" x14ac:dyDescent="0.3">
      <c r="A77" s="13"/>
      <c r="B77" s="13"/>
      <c r="C77" s="13"/>
      <c r="D77" s="124"/>
      <c r="E77" s="126"/>
      <c r="F77" s="126"/>
      <c r="G77" s="128"/>
      <c r="H77" s="103"/>
      <c r="I77" s="7"/>
      <c r="J77" s="7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9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9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</row>
    <row r="78" spans="1:46" ht="15.75" customHeight="1" x14ac:dyDescent="0.3">
      <c r="A78" s="13"/>
      <c r="B78" s="13"/>
      <c r="C78" s="13"/>
      <c r="D78" s="6"/>
      <c r="E78" s="8"/>
      <c r="F78" s="8"/>
      <c r="G78" s="8"/>
      <c r="H78" s="8"/>
      <c r="I78" s="7"/>
      <c r="J78" s="7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5.75" customHeight="1" x14ac:dyDescent="0.3">
      <c r="A79" s="13"/>
      <c r="B79" s="13"/>
      <c r="C79" s="13"/>
      <c r="D79" s="6"/>
      <c r="E79" s="8"/>
      <c r="F79" s="8"/>
      <c r="G79" s="8"/>
      <c r="H79" s="8"/>
      <c r="I79" s="7"/>
      <c r="J79" s="7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5.75" customHeight="1" x14ac:dyDescent="0.3">
      <c r="A80" s="13"/>
      <c r="B80" s="13"/>
      <c r="C80" s="13"/>
      <c r="D80" s="6"/>
      <c r="E80" s="8"/>
      <c r="F80" s="8"/>
      <c r="G80" s="8"/>
      <c r="H80" s="8"/>
      <c r="I80" s="7"/>
      <c r="J80" s="7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5.75" customHeight="1" x14ac:dyDescent="0.3">
      <c r="A81" s="13"/>
      <c r="B81" s="13"/>
      <c r="C81" s="13"/>
      <c r="D81" s="6"/>
      <c r="E81" s="8"/>
      <c r="F81" s="8"/>
      <c r="G81" s="8"/>
      <c r="H81" s="8"/>
      <c r="I81" s="7"/>
      <c r="J81" s="7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5.75" customHeight="1" x14ac:dyDescent="0.3">
      <c r="A82" s="13"/>
      <c r="B82" s="13"/>
      <c r="C82" s="13"/>
      <c r="D82" s="6"/>
      <c r="E82" s="8"/>
      <c r="F82" s="8"/>
      <c r="G82" s="8"/>
      <c r="H82" s="8"/>
      <c r="I82" s="7"/>
      <c r="J82" s="7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5.75" customHeight="1" x14ac:dyDescent="0.3">
      <c r="A83" s="13"/>
      <c r="B83" s="13"/>
      <c r="C83" s="13"/>
      <c r="D83" s="6"/>
      <c r="E83" s="8"/>
      <c r="F83" s="8"/>
      <c r="G83" s="8"/>
      <c r="H83" s="8"/>
      <c r="I83" s="7"/>
      <c r="J83" s="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5.75" customHeight="1" x14ac:dyDescent="0.3">
      <c r="A84" s="13"/>
      <c r="B84" s="13"/>
      <c r="C84" s="13"/>
      <c r="D84" s="6"/>
      <c r="E84" s="8"/>
      <c r="F84" s="8"/>
      <c r="G84" s="8"/>
      <c r="H84" s="8"/>
      <c r="I84" s="7"/>
      <c r="J84" s="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5.75" customHeight="1" x14ac:dyDescent="0.3">
      <c r="A85" s="13"/>
      <c r="B85" s="13"/>
      <c r="C85" s="13"/>
      <c r="D85" s="6"/>
      <c r="E85" s="8"/>
      <c r="F85" s="8"/>
      <c r="G85" s="8"/>
      <c r="H85" s="8"/>
      <c r="I85" s="7"/>
      <c r="J85" s="7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5.75" customHeight="1" x14ac:dyDescent="0.3">
      <c r="A86" s="13"/>
      <c r="B86" s="13"/>
      <c r="C86" s="13"/>
      <c r="D86" s="6"/>
      <c r="E86" s="8"/>
      <c r="F86" s="8"/>
      <c r="G86" s="8"/>
      <c r="H86" s="8"/>
      <c r="I86" s="7"/>
      <c r="J86" s="7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5.75" customHeight="1" x14ac:dyDescent="0.3">
      <c r="A87" s="13"/>
      <c r="B87" s="13"/>
      <c r="C87" s="13"/>
      <c r="D87" s="6"/>
      <c r="E87" s="8"/>
      <c r="F87" s="8"/>
      <c r="G87" s="8"/>
      <c r="H87" s="8"/>
      <c r="I87" s="7"/>
      <c r="J87" s="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5.75" customHeight="1" x14ac:dyDescent="0.3">
      <c r="A88" s="13"/>
      <c r="B88" s="13"/>
      <c r="C88" s="13"/>
      <c r="D88" s="6"/>
      <c r="E88" s="8"/>
      <c r="F88" s="8"/>
      <c r="G88" s="8"/>
      <c r="H88" s="8"/>
      <c r="I88" s="7"/>
      <c r="J88" s="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5.75" customHeight="1" x14ac:dyDescent="0.3">
      <c r="A89" s="13"/>
      <c r="B89" s="13"/>
      <c r="C89" s="13"/>
      <c r="D89" s="6"/>
      <c r="E89" s="8"/>
      <c r="F89" s="8"/>
      <c r="G89" s="8"/>
      <c r="H89" s="8"/>
      <c r="I89" s="7"/>
      <c r="J89" s="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5.75" customHeight="1" x14ac:dyDescent="0.3">
      <c r="A90" s="13"/>
      <c r="B90" s="13"/>
      <c r="C90" s="13"/>
      <c r="D90" s="6"/>
      <c r="E90" s="8"/>
      <c r="F90" s="8"/>
      <c r="G90" s="8"/>
      <c r="H90" s="8"/>
      <c r="I90" s="7"/>
      <c r="J90" s="7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5.75" customHeight="1" x14ac:dyDescent="0.3">
      <c r="A91" s="13"/>
      <c r="B91" s="13"/>
      <c r="C91" s="13"/>
      <c r="D91" s="6"/>
      <c r="E91" s="8"/>
      <c r="F91" s="8"/>
      <c r="G91" s="8"/>
      <c r="H91" s="8"/>
      <c r="I91" s="7"/>
      <c r="J91" s="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5.75" customHeight="1" x14ac:dyDescent="0.3">
      <c r="A92" s="13"/>
      <c r="B92" s="13"/>
      <c r="C92" s="13"/>
      <c r="D92" s="6"/>
      <c r="E92" s="8"/>
      <c r="F92" s="8"/>
      <c r="G92" s="8"/>
      <c r="H92" s="8"/>
      <c r="I92" s="7"/>
      <c r="J92" s="7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5.75" customHeight="1" x14ac:dyDescent="0.3">
      <c r="A93" s="13"/>
      <c r="B93" s="13"/>
      <c r="C93" s="13"/>
      <c r="D93" s="6"/>
      <c r="E93" s="8"/>
      <c r="F93" s="8"/>
      <c r="G93" s="8"/>
      <c r="H93" s="8"/>
      <c r="I93" s="7"/>
      <c r="J93" s="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5.75" customHeight="1" x14ac:dyDescent="0.3">
      <c r="A94" s="13"/>
      <c r="B94" s="13"/>
      <c r="C94" s="13"/>
      <c r="D94" s="6"/>
      <c r="E94" s="8"/>
      <c r="F94" s="8"/>
      <c r="G94" s="8"/>
      <c r="H94" s="8"/>
      <c r="I94" s="7"/>
      <c r="J94" s="7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5.75" customHeight="1" x14ac:dyDescent="0.3">
      <c r="A95" s="13"/>
      <c r="B95" s="13"/>
      <c r="C95" s="13"/>
      <c r="D95" s="6"/>
      <c r="E95" s="8"/>
      <c r="F95" s="8"/>
      <c r="G95" s="8"/>
      <c r="H95" s="8"/>
      <c r="I95" s="7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5.75" customHeight="1" x14ac:dyDescent="0.3">
      <c r="A96" s="13"/>
      <c r="B96" s="13"/>
      <c r="C96" s="13"/>
      <c r="D96" s="6"/>
      <c r="E96" s="8"/>
      <c r="F96" s="8"/>
      <c r="G96" s="8"/>
      <c r="H96" s="8"/>
      <c r="I96" s="7"/>
      <c r="J96" s="7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5.75" customHeight="1" x14ac:dyDescent="0.3">
      <c r="A97" s="13"/>
      <c r="B97" s="13"/>
      <c r="C97" s="13"/>
      <c r="D97" s="6"/>
      <c r="E97" s="8"/>
      <c r="F97" s="8"/>
      <c r="G97" s="8"/>
      <c r="H97" s="8"/>
      <c r="I97" s="7"/>
      <c r="J97" s="7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5.75" customHeight="1" x14ac:dyDescent="0.3">
      <c r="A98" s="13"/>
      <c r="B98" s="13"/>
      <c r="C98" s="13"/>
      <c r="D98" s="6"/>
      <c r="E98" s="8"/>
      <c r="F98" s="8"/>
      <c r="G98" s="8"/>
      <c r="H98" s="8"/>
      <c r="I98" s="7"/>
      <c r="J98" s="7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5.75" customHeight="1" x14ac:dyDescent="0.3">
      <c r="A99" s="13"/>
      <c r="B99" s="13"/>
      <c r="C99" s="13"/>
      <c r="D99" s="6"/>
      <c r="E99" s="8"/>
      <c r="F99" s="8"/>
      <c r="G99" s="8"/>
      <c r="H99" s="8"/>
      <c r="I99" s="7"/>
      <c r="J99" s="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5.75" customHeight="1" x14ac:dyDescent="0.3">
      <c r="A100" s="13"/>
      <c r="B100" s="13"/>
      <c r="C100" s="13"/>
      <c r="D100" s="6"/>
      <c r="E100" s="8"/>
      <c r="F100" s="8"/>
      <c r="G100" s="8"/>
      <c r="H100" s="8"/>
      <c r="I100" s="7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5.75" customHeight="1" x14ac:dyDescent="0.3">
      <c r="A101" s="13"/>
      <c r="B101" s="13"/>
      <c r="C101" s="13"/>
      <c r="D101" s="6"/>
      <c r="E101" s="8"/>
      <c r="F101" s="8"/>
      <c r="G101" s="8"/>
      <c r="H101" s="8"/>
      <c r="I101" s="7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5.75" customHeight="1" x14ac:dyDescent="0.3">
      <c r="A102" s="13"/>
      <c r="B102" s="13"/>
      <c r="C102" s="13"/>
      <c r="D102" s="6"/>
      <c r="E102" s="8"/>
      <c r="F102" s="8"/>
      <c r="G102" s="8"/>
      <c r="H102" s="8"/>
      <c r="I102" s="7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5.75" customHeight="1" x14ac:dyDescent="0.3">
      <c r="A103" s="13"/>
      <c r="B103" s="13"/>
      <c r="C103" s="13"/>
      <c r="D103" s="6"/>
      <c r="E103" s="8"/>
      <c r="F103" s="8"/>
      <c r="G103" s="8"/>
      <c r="H103" s="8"/>
      <c r="I103" s="7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5.75" customHeight="1" x14ac:dyDescent="0.3">
      <c r="A104" s="13"/>
      <c r="B104" s="13"/>
      <c r="C104" s="13"/>
      <c r="D104" s="6"/>
      <c r="E104" s="8"/>
      <c r="F104" s="8"/>
      <c r="G104" s="8"/>
      <c r="H104" s="8"/>
      <c r="I104" s="7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5.75" customHeight="1" x14ac:dyDescent="0.3">
      <c r="A105" s="13"/>
      <c r="B105" s="13"/>
      <c r="C105" s="13"/>
      <c r="D105" s="6"/>
      <c r="E105" s="8"/>
      <c r="F105" s="8"/>
      <c r="G105" s="8"/>
      <c r="H105" s="8"/>
      <c r="I105" s="7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5.75" customHeight="1" x14ac:dyDescent="0.3">
      <c r="A106" s="13"/>
      <c r="B106" s="13"/>
      <c r="C106" s="13"/>
      <c r="D106" s="6"/>
      <c r="E106" s="8"/>
      <c r="F106" s="8"/>
      <c r="G106" s="8"/>
      <c r="H106" s="8"/>
      <c r="I106" s="7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5.75" customHeight="1" x14ac:dyDescent="0.3">
      <c r="A107" s="13"/>
      <c r="B107" s="13"/>
      <c r="C107" s="13"/>
      <c r="D107" s="6"/>
      <c r="E107" s="8"/>
      <c r="F107" s="8"/>
      <c r="G107" s="8"/>
      <c r="H107" s="8"/>
      <c r="I107" s="7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5.75" customHeight="1" x14ac:dyDescent="0.3">
      <c r="A108" s="13"/>
      <c r="B108" s="13"/>
      <c r="C108" s="13"/>
      <c r="D108" s="6"/>
      <c r="E108" s="8"/>
      <c r="F108" s="8"/>
      <c r="G108" s="8"/>
      <c r="H108" s="8"/>
      <c r="I108" s="7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5.75" customHeight="1" x14ac:dyDescent="0.3">
      <c r="A109" s="13"/>
      <c r="B109" s="13"/>
      <c r="C109" s="13"/>
      <c r="D109" s="6"/>
      <c r="E109" s="8"/>
      <c r="F109" s="8"/>
      <c r="G109" s="8"/>
      <c r="H109" s="8"/>
      <c r="I109" s="7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5.75" customHeight="1" x14ac:dyDescent="0.3">
      <c r="A110" s="13"/>
      <c r="B110" s="13"/>
      <c r="C110" s="13"/>
      <c r="D110" s="6"/>
      <c r="E110" s="8"/>
      <c r="F110" s="8"/>
      <c r="G110" s="8"/>
      <c r="H110" s="8"/>
      <c r="I110" s="7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5.75" customHeight="1" x14ac:dyDescent="0.3">
      <c r="A111" s="13"/>
      <c r="B111" s="13"/>
      <c r="C111" s="13"/>
      <c r="D111" s="6"/>
      <c r="E111" s="8"/>
      <c r="F111" s="8"/>
      <c r="G111" s="8"/>
      <c r="H111" s="8"/>
      <c r="I111" s="7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5.75" customHeight="1" x14ac:dyDescent="0.3">
      <c r="A112" s="13"/>
      <c r="B112" s="13"/>
      <c r="C112" s="13"/>
      <c r="D112" s="6"/>
      <c r="E112" s="8"/>
      <c r="F112" s="8"/>
      <c r="G112" s="8"/>
      <c r="H112" s="8"/>
      <c r="I112" s="7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5.75" customHeight="1" x14ac:dyDescent="0.3">
      <c r="A113" s="13"/>
      <c r="B113" s="13"/>
      <c r="C113" s="13"/>
      <c r="D113" s="6"/>
      <c r="E113" s="8"/>
      <c r="F113" s="8"/>
      <c r="G113" s="8"/>
      <c r="H113" s="8"/>
      <c r="I113" s="7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ht="15.75" customHeight="1" x14ac:dyDescent="0.3">
      <c r="A114" s="13"/>
      <c r="B114" s="13"/>
      <c r="C114" s="13"/>
      <c r="D114" s="6"/>
      <c r="E114" s="8"/>
      <c r="F114" s="8"/>
      <c r="G114" s="8"/>
      <c r="H114" s="8"/>
      <c r="I114" s="7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5.75" customHeight="1" x14ac:dyDescent="0.3">
      <c r="A115" s="13"/>
      <c r="B115" s="13"/>
      <c r="C115" s="13"/>
      <c r="D115" s="6"/>
      <c r="E115" s="8"/>
      <c r="F115" s="8"/>
      <c r="G115" s="8"/>
      <c r="H115" s="8"/>
      <c r="I115" s="7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5.75" customHeight="1" x14ac:dyDescent="0.3">
      <c r="A116" s="13"/>
      <c r="B116" s="13"/>
      <c r="C116" s="13"/>
      <c r="D116" s="6"/>
      <c r="E116" s="8"/>
      <c r="F116" s="8"/>
      <c r="G116" s="8"/>
      <c r="H116" s="8"/>
      <c r="I116" s="7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5.75" customHeight="1" x14ac:dyDescent="0.3">
      <c r="A117" s="13"/>
      <c r="B117" s="13"/>
      <c r="C117" s="13"/>
      <c r="D117" s="6"/>
      <c r="E117" s="8"/>
      <c r="F117" s="8"/>
      <c r="G117" s="8"/>
      <c r="H117" s="8"/>
      <c r="I117" s="7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5.75" customHeight="1" x14ac:dyDescent="0.3">
      <c r="A118" s="13"/>
      <c r="B118" s="13"/>
      <c r="C118" s="13"/>
      <c r="D118" s="6"/>
      <c r="E118" s="8"/>
      <c r="F118" s="8"/>
      <c r="G118" s="8"/>
      <c r="H118" s="8"/>
      <c r="I118" s="7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5.75" customHeight="1" x14ac:dyDescent="0.3">
      <c r="A119" s="13"/>
      <c r="B119" s="13"/>
      <c r="C119" s="13"/>
      <c r="D119" s="6"/>
      <c r="E119" s="8"/>
      <c r="F119" s="8"/>
      <c r="G119" s="8"/>
      <c r="H119" s="8"/>
      <c r="I119" s="7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5.75" customHeight="1" x14ac:dyDescent="0.3">
      <c r="A120" s="13"/>
      <c r="B120" s="13"/>
      <c r="C120" s="13"/>
      <c r="D120" s="6"/>
      <c r="E120" s="8"/>
      <c r="F120" s="8"/>
      <c r="G120" s="8"/>
      <c r="H120" s="8"/>
      <c r="I120" s="7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5.75" customHeight="1" x14ac:dyDescent="0.3">
      <c r="A121" s="13"/>
      <c r="B121" s="13"/>
      <c r="C121" s="13"/>
      <c r="D121" s="6"/>
      <c r="E121" s="8"/>
      <c r="F121" s="8"/>
      <c r="G121" s="8"/>
      <c r="H121" s="8"/>
      <c r="I121" s="7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5.75" customHeight="1" x14ac:dyDescent="0.3">
      <c r="A122" s="13"/>
      <c r="B122" s="13"/>
      <c r="C122" s="13"/>
      <c r="D122" s="6"/>
      <c r="E122" s="8"/>
      <c r="F122" s="8"/>
      <c r="G122" s="8"/>
      <c r="H122" s="8"/>
      <c r="I122" s="7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5.75" customHeight="1" x14ac:dyDescent="0.3">
      <c r="A123" s="13"/>
      <c r="B123" s="13"/>
      <c r="C123" s="13"/>
      <c r="D123" s="6"/>
      <c r="E123" s="8"/>
      <c r="F123" s="8"/>
      <c r="G123" s="8"/>
      <c r="H123" s="8"/>
      <c r="I123" s="7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ht="15.75" customHeight="1" x14ac:dyDescent="0.3">
      <c r="A124" s="13"/>
      <c r="B124" s="13"/>
      <c r="C124" s="13"/>
      <c r="D124" s="6"/>
      <c r="E124" s="8"/>
      <c r="F124" s="8"/>
      <c r="G124" s="8"/>
      <c r="H124" s="8"/>
      <c r="I124" s="7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ht="15.75" customHeight="1" x14ac:dyDescent="0.3">
      <c r="A125" s="13"/>
      <c r="B125" s="13"/>
      <c r="C125" s="13"/>
      <c r="D125" s="6"/>
      <c r="E125" s="8"/>
      <c r="F125" s="8"/>
      <c r="G125" s="8"/>
      <c r="H125" s="8"/>
      <c r="I125" s="7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ht="15.75" customHeight="1" x14ac:dyDescent="0.3">
      <c r="A126" s="13"/>
      <c r="B126" s="13"/>
      <c r="C126" s="13"/>
      <c r="D126" s="6"/>
      <c r="E126" s="8"/>
      <c r="F126" s="8"/>
      <c r="G126" s="8"/>
      <c r="H126" s="8"/>
      <c r="I126" s="7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ht="15.75" customHeight="1" x14ac:dyDescent="0.3">
      <c r="A127" s="13"/>
      <c r="B127" s="13"/>
      <c r="C127" s="13"/>
      <c r="D127" s="6"/>
      <c r="E127" s="8"/>
      <c r="F127" s="8"/>
      <c r="G127" s="8"/>
      <c r="H127" s="8"/>
      <c r="I127" s="7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5.75" customHeight="1" x14ac:dyDescent="0.3">
      <c r="A128" s="13"/>
      <c r="B128" s="13"/>
      <c r="C128" s="13"/>
      <c r="D128" s="6"/>
      <c r="E128" s="8"/>
      <c r="F128" s="8"/>
      <c r="G128" s="8"/>
      <c r="H128" s="8"/>
      <c r="I128" s="7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5.75" customHeight="1" x14ac:dyDescent="0.3">
      <c r="A129" s="13"/>
      <c r="B129" s="13"/>
      <c r="C129" s="13"/>
      <c r="D129" s="6"/>
      <c r="E129" s="8"/>
      <c r="F129" s="8"/>
      <c r="G129" s="8"/>
      <c r="H129" s="8"/>
      <c r="I129" s="7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5.75" customHeight="1" x14ac:dyDescent="0.3">
      <c r="A130" s="13"/>
      <c r="B130" s="13"/>
      <c r="C130" s="13"/>
      <c r="D130" s="6"/>
      <c r="E130" s="8"/>
      <c r="F130" s="8"/>
      <c r="G130" s="8"/>
      <c r="H130" s="8"/>
      <c r="I130" s="7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5.75" customHeight="1" x14ac:dyDescent="0.3">
      <c r="A131" s="13"/>
      <c r="B131" s="13"/>
      <c r="C131" s="13"/>
      <c r="D131" s="6"/>
      <c r="E131" s="8"/>
      <c r="F131" s="8"/>
      <c r="G131" s="8"/>
      <c r="H131" s="8"/>
      <c r="I131" s="7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5.75" customHeight="1" x14ac:dyDescent="0.3">
      <c r="A132" s="13"/>
      <c r="B132" s="13"/>
      <c r="C132" s="13"/>
      <c r="D132" s="6"/>
      <c r="E132" s="8"/>
      <c r="F132" s="8"/>
      <c r="G132" s="8"/>
      <c r="H132" s="8"/>
      <c r="I132" s="7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15.75" customHeight="1" x14ac:dyDescent="0.3">
      <c r="A133" s="13"/>
      <c r="B133" s="13"/>
      <c r="C133" s="13"/>
      <c r="D133" s="6"/>
      <c r="E133" s="8"/>
      <c r="F133" s="8"/>
      <c r="G133" s="8"/>
      <c r="H133" s="8"/>
      <c r="I133" s="7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5.75" customHeight="1" x14ac:dyDescent="0.3">
      <c r="A134" s="13"/>
      <c r="B134" s="13"/>
      <c r="C134" s="13"/>
      <c r="D134" s="6"/>
      <c r="E134" s="8"/>
      <c r="F134" s="8"/>
      <c r="G134" s="8"/>
      <c r="H134" s="8"/>
      <c r="I134" s="7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5.75" customHeight="1" x14ac:dyDescent="0.3">
      <c r="A135" s="13"/>
      <c r="B135" s="13"/>
      <c r="C135" s="13"/>
      <c r="D135" s="6"/>
      <c r="E135" s="8"/>
      <c r="F135" s="8"/>
      <c r="G135" s="8"/>
      <c r="H135" s="8"/>
      <c r="I135" s="7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5.75" customHeight="1" x14ac:dyDescent="0.3">
      <c r="A136" s="13"/>
      <c r="B136" s="13"/>
      <c r="C136" s="13"/>
      <c r="D136" s="6"/>
      <c r="E136" s="8"/>
      <c r="F136" s="8"/>
      <c r="G136" s="8"/>
      <c r="H136" s="8"/>
      <c r="I136" s="7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ht="15.75" customHeight="1" x14ac:dyDescent="0.3">
      <c r="A137" s="13"/>
      <c r="B137" s="13"/>
      <c r="C137" s="13"/>
      <c r="D137" s="6"/>
      <c r="E137" s="8"/>
      <c r="F137" s="8"/>
      <c r="G137" s="8"/>
      <c r="H137" s="8"/>
      <c r="I137" s="7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15.75" customHeight="1" x14ac:dyDescent="0.3">
      <c r="A138" s="13"/>
      <c r="B138" s="13"/>
      <c r="C138" s="13"/>
      <c r="D138" s="6"/>
      <c r="E138" s="8"/>
      <c r="F138" s="8"/>
      <c r="G138" s="8"/>
      <c r="H138" s="8"/>
      <c r="I138" s="7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15.75" customHeight="1" x14ac:dyDescent="0.3">
      <c r="A139" s="13"/>
      <c r="B139" s="13"/>
      <c r="C139" s="13"/>
      <c r="D139" s="6"/>
      <c r="E139" s="8"/>
      <c r="F139" s="8"/>
      <c r="G139" s="8"/>
      <c r="H139" s="8"/>
      <c r="I139" s="7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15.75" customHeight="1" x14ac:dyDescent="0.3">
      <c r="A140" s="13"/>
      <c r="B140" s="13"/>
      <c r="C140" s="13"/>
      <c r="D140" s="6"/>
      <c r="E140" s="8"/>
      <c r="F140" s="8"/>
      <c r="G140" s="8"/>
      <c r="H140" s="8"/>
      <c r="I140" s="7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5.75" customHeight="1" x14ac:dyDescent="0.3">
      <c r="A141" s="13"/>
      <c r="B141" s="13"/>
      <c r="C141" s="13"/>
      <c r="D141" s="6"/>
      <c r="E141" s="8"/>
      <c r="F141" s="8"/>
      <c r="G141" s="8"/>
      <c r="H141" s="8"/>
      <c r="I141" s="7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5.75" customHeight="1" x14ac:dyDescent="0.3">
      <c r="A142" s="13"/>
      <c r="B142" s="13"/>
      <c r="C142" s="13"/>
      <c r="D142" s="6"/>
      <c r="E142" s="8"/>
      <c r="F142" s="8"/>
      <c r="G142" s="8"/>
      <c r="H142" s="8"/>
      <c r="I142" s="7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5.75" customHeight="1" x14ac:dyDescent="0.3">
      <c r="A143" s="13"/>
      <c r="B143" s="13"/>
      <c r="C143" s="13"/>
      <c r="D143" s="6"/>
      <c r="E143" s="8"/>
      <c r="F143" s="8"/>
      <c r="G143" s="8"/>
      <c r="H143" s="8"/>
      <c r="I143" s="7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5.75" customHeight="1" x14ac:dyDescent="0.3">
      <c r="A144" s="13"/>
      <c r="B144" s="13"/>
      <c r="C144" s="13"/>
      <c r="D144" s="6"/>
      <c r="E144" s="8"/>
      <c r="F144" s="8"/>
      <c r="G144" s="8"/>
      <c r="H144" s="8"/>
      <c r="I144" s="7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5.75" customHeight="1" x14ac:dyDescent="0.3">
      <c r="A145" s="13"/>
      <c r="B145" s="13"/>
      <c r="C145" s="13"/>
      <c r="D145" s="6"/>
      <c r="E145" s="8"/>
      <c r="F145" s="8"/>
      <c r="G145" s="8"/>
      <c r="H145" s="8"/>
      <c r="I145" s="7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5.75" customHeight="1" x14ac:dyDescent="0.3">
      <c r="A146" s="13"/>
      <c r="B146" s="13"/>
      <c r="C146" s="13"/>
      <c r="D146" s="6"/>
      <c r="E146" s="8"/>
      <c r="F146" s="8"/>
      <c r="G146" s="8"/>
      <c r="H146" s="8"/>
      <c r="I146" s="7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5.75" customHeight="1" x14ac:dyDescent="0.3">
      <c r="A147" s="13"/>
      <c r="B147" s="13"/>
      <c r="C147" s="13"/>
      <c r="D147" s="6"/>
      <c r="E147" s="8"/>
      <c r="F147" s="8"/>
      <c r="G147" s="8"/>
      <c r="H147" s="8"/>
      <c r="I147" s="7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5.75" customHeight="1" x14ac:dyDescent="0.3">
      <c r="A148" s="13"/>
      <c r="B148" s="13"/>
      <c r="C148" s="13"/>
      <c r="D148" s="6"/>
      <c r="E148" s="8"/>
      <c r="F148" s="8"/>
      <c r="G148" s="8"/>
      <c r="H148" s="8"/>
      <c r="I148" s="7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5.75" customHeight="1" x14ac:dyDescent="0.3">
      <c r="A149" s="13"/>
      <c r="B149" s="13"/>
      <c r="C149" s="13"/>
      <c r="D149" s="6"/>
      <c r="E149" s="8"/>
      <c r="F149" s="8"/>
      <c r="G149" s="8"/>
      <c r="H149" s="8"/>
      <c r="I149" s="7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5.75" customHeight="1" x14ac:dyDescent="0.3">
      <c r="A150" s="13"/>
      <c r="B150" s="13"/>
      <c r="C150" s="13"/>
      <c r="D150" s="6"/>
      <c r="E150" s="8"/>
      <c r="F150" s="8"/>
      <c r="G150" s="8"/>
      <c r="H150" s="8"/>
      <c r="I150" s="7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5.75" customHeight="1" x14ac:dyDescent="0.3">
      <c r="A151" s="13"/>
      <c r="B151" s="13"/>
      <c r="C151" s="13"/>
      <c r="D151" s="6"/>
      <c r="E151" s="8"/>
      <c r="F151" s="8"/>
      <c r="G151" s="8"/>
      <c r="H151" s="8"/>
      <c r="I151" s="7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5.75" customHeight="1" x14ac:dyDescent="0.3">
      <c r="A152" s="13"/>
      <c r="B152" s="13"/>
      <c r="C152" s="13"/>
      <c r="D152" s="6"/>
      <c r="E152" s="8"/>
      <c r="F152" s="8"/>
      <c r="G152" s="8"/>
      <c r="H152" s="8"/>
      <c r="I152" s="7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5.75" customHeight="1" x14ac:dyDescent="0.3">
      <c r="A153" s="13"/>
      <c r="B153" s="13"/>
      <c r="C153" s="13"/>
      <c r="D153" s="6"/>
      <c r="E153" s="8"/>
      <c r="F153" s="8"/>
      <c r="G153" s="8"/>
      <c r="H153" s="8"/>
      <c r="I153" s="7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5.75" customHeight="1" x14ac:dyDescent="0.3">
      <c r="A154" s="13"/>
      <c r="B154" s="13"/>
      <c r="C154" s="13"/>
      <c r="D154" s="6"/>
      <c r="E154" s="8"/>
      <c r="F154" s="8"/>
      <c r="G154" s="8"/>
      <c r="H154" s="8"/>
      <c r="I154" s="7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5.75" customHeight="1" x14ac:dyDescent="0.3">
      <c r="A155" s="13"/>
      <c r="B155" s="13"/>
      <c r="C155" s="13"/>
      <c r="D155" s="6"/>
      <c r="E155" s="8"/>
      <c r="F155" s="8"/>
      <c r="G155" s="8"/>
      <c r="H155" s="8"/>
      <c r="I155" s="7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5.75" customHeight="1" x14ac:dyDescent="0.3">
      <c r="A156" s="13"/>
      <c r="B156" s="13"/>
      <c r="C156" s="13"/>
      <c r="D156" s="6"/>
      <c r="E156" s="8"/>
      <c r="F156" s="8"/>
      <c r="G156" s="8"/>
      <c r="H156" s="8"/>
      <c r="I156" s="7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5.75" customHeight="1" x14ac:dyDescent="0.3">
      <c r="A157" s="13"/>
      <c r="B157" s="13"/>
      <c r="C157" s="13"/>
      <c r="D157" s="6"/>
      <c r="E157" s="8"/>
      <c r="F157" s="8"/>
      <c r="G157" s="8"/>
      <c r="H157" s="8"/>
      <c r="I157" s="7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5.75" customHeight="1" x14ac:dyDescent="0.3">
      <c r="A158" s="13"/>
      <c r="B158" s="13"/>
      <c r="C158" s="13"/>
      <c r="D158" s="6"/>
      <c r="E158" s="8"/>
      <c r="F158" s="8"/>
      <c r="G158" s="8"/>
      <c r="H158" s="8"/>
      <c r="I158" s="7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5.75" customHeight="1" x14ac:dyDescent="0.3">
      <c r="A159" s="13"/>
      <c r="B159" s="13"/>
      <c r="C159" s="13"/>
      <c r="D159" s="6"/>
      <c r="E159" s="8"/>
      <c r="F159" s="8"/>
      <c r="G159" s="8"/>
      <c r="H159" s="8"/>
      <c r="I159" s="7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5.75" customHeight="1" x14ac:dyDescent="0.3">
      <c r="A160" s="13"/>
      <c r="B160" s="13"/>
      <c r="C160" s="13"/>
      <c r="D160" s="6"/>
      <c r="E160" s="8"/>
      <c r="F160" s="8"/>
      <c r="G160" s="8"/>
      <c r="H160" s="8"/>
      <c r="I160" s="7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5.75" customHeight="1" x14ac:dyDescent="0.3">
      <c r="A161" s="13"/>
      <c r="B161" s="13"/>
      <c r="C161" s="13"/>
      <c r="D161" s="6"/>
      <c r="E161" s="8"/>
      <c r="F161" s="8"/>
      <c r="G161" s="8"/>
      <c r="H161" s="8"/>
      <c r="I161" s="7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5.75" customHeight="1" x14ac:dyDescent="0.3">
      <c r="A162" s="13"/>
      <c r="B162" s="13"/>
      <c r="C162" s="13"/>
      <c r="D162" s="6"/>
      <c r="E162" s="8"/>
      <c r="F162" s="8"/>
      <c r="G162" s="8"/>
      <c r="H162" s="8"/>
      <c r="I162" s="7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5.75" customHeight="1" x14ac:dyDescent="0.3">
      <c r="A163" s="13"/>
      <c r="B163" s="13"/>
      <c r="C163" s="13"/>
      <c r="D163" s="6"/>
      <c r="E163" s="8"/>
      <c r="F163" s="8"/>
      <c r="G163" s="8"/>
      <c r="H163" s="8"/>
      <c r="I163" s="7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5.75" customHeight="1" x14ac:dyDescent="0.3">
      <c r="A164" s="13"/>
      <c r="B164" s="13"/>
      <c r="C164" s="13"/>
      <c r="D164" s="6"/>
      <c r="E164" s="8"/>
      <c r="F164" s="8"/>
      <c r="G164" s="8"/>
      <c r="H164" s="8"/>
      <c r="I164" s="7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5.75" customHeight="1" x14ac:dyDescent="0.3">
      <c r="A165" s="13"/>
      <c r="B165" s="13"/>
      <c r="C165" s="13"/>
      <c r="D165" s="6"/>
      <c r="E165" s="8"/>
      <c r="F165" s="8"/>
      <c r="G165" s="8"/>
      <c r="H165" s="8"/>
      <c r="I165" s="7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5.75" customHeight="1" x14ac:dyDescent="0.3">
      <c r="A166" s="13"/>
      <c r="B166" s="13"/>
      <c r="C166" s="13"/>
      <c r="D166" s="6"/>
      <c r="E166" s="8"/>
      <c r="F166" s="8"/>
      <c r="G166" s="8"/>
      <c r="H166" s="8"/>
      <c r="I166" s="7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5.75" customHeight="1" x14ac:dyDescent="0.3">
      <c r="A167" s="13"/>
      <c r="B167" s="13"/>
      <c r="C167" s="13"/>
      <c r="D167" s="6"/>
      <c r="E167" s="8"/>
      <c r="F167" s="8"/>
      <c r="G167" s="8"/>
      <c r="H167" s="8"/>
      <c r="I167" s="7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5.75" customHeight="1" x14ac:dyDescent="0.3">
      <c r="A168" s="13"/>
      <c r="B168" s="13"/>
      <c r="C168" s="13"/>
      <c r="D168" s="6"/>
      <c r="E168" s="8"/>
      <c r="F168" s="8"/>
      <c r="G168" s="8"/>
      <c r="H168" s="8"/>
      <c r="I168" s="7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5.75" customHeight="1" x14ac:dyDescent="0.3">
      <c r="A169" s="13"/>
      <c r="B169" s="13"/>
      <c r="C169" s="13"/>
      <c r="D169" s="6"/>
      <c r="E169" s="8"/>
      <c r="F169" s="8"/>
      <c r="G169" s="8"/>
      <c r="H169" s="8"/>
      <c r="I169" s="7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5.75" customHeight="1" x14ac:dyDescent="0.3">
      <c r="A170" s="13"/>
      <c r="B170" s="13"/>
      <c r="C170" s="13"/>
      <c r="D170" s="6"/>
      <c r="E170" s="8"/>
      <c r="F170" s="8"/>
      <c r="G170" s="8"/>
      <c r="H170" s="8"/>
      <c r="I170" s="7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5.75" customHeight="1" x14ac:dyDescent="0.3">
      <c r="A171" s="13"/>
      <c r="B171" s="13"/>
      <c r="C171" s="13"/>
      <c r="D171" s="6"/>
      <c r="E171" s="8"/>
      <c r="F171" s="8"/>
      <c r="G171" s="8"/>
      <c r="H171" s="8"/>
      <c r="I171" s="7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5.75" customHeight="1" x14ac:dyDescent="0.3">
      <c r="A172" s="13"/>
      <c r="B172" s="13"/>
      <c r="C172" s="13"/>
      <c r="D172" s="6"/>
      <c r="E172" s="8"/>
      <c r="F172" s="8"/>
      <c r="G172" s="8"/>
      <c r="H172" s="8"/>
      <c r="I172" s="7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5.75" customHeight="1" x14ac:dyDescent="0.3">
      <c r="A173" s="13"/>
      <c r="B173" s="13"/>
      <c r="C173" s="13"/>
      <c r="D173" s="6"/>
      <c r="E173" s="8"/>
      <c r="F173" s="8"/>
      <c r="G173" s="8"/>
      <c r="H173" s="8"/>
      <c r="I173" s="7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5.75" customHeight="1" x14ac:dyDescent="0.3">
      <c r="A174" s="13"/>
      <c r="B174" s="13"/>
      <c r="C174" s="13"/>
      <c r="D174" s="6"/>
      <c r="E174" s="8"/>
      <c r="F174" s="8"/>
      <c r="G174" s="8"/>
      <c r="H174" s="8"/>
      <c r="I174" s="7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5.75" customHeight="1" x14ac:dyDescent="0.3">
      <c r="A175" s="13"/>
      <c r="B175" s="13"/>
      <c r="C175" s="13"/>
      <c r="D175" s="6"/>
      <c r="E175" s="8"/>
      <c r="F175" s="8"/>
      <c r="G175" s="8"/>
      <c r="H175" s="8"/>
      <c r="I175" s="7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5.75" customHeight="1" x14ac:dyDescent="0.3">
      <c r="A176" s="13"/>
      <c r="B176" s="13"/>
      <c r="C176" s="13"/>
      <c r="D176" s="6"/>
      <c r="E176" s="8"/>
      <c r="F176" s="8"/>
      <c r="G176" s="8"/>
      <c r="H176" s="8"/>
      <c r="I176" s="7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5.75" customHeight="1" x14ac:dyDescent="0.3">
      <c r="A177" s="13"/>
      <c r="B177" s="13"/>
      <c r="C177" s="13"/>
      <c r="D177" s="6"/>
      <c r="E177" s="8"/>
      <c r="F177" s="8"/>
      <c r="G177" s="8"/>
      <c r="H177" s="8"/>
      <c r="I177" s="7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5.75" customHeight="1" x14ac:dyDescent="0.3">
      <c r="A178" s="13"/>
      <c r="B178" s="13"/>
      <c r="C178" s="13"/>
      <c r="D178" s="6"/>
      <c r="E178" s="8"/>
      <c r="F178" s="8"/>
      <c r="G178" s="8"/>
      <c r="H178" s="8"/>
      <c r="I178" s="7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5.75" customHeight="1" x14ac:dyDescent="0.3">
      <c r="A179" s="13"/>
      <c r="B179" s="13"/>
      <c r="C179" s="13"/>
      <c r="D179" s="6"/>
      <c r="E179" s="8"/>
      <c r="F179" s="8"/>
      <c r="G179" s="8"/>
      <c r="H179" s="8"/>
      <c r="I179" s="7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5.75" customHeight="1" x14ac:dyDescent="0.3">
      <c r="A180" s="13"/>
      <c r="B180" s="13"/>
      <c r="C180" s="13"/>
      <c r="D180" s="6"/>
      <c r="E180" s="8"/>
      <c r="F180" s="8"/>
      <c r="G180" s="8"/>
      <c r="H180" s="8"/>
      <c r="I180" s="7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5.75" customHeight="1" x14ac:dyDescent="0.3">
      <c r="A181" s="13"/>
      <c r="B181" s="13"/>
      <c r="C181" s="13"/>
      <c r="D181" s="6"/>
      <c r="E181" s="8"/>
      <c r="F181" s="8"/>
      <c r="G181" s="8"/>
      <c r="H181" s="8"/>
      <c r="I181" s="7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5.75" customHeight="1" x14ac:dyDescent="0.3">
      <c r="A182" s="13"/>
      <c r="B182" s="13"/>
      <c r="C182" s="13"/>
      <c r="D182" s="6"/>
      <c r="E182" s="8"/>
      <c r="F182" s="8"/>
      <c r="G182" s="8"/>
      <c r="H182" s="8"/>
      <c r="I182" s="7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5.75" customHeight="1" x14ac:dyDescent="0.3">
      <c r="A183" s="13"/>
      <c r="B183" s="13"/>
      <c r="C183" s="13"/>
      <c r="D183" s="6"/>
      <c r="E183" s="8"/>
      <c r="F183" s="8"/>
      <c r="G183" s="8"/>
      <c r="H183" s="8"/>
      <c r="I183" s="7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5.75" customHeight="1" x14ac:dyDescent="0.3">
      <c r="A184" s="13"/>
      <c r="B184" s="13"/>
      <c r="C184" s="13"/>
      <c r="D184" s="6"/>
      <c r="E184" s="8"/>
      <c r="F184" s="8"/>
      <c r="G184" s="8"/>
      <c r="H184" s="8"/>
      <c r="I184" s="7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5.75" customHeight="1" x14ac:dyDescent="0.3">
      <c r="A185" s="13"/>
      <c r="B185" s="13"/>
      <c r="C185" s="13"/>
      <c r="D185" s="6"/>
      <c r="E185" s="8"/>
      <c r="F185" s="8"/>
      <c r="G185" s="8"/>
      <c r="H185" s="8"/>
      <c r="I185" s="7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5.75" customHeight="1" x14ac:dyDescent="0.3">
      <c r="A186" s="13"/>
      <c r="B186" s="13"/>
      <c r="C186" s="13"/>
      <c r="D186" s="6"/>
      <c r="E186" s="8"/>
      <c r="F186" s="8"/>
      <c r="G186" s="8"/>
      <c r="H186" s="8"/>
      <c r="I186" s="7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5.75" customHeight="1" x14ac:dyDescent="0.3">
      <c r="A187" s="13"/>
      <c r="B187" s="13"/>
      <c r="C187" s="13"/>
      <c r="D187" s="6"/>
      <c r="E187" s="8"/>
      <c r="F187" s="8"/>
      <c r="G187" s="8"/>
      <c r="H187" s="8"/>
      <c r="I187" s="7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5.75" customHeight="1" x14ac:dyDescent="0.3">
      <c r="A188" s="13"/>
      <c r="B188" s="13"/>
      <c r="C188" s="13"/>
      <c r="D188" s="6"/>
      <c r="E188" s="8"/>
      <c r="F188" s="8"/>
      <c r="G188" s="8"/>
      <c r="H188" s="8"/>
      <c r="I188" s="7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5.75" customHeight="1" x14ac:dyDescent="0.3">
      <c r="A189" s="13"/>
      <c r="B189" s="13"/>
      <c r="C189" s="13"/>
      <c r="D189" s="6"/>
      <c r="E189" s="8"/>
      <c r="F189" s="8"/>
      <c r="G189" s="8"/>
      <c r="H189" s="8"/>
      <c r="I189" s="7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5.75" customHeight="1" x14ac:dyDescent="0.3">
      <c r="A190" s="13"/>
      <c r="B190" s="13"/>
      <c r="C190" s="13"/>
      <c r="D190" s="6"/>
      <c r="E190" s="8"/>
      <c r="F190" s="8"/>
      <c r="G190" s="8"/>
      <c r="H190" s="8"/>
      <c r="I190" s="7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5.75" customHeight="1" x14ac:dyDescent="0.3">
      <c r="A191" s="13"/>
      <c r="B191" s="13"/>
      <c r="C191" s="13"/>
      <c r="D191" s="6"/>
      <c r="E191" s="8"/>
      <c r="F191" s="8"/>
      <c r="G191" s="8"/>
      <c r="H191" s="8"/>
      <c r="I191" s="7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5.75" customHeight="1" x14ac:dyDescent="0.3">
      <c r="A192" s="13"/>
      <c r="B192" s="13"/>
      <c r="C192" s="13"/>
      <c r="D192" s="6"/>
      <c r="E192" s="8"/>
      <c r="F192" s="8"/>
      <c r="G192" s="8"/>
      <c r="H192" s="8"/>
      <c r="I192" s="7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5.75" customHeight="1" x14ac:dyDescent="0.3">
      <c r="A193" s="13"/>
      <c r="B193" s="13"/>
      <c r="C193" s="13"/>
      <c r="D193" s="6"/>
      <c r="E193" s="8"/>
      <c r="F193" s="8"/>
      <c r="G193" s="8"/>
      <c r="H193" s="8"/>
      <c r="I193" s="7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5.75" customHeight="1" x14ac:dyDescent="0.3">
      <c r="A194" s="13"/>
      <c r="B194" s="13"/>
      <c r="C194" s="13"/>
      <c r="D194" s="6"/>
      <c r="E194" s="8"/>
      <c r="F194" s="8"/>
      <c r="G194" s="8"/>
      <c r="H194" s="8"/>
      <c r="I194" s="7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5.75" customHeight="1" x14ac:dyDescent="0.3">
      <c r="A195" s="13"/>
      <c r="B195" s="13"/>
      <c r="C195" s="13"/>
      <c r="D195" s="6"/>
      <c r="E195" s="8"/>
      <c r="F195" s="8"/>
      <c r="G195" s="8"/>
      <c r="H195" s="8"/>
      <c r="I195" s="7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5.75" customHeight="1" x14ac:dyDescent="0.3">
      <c r="A196" s="13"/>
      <c r="B196" s="13"/>
      <c r="C196" s="13"/>
      <c r="D196" s="6"/>
      <c r="E196" s="8"/>
      <c r="F196" s="8"/>
      <c r="G196" s="8"/>
      <c r="H196" s="8"/>
      <c r="I196" s="7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5.75" customHeight="1" x14ac:dyDescent="0.3">
      <c r="A197" s="13"/>
      <c r="B197" s="13"/>
      <c r="C197" s="13"/>
      <c r="D197" s="6"/>
      <c r="E197" s="8"/>
      <c r="F197" s="8"/>
      <c r="G197" s="8"/>
      <c r="H197" s="8"/>
      <c r="I197" s="7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5.75" customHeight="1" x14ac:dyDescent="0.3">
      <c r="A198" s="13"/>
      <c r="B198" s="13"/>
      <c r="C198" s="13"/>
      <c r="D198" s="6"/>
      <c r="E198" s="8"/>
      <c r="F198" s="8"/>
      <c r="G198" s="8"/>
      <c r="H198" s="8"/>
      <c r="I198" s="7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5.75" customHeight="1" x14ac:dyDescent="0.3">
      <c r="A199" s="13"/>
      <c r="B199" s="13"/>
      <c r="C199" s="13"/>
      <c r="D199" s="6"/>
      <c r="E199" s="8"/>
      <c r="F199" s="8"/>
      <c r="G199" s="8"/>
      <c r="H199" s="8"/>
      <c r="I199" s="7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5.75" customHeight="1" x14ac:dyDescent="0.3">
      <c r="A200" s="13"/>
      <c r="B200" s="13"/>
      <c r="C200" s="13"/>
      <c r="D200" s="6"/>
      <c r="E200" s="8"/>
      <c r="F200" s="8"/>
      <c r="G200" s="8"/>
      <c r="H200" s="8"/>
      <c r="I200" s="7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5.75" customHeight="1" x14ac:dyDescent="0.3">
      <c r="A201" s="13"/>
      <c r="B201" s="13"/>
      <c r="C201" s="13"/>
      <c r="D201" s="6"/>
      <c r="E201" s="8"/>
      <c r="F201" s="8"/>
      <c r="G201" s="8"/>
      <c r="H201" s="8"/>
      <c r="I201" s="7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5.75" customHeight="1" x14ac:dyDescent="0.3">
      <c r="A202" s="13"/>
      <c r="B202" s="13"/>
      <c r="C202" s="13"/>
      <c r="D202" s="6"/>
      <c r="E202" s="8"/>
      <c r="F202" s="8"/>
      <c r="G202" s="8"/>
      <c r="H202" s="8"/>
      <c r="I202" s="7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5.75" customHeight="1" x14ac:dyDescent="0.3">
      <c r="A203" s="13"/>
      <c r="B203" s="13"/>
      <c r="C203" s="13"/>
      <c r="D203" s="6"/>
      <c r="E203" s="8"/>
      <c r="F203" s="8"/>
      <c r="G203" s="8"/>
      <c r="H203" s="8"/>
      <c r="I203" s="7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5.75" customHeight="1" x14ac:dyDescent="0.3">
      <c r="A204" s="13"/>
      <c r="B204" s="13"/>
      <c r="C204" s="13"/>
      <c r="D204" s="6"/>
      <c r="E204" s="8"/>
      <c r="F204" s="8"/>
      <c r="G204" s="8"/>
      <c r="H204" s="8"/>
      <c r="I204" s="7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5.75" customHeight="1" x14ac:dyDescent="0.3">
      <c r="A205" s="13"/>
      <c r="B205" s="13"/>
      <c r="C205" s="13"/>
      <c r="D205" s="6"/>
      <c r="E205" s="8"/>
      <c r="F205" s="8"/>
      <c r="G205" s="8"/>
      <c r="H205" s="8"/>
      <c r="I205" s="7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5.75" customHeight="1" x14ac:dyDescent="0.3">
      <c r="A206" s="13"/>
      <c r="B206" s="13"/>
      <c r="C206" s="13"/>
      <c r="D206" s="6"/>
      <c r="E206" s="8"/>
      <c r="F206" s="8"/>
      <c r="G206" s="8"/>
      <c r="H206" s="8"/>
      <c r="I206" s="7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5.75" customHeight="1" x14ac:dyDescent="0.3">
      <c r="A207" s="13"/>
      <c r="B207" s="13"/>
      <c r="C207" s="13"/>
      <c r="D207" s="6"/>
      <c r="E207" s="8"/>
      <c r="F207" s="8"/>
      <c r="G207" s="8"/>
      <c r="H207" s="8"/>
      <c r="I207" s="7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5.75" customHeight="1" x14ac:dyDescent="0.3">
      <c r="A208" s="13"/>
      <c r="B208" s="13"/>
      <c r="C208" s="13"/>
      <c r="D208" s="6"/>
      <c r="E208" s="8"/>
      <c r="F208" s="8"/>
      <c r="G208" s="8"/>
      <c r="H208" s="8"/>
      <c r="I208" s="7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5.75" customHeight="1" x14ac:dyDescent="0.3">
      <c r="A209" s="13"/>
      <c r="B209" s="13"/>
      <c r="C209" s="13"/>
      <c r="D209" s="6"/>
      <c r="E209" s="8"/>
      <c r="F209" s="8"/>
      <c r="G209" s="8"/>
      <c r="H209" s="8"/>
      <c r="I209" s="7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5.75" customHeight="1" x14ac:dyDescent="0.3">
      <c r="A210" s="13"/>
      <c r="B210" s="13"/>
      <c r="C210" s="13"/>
      <c r="D210" s="6"/>
      <c r="E210" s="8"/>
      <c r="F210" s="8"/>
      <c r="G210" s="8"/>
      <c r="H210" s="8"/>
      <c r="I210" s="7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5.75" customHeight="1" x14ac:dyDescent="0.3">
      <c r="A211" s="13"/>
      <c r="B211" s="13"/>
      <c r="C211" s="13"/>
      <c r="D211" s="6"/>
      <c r="E211" s="8"/>
      <c r="F211" s="8"/>
      <c r="G211" s="8"/>
      <c r="H211" s="8"/>
      <c r="I211" s="7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5.75" customHeight="1" x14ac:dyDescent="0.3">
      <c r="A212" s="13"/>
      <c r="B212" s="13"/>
      <c r="C212" s="13"/>
      <c r="D212" s="6"/>
      <c r="E212" s="8"/>
      <c r="F212" s="8"/>
      <c r="G212" s="8"/>
      <c r="H212" s="8"/>
      <c r="I212" s="7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5.75" customHeight="1" x14ac:dyDescent="0.3">
      <c r="A213" s="13"/>
      <c r="B213" s="13"/>
      <c r="C213" s="13"/>
      <c r="D213" s="6"/>
      <c r="E213" s="8"/>
      <c r="F213" s="8"/>
      <c r="G213" s="8"/>
      <c r="H213" s="8"/>
      <c r="I213" s="7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5.75" customHeight="1" x14ac:dyDescent="0.3">
      <c r="A214" s="13"/>
      <c r="B214" s="13"/>
      <c r="C214" s="13"/>
      <c r="D214" s="6"/>
      <c r="E214" s="8"/>
      <c r="F214" s="8"/>
      <c r="G214" s="8"/>
      <c r="H214" s="8"/>
      <c r="I214" s="7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5.75" customHeight="1" x14ac:dyDescent="0.3">
      <c r="A215" s="13"/>
      <c r="B215" s="13"/>
      <c r="C215" s="13"/>
      <c r="D215" s="6"/>
      <c r="E215" s="8"/>
      <c r="F215" s="8"/>
      <c r="G215" s="8"/>
      <c r="H215" s="8"/>
      <c r="I215" s="7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5.75" customHeight="1" x14ac:dyDescent="0.3">
      <c r="A216" s="13"/>
      <c r="B216" s="13"/>
      <c r="C216" s="13"/>
      <c r="D216" s="6"/>
      <c r="E216" s="8"/>
      <c r="F216" s="8"/>
      <c r="G216" s="8"/>
      <c r="H216" s="8"/>
      <c r="I216" s="7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5.75" customHeight="1" x14ac:dyDescent="0.3">
      <c r="A217" s="13"/>
      <c r="B217" s="13"/>
      <c r="C217" s="13"/>
      <c r="D217" s="6"/>
      <c r="E217" s="8"/>
      <c r="F217" s="8"/>
      <c r="G217" s="8"/>
      <c r="H217" s="8"/>
      <c r="I217" s="7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5.75" customHeight="1" x14ac:dyDescent="0.3">
      <c r="A218" s="13"/>
      <c r="B218" s="13"/>
      <c r="C218" s="13"/>
      <c r="D218" s="6"/>
      <c r="E218" s="8"/>
      <c r="F218" s="8"/>
      <c r="G218" s="8"/>
      <c r="H218" s="8"/>
      <c r="I218" s="7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5.75" customHeight="1" x14ac:dyDescent="0.3">
      <c r="A219" s="13"/>
      <c r="B219" s="13"/>
      <c r="C219" s="13"/>
      <c r="D219" s="6"/>
      <c r="E219" s="8"/>
      <c r="F219" s="8"/>
      <c r="G219" s="8"/>
      <c r="H219" s="8"/>
      <c r="I219" s="7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5.75" customHeight="1" x14ac:dyDescent="0.3">
      <c r="A220" s="13"/>
      <c r="B220" s="13"/>
      <c r="C220" s="13"/>
      <c r="D220" s="6"/>
      <c r="E220" s="8"/>
      <c r="F220" s="8"/>
      <c r="G220" s="8"/>
      <c r="H220" s="8"/>
      <c r="I220" s="7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5.75" customHeight="1" x14ac:dyDescent="0.3">
      <c r="A221" s="13"/>
      <c r="B221" s="13"/>
      <c r="C221" s="13"/>
      <c r="D221" s="6"/>
      <c r="E221" s="8"/>
      <c r="F221" s="8"/>
      <c r="G221" s="8"/>
      <c r="H221" s="8"/>
      <c r="I221" s="7"/>
      <c r="J221" s="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5.75" customHeight="1" x14ac:dyDescent="0.3">
      <c r="A222" s="13"/>
      <c r="B222" s="13"/>
      <c r="C222" s="13"/>
      <c r="D222" s="6"/>
      <c r="E222" s="8"/>
      <c r="F222" s="8"/>
      <c r="G222" s="8"/>
      <c r="H222" s="8"/>
      <c r="I222" s="7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5.75" customHeight="1" x14ac:dyDescent="0.3">
      <c r="A223" s="13"/>
      <c r="B223" s="13"/>
      <c r="C223" s="13"/>
      <c r="D223" s="6"/>
      <c r="E223" s="8"/>
      <c r="F223" s="8"/>
      <c r="G223" s="8"/>
      <c r="H223" s="8"/>
      <c r="I223" s="7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5.75" customHeight="1" x14ac:dyDescent="0.3">
      <c r="A224" s="13"/>
      <c r="B224" s="13"/>
      <c r="C224" s="13"/>
      <c r="D224" s="6"/>
      <c r="E224" s="8"/>
      <c r="F224" s="8"/>
      <c r="G224" s="8"/>
      <c r="H224" s="8"/>
      <c r="I224" s="7"/>
      <c r="J224" s="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5.75" customHeight="1" x14ac:dyDescent="0.3">
      <c r="A225" s="13"/>
      <c r="B225" s="13"/>
      <c r="C225" s="13"/>
      <c r="D225" s="6"/>
      <c r="E225" s="8"/>
      <c r="F225" s="8"/>
      <c r="G225" s="8"/>
      <c r="H225" s="8"/>
      <c r="I225" s="7"/>
      <c r="J225" s="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5.75" customHeight="1" x14ac:dyDescent="0.3">
      <c r="A226" s="13"/>
      <c r="B226" s="13"/>
      <c r="C226" s="13"/>
      <c r="D226" s="6"/>
      <c r="E226" s="8"/>
      <c r="F226" s="8"/>
      <c r="G226" s="8"/>
      <c r="H226" s="8"/>
      <c r="I226" s="7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5.75" customHeight="1" x14ac:dyDescent="0.3">
      <c r="A227" s="13"/>
      <c r="B227" s="13"/>
      <c r="C227" s="13"/>
      <c r="D227" s="6"/>
      <c r="E227" s="8"/>
      <c r="F227" s="8"/>
      <c r="G227" s="8"/>
      <c r="H227" s="8"/>
      <c r="I227" s="7"/>
      <c r="J227" s="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5.75" customHeight="1" x14ac:dyDescent="0.3">
      <c r="A228" s="13"/>
      <c r="B228" s="13"/>
      <c r="C228" s="13"/>
      <c r="D228" s="6"/>
      <c r="E228" s="8"/>
      <c r="F228" s="8"/>
      <c r="G228" s="8"/>
      <c r="H228" s="8"/>
      <c r="I228" s="7"/>
      <c r="J228" s="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5.75" customHeight="1" x14ac:dyDescent="0.3">
      <c r="A229" s="13"/>
      <c r="B229" s="13"/>
      <c r="C229" s="13"/>
      <c r="D229" s="6"/>
      <c r="E229" s="8"/>
      <c r="F229" s="8"/>
      <c r="G229" s="8"/>
      <c r="H229" s="8"/>
      <c r="I229" s="7"/>
      <c r="J229" s="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5.75" customHeight="1" x14ac:dyDescent="0.3">
      <c r="A230" s="13"/>
      <c r="B230" s="13"/>
      <c r="C230" s="13"/>
      <c r="D230" s="6"/>
      <c r="E230" s="8"/>
      <c r="F230" s="8"/>
      <c r="G230" s="8"/>
      <c r="H230" s="8"/>
      <c r="I230" s="7"/>
      <c r="J230" s="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5.75" customHeight="1" x14ac:dyDescent="0.3">
      <c r="A231" s="13"/>
      <c r="B231" s="13"/>
      <c r="C231" s="13"/>
      <c r="D231" s="6"/>
      <c r="E231" s="8"/>
      <c r="F231" s="8"/>
      <c r="G231" s="8"/>
      <c r="H231" s="8"/>
      <c r="I231" s="7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5.75" customHeight="1" x14ac:dyDescent="0.3">
      <c r="A232" s="13"/>
      <c r="B232" s="13"/>
      <c r="C232" s="13"/>
      <c r="D232" s="6"/>
      <c r="E232" s="8"/>
      <c r="F232" s="8"/>
      <c r="G232" s="8"/>
      <c r="H232" s="8"/>
      <c r="I232" s="7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5.75" customHeight="1" x14ac:dyDescent="0.3">
      <c r="A233" s="13"/>
      <c r="B233" s="13"/>
      <c r="C233" s="13"/>
      <c r="D233" s="6"/>
      <c r="E233" s="8"/>
      <c r="F233" s="8"/>
      <c r="G233" s="8"/>
      <c r="H233" s="8"/>
      <c r="I233" s="7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5.75" customHeight="1" x14ac:dyDescent="0.3">
      <c r="A234" s="13"/>
      <c r="B234" s="13"/>
      <c r="C234" s="13"/>
      <c r="D234" s="6"/>
      <c r="E234" s="8"/>
      <c r="F234" s="8"/>
      <c r="G234" s="8"/>
      <c r="H234" s="8"/>
      <c r="I234" s="7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5.75" customHeight="1" x14ac:dyDescent="0.3">
      <c r="A235" s="13"/>
      <c r="B235" s="13"/>
      <c r="C235" s="13"/>
      <c r="D235" s="6"/>
      <c r="E235" s="8"/>
      <c r="F235" s="8"/>
      <c r="G235" s="8"/>
      <c r="H235" s="8"/>
      <c r="I235" s="7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5.75" customHeight="1" x14ac:dyDescent="0.3">
      <c r="A236" s="13"/>
      <c r="B236" s="13"/>
      <c r="C236" s="13"/>
      <c r="D236" s="6"/>
      <c r="E236" s="8"/>
      <c r="F236" s="8"/>
      <c r="G236" s="8"/>
      <c r="H236" s="8"/>
      <c r="I236" s="7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5.75" customHeight="1" x14ac:dyDescent="0.3">
      <c r="A237" s="13"/>
      <c r="B237" s="13"/>
      <c r="C237" s="13"/>
      <c r="D237" s="6"/>
      <c r="E237" s="8"/>
      <c r="F237" s="8"/>
      <c r="G237" s="8"/>
      <c r="H237" s="8"/>
      <c r="I237" s="7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5.75" customHeight="1" x14ac:dyDescent="0.3">
      <c r="A238" s="13"/>
      <c r="B238" s="13"/>
      <c r="C238" s="13"/>
      <c r="D238" s="6"/>
      <c r="E238" s="8"/>
      <c r="F238" s="8"/>
      <c r="G238" s="8"/>
      <c r="H238" s="8"/>
      <c r="I238" s="7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5.75" customHeight="1" x14ac:dyDescent="0.3">
      <c r="A239" s="13"/>
      <c r="B239" s="13"/>
      <c r="C239" s="13"/>
      <c r="D239" s="6"/>
      <c r="E239" s="8"/>
      <c r="F239" s="8"/>
      <c r="G239" s="8"/>
      <c r="H239" s="8"/>
      <c r="I239" s="7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5.75" customHeight="1" x14ac:dyDescent="0.3">
      <c r="A240" s="13"/>
      <c r="B240" s="13"/>
      <c r="C240" s="13"/>
      <c r="D240" s="6"/>
      <c r="E240" s="8"/>
      <c r="F240" s="8"/>
      <c r="G240" s="8"/>
      <c r="H240" s="8"/>
      <c r="I240" s="7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5.75" customHeight="1" x14ac:dyDescent="0.3">
      <c r="A241" s="13"/>
      <c r="B241" s="13"/>
      <c r="C241" s="13"/>
      <c r="D241" s="6"/>
      <c r="E241" s="8"/>
      <c r="F241" s="8"/>
      <c r="G241" s="8"/>
      <c r="H241" s="8"/>
      <c r="I241" s="7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5.75" customHeight="1" x14ac:dyDescent="0.3">
      <c r="A242" s="13"/>
      <c r="B242" s="13"/>
      <c r="C242" s="13"/>
      <c r="D242" s="6"/>
      <c r="E242" s="8"/>
      <c r="F242" s="8"/>
      <c r="G242" s="8"/>
      <c r="H242" s="8"/>
      <c r="I242" s="7"/>
      <c r="J242" s="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5.75" customHeight="1" x14ac:dyDescent="0.3">
      <c r="A243" s="13"/>
      <c r="B243" s="13"/>
      <c r="C243" s="13"/>
      <c r="D243" s="6"/>
      <c r="E243" s="8"/>
      <c r="F243" s="8"/>
      <c r="G243" s="8"/>
      <c r="H243" s="8"/>
      <c r="I243" s="7"/>
      <c r="J243" s="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5.75" customHeight="1" x14ac:dyDescent="0.3">
      <c r="A244" s="13"/>
      <c r="B244" s="13"/>
      <c r="C244" s="13"/>
      <c r="D244" s="6"/>
      <c r="E244" s="8"/>
      <c r="F244" s="8"/>
      <c r="G244" s="8"/>
      <c r="H244" s="8"/>
      <c r="I244" s="7"/>
      <c r="J244" s="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5.75" customHeight="1" x14ac:dyDescent="0.3">
      <c r="A245" s="13"/>
      <c r="B245" s="13"/>
      <c r="C245" s="13"/>
      <c r="D245" s="6"/>
      <c r="E245" s="8"/>
      <c r="F245" s="8"/>
      <c r="G245" s="8"/>
      <c r="H245" s="8"/>
      <c r="I245" s="7"/>
      <c r="J245" s="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5.75" customHeight="1" x14ac:dyDescent="0.3">
      <c r="A246" s="13"/>
      <c r="B246" s="13"/>
      <c r="C246" s="13"/>
      <c r="D246" s="6"/>
      <c r="E246" s="8"/>
      <c r="F246" s="8"/>
      <c r="G246" s="8"/>
      <c r="H246" s="8"/>
      <c r="I246" s="7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ht="15.75" customHeight="1" x14ac:dyDescent="0.3">
      <c r="A247" s="13"/>
      <c r="B247" s="13"/>
      <c r="C247" s="13"/>
      <c r="D247" s="6"/>
      <c r="E247" s="8"/>
      <c r="F247" s="8"/>
      <c r="G247" s="8"/>
      <c r="H247" s="8"/>
      <c r="I247" s="7"/>
      <c r="J247" s="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5.75" customHeight="1" x14ac:dyDescent="0.3">
      <c r="A248" s="13"/>
      <c r="B248" s="13"/>
      <c r="C248" s="13"/>
      <c r="D248" s="6"/>
      <c r="E248" s="8"/>
      <c r="F248" s="8"/>
      <c r="G248" s="8"/>
      <c r="H248" s="8"/>
      <c r="I248" s="7"/>
      <c r="J248" s="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5.75" customHeight="1" x14ac:dyDescent="0.3">
      <c r="A249" s="13"/>
      <c r="B249" s="13"/>
      <c r="C249" s="13"/>
      <c r="D249" s="6"/>
      <c r="E249" s="8"/>
      <c r="F249" s="8"/>
      <c r="G249" s="8"/>
      <c r="H249" s="8"/>
      <c r="I249" s="7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5.75" customHeight="1" x14ac:dyDescent="0.3">
      <c r="A250" s="13"/>
      <c r="B250" s="13"/>
      <c r="C250" s="13"/>
      <c r="D250" s="6"/>
      <c r="E250" s="8"/>
      <c r="F250" s="8"/>
      <c r="G250" s="8"/>
      <c r="H250" s="8"/>
      <c r="I250" s="7"/>
      <c r="J250" s="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5.75" customHeight="1" x14ac:dyDescent="0.3">
      <c r="A251" s="13"/>
      <c r="B251" s="13"/>
      <c r="C251" s="13"/>
      <c r="D251" s="6"/>
      <c r="E251" s="8"/>
      <c r="F251" s="8"/>
      <c r="G251" s="8"/>
      <c r="H251" s="8"/>
      <c r="I251" s="7"/>
      <c r="J251" s="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5.75" customHeight="1" x14ac:dyDescent="0.3">
      <c r="A252" s="13"/>
      <c r="B252" s="13"/>
      <c r="C252" s="13"/>
      <c r="D252" s="6"/>
      <c r="E252" s="8"/>
      <c r="F252" s="8"/>
      <c r="G252" s="8"/>
      <c r="H252" s="8"/>
      <c r="I252" s="7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ht="15.75" customHeight="1" x14ac:dyDescent="0.3">
      <c r="A253" s="13"/>
      <c r="B253" s="13"/>
      <c r="C253" s="13"/>
      <c r="D253" s="6"/>
      <c r="E253" s="8"/>
      <c r="F253" s="8"/>
      <c r="G253" s="8"/>
      <c r="H253" s="8"/>
      <c r="I253" s="7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ht="15.75" customHeight="1" x14ac:dyDescent="0.3">
      <c r="A254" s="13"/>
      <c r="B254" s="13"/>
      <c r="C254" s="13"/>
      <c r="D254" s="6"/>
      <c r="E254" s="8"/>
      <c r="F254" s="8"/>
      <c r="G254" s="8"/>
      <c r="H254" s="8"/>
      <c r="I254" s="7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5.75" customHeight="1" x14ac:dyDescent="0.3">
      <c r="A255" s="13"/>
      <c r="B255" s="13"/>
      <c r="C255" s="13"/>
      <c r="D255" s="6"/>
      <c r="E255" s="8"/>
      <c r="F255" s="8"/>
      <c r="G255" s="8"/>
      <c r="H255" s="8"/>
      <c r="I255" s="7"/>
      <c r="J255" s="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5.75" customHeight="1" x14ac:dyDescent="0.3">
      <c r="A256" s="13"/>
      <c r="B256" s="13"/>
      <c r="C256" s="13"/>
      <c r="D256" s="6"/>
      <c r="E256" s="8"/>
      <c r="F256" s="8"/>
      <c r="G256" s="8"/>
      <c r="H256" s="8"/>
      <c r="I256" s="7"/>
      <c r="J256" s="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5.75" customHeight="1" x14ac:dyDescent="0.3">
      <c r="A257" s="13"/>
      <c r="B257" s="13"/>
      <c r="C257" s="13"/>
      <c r="D257" s="6"/>
      <c r="E257" s="8"/>
      <c r="F257" s="8"/>
      <c r="G257" s="8"/>
      <c r="H257" s="8"/>
      <c r="I257" s="7"/>
      <c r="J257" s="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5.75" customHeight="1" x14ac:dyDescent="0.3">
      <c r="A258" s="13"/>
      <c r="B258" s="13"/>
      <c r="C258" s="13"/>
      <c r="D258" s="6"/>
      <c r="E258" s="8"/>
      <c r="F258" s="8"/>
      <c r="G258" s="8"/>
      <c r="H258" s="8"/>
      <c r="I258" s="7"/>
      <c r="J258" s="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ht="15.75" customHeight="1" x14ac:dyDescent="0.3">
      <c r="A259" s="13"/>
      <c r="B259" s="13"/>
      <c r="C259" s="13"/>
      <c r="D259" s="6"/>
      <c r="E259" s="8"/>
      <c r="F259" s="8"/>
      <c r="G259" s="8"/>
      <c r="H259" s="8"/>
      <c r="I259" s="7"/>
      <c r="J259" s="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ht="15.75" customHeight="1" x14ac:dyDescent="0.3">
      <c r="A260" s="13"/>
      <c r="B260" s="13"/>
      <c r="C260" s="13"/>
      <c r="D260" s="6"/>
      <c r="E260" s="8"/>
      <c r="F260" s="8"/>
      <c r="G260" s="8"/>
      <c r="H260" s="8"/>
      <c r="I260" s="7"/>
      <c r="J260" s="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ht="15.75" customHeight="1" x14ac:dyDescent="0.3">
      <c r="A261" s="13"/>
      <c r="B261" s="13"/>
      <c r="C261" s="13"/>
      <c r="D261" s="6"/>
      <c r="E261" s="8"/>
      <c r="F261" s="8"/>
      <c r="G261" s="8"/>
      <c r="H261" s="8"/>
      <c r="I261" s="7"/>
      <c r="J261" s="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ht="15.75" customHeight="1" x14ac:dyDescent="0.3">
      <c r="A262" s="13"/>
      <c r="B262" s="13"/>
      <c r="C262" s="13"/>
      <c r="D262" s="6"/>
      <c r="E262" s="8"/>
      <c r="F262" s="8"/>
      <c r="G262" s="8"/>
      <c r="H262" s="8"/>
      <c r="I262" s="7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ht="15.75" customHeight="1" x14ac:dyDescent="0.3">
      <c r="A263" s="13"/>
      <c r="B263" s="13"/>
      <c r="C263" s="13"/>
      <c r="D263" s="6"/>
      <c r="E263" s="8"/>
      <c r="F263" s="8"/>
      <c r="G263" s="8"/>
      <c r="H263" s="8"/>
      <c r="I263" s="7"/>
      <c r="J263" s="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ht="15.75" customHeight="1" x14ac:dyDescent="0.3">
      <c r="A264" s="13"/>
      <c r="B264" s="13"/>
      <c r="C264" s="13"/>
      <c r="D264" s="6"/>
      <c r="E264" s="8"/>
      <c r="F264" s="8"/>
      <c r="G264" s="8"/>
      <c r="H264" s="8"/>
      <c r="I264" s="7"/>
      <c r="J264" s="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ht="15.75" customHeight="1" x14ac:dyDescent="0.3">
      <c r="A265" s="13"/>
      <c r="B265" s="13"/>
      <c r="C265" s="13"/>
      <c r="D265" s="6"/>
      <c r="E265" s="8"/>
      <c r="F265" s="8"/>
      <c r="G265" s="8"/>
      <c r="H265" s="8"/>
      <c r="I265" s="7"/>
      <c r="J265" s="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ht="15.75" customHeight="1" x14ac:dyDescent="0.3">
      <c r="A266" s="13"/>
      <c r="B266" s="13"/>
      <c r="C266" s="13"/>
      <c r="D266" s="6"/>
      <c r="E266" s="8"/>
      <c r="F266" s="8"/>
      <c r="G266" s="8"/>
      <c r="H266" s="8"/>
      <c r="I266" s="7"/>
      <c r="J266" s="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ht="15.75" customHeight="1" x14ac:dyDescent="0.3">
      <c r="A267" s="13"/>
      <c r="B267" s="13"/>
      <c r="C267" s="13"/>
      <c r="D267" s="6"/>
      <c r="E267" s="8"/>
      <c r="F267" s="8"/>
      <c r="G267" s="8"/>
      <c r="H267" s="8"/>
      <c r="I267" s="7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ht="15.75" customHeight="1" x14ac:dyDescent="0.3">
      <c r="A268" s="13"/>
      <c r="B268" s="13"/>
      <c r="C268" s="13"/>
      <c r="D268" s="6"/>
      <c r="E268" s="8"/>
      <c r="F268" s="8"/>
      <c r="G268" s="8"/>
      <c r="H268" s="8"/>
      <c r="I268" s="7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ht="15.75" customHeight="1" x14ac:dyDescent="0.3">
      <c r="A269" s="13"/>
      <c r="B269" s="13"/>
      <c r="C269" s="13"/>
      <c r="D269" s="6"/>
      <c r="E269" s="8"/>
      <c r="F269" s="8"/>
      <c r="G269" s="8"/>
      <c r="H269" s="8"/>
      <c r="I269" s="7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ht="15.75" customHeight="1" x14ac:dyDescent="0.3">
      <c r="A270" s="13"/>
      <c r="B270" s="13"/>
      <c r="C270" s="13"/>
      <c r="F270" s="177"/>
      <c r="I270" s="177"/>
      <c r="J270" s="42"/>
    </row>
    <row r="271" spans="1:46" ht="15.75" customHeight="1" x14ac:dyDescent="0.3">
      <c r="A271" s="13"/>
      <c r="B271" s="13"/>
      <c r="C271" s="13"/>
      <c r="F271" s="177"/>
      <c r="I271" s="177"/>
      <c r="J271" s="42"/>
    </row>
    <row r="272" spans="1:46" ht="15.75" customHeight="1" x14ac:dyDescent="0.3">
      <c r="A272" s="13"/>
      <c r="B272" s="13"/>
      <c r="C272" s="13"/>
      <c r="F272" s="177"/>
      <c r="I272" s="177"/>
      <c r="J272" s="42"/>
    </row>
    <row r="273" spans="1:10" ht="15.75" customHeight="1" x14ac:dyDescent="0.3">
      <c r="A273" s="13"/>
      <c r="B273" s="13"/>
      <c r="C273" s="13"/>
      <c r="F273" s="177"/>
      <c r="I273" s="177"/>
      <c r="J273" s="42"/>
    </row>
    <row r="274" spans="1:10" ht="15.75" customHeight="1" x14ac:dyDescent="0.3">
      <c r="A274" s="13"/>
      <c r="B274" s="13"/>
      <c r="C274" s="13"/>
      <c r="F274" s="177"/>
      <c r="I274" s="177"/>
      <c r="J274" s="42"/>
    </row>
    <row r="275" spans="1:10" ht="15.75" customHeight="1" x14ac:dyDescent="0.3">
      <c r="A275" s="13"/>
      <c r="B275" s="13"/>
      <c r="C275" s="13"/>
      <c r="F275" s="177"/>
      <c r="I275" s="177"/>
      <c r="J275" s="42"/>
    </row>
    <row r="276" spans="1:10" ht="15.75" customHeight="1" x14ac:dyDescent="0.3">
      <c r="A276" s="13"/>
      <c r="B276" s="13"/>
      <c r="C276" s="13"/>
      <c r="F276" s="177"/>
      <c r="I276" s="177"/>
      <c r="J276" s="42"/>
    </row>
    <row r="277" spans="1:10" ht="15.75" customHeight="1" x14ac:dyDescent="0.3">
      <c r="A277" s="13"/>
      <c r="B277" s="13"/>
      <c r="C277" s="13"/>
      <c r="F277" s="177"/>
      <c r="I277" s="177"/>
      <c r="J277" s="42"/>
    </row>
    <row r="278" spans="1:10" ht="15.75" customHeight="1" x14ac:dyDescent="0.3">
      <c r="A278" s="13"/>
      <c r="B278" s="13"/>
      <c r="C278" s="13"/>
      <c r="F278" s="177"/>
      <c r="I278" s="177"/>
      <c r="J278" s="42"/>
    </row>
    <row r="279" spans="1:10" ht="15.75" customHeight="1" x14ac:dyDescent="0.3">
      <c r="A279" s="13"/>
      <c r="B279" s="13"/>
      <c r="C279" s="13"/>
      <c r="F279" s="177"/>
      <c r="I279" s="177"/>
      <c r="J279" s="42"/>
    </row>
    <row r="280" spans="1:10" ht="15.75" customHeight="1" x14ac:dyDescent="0.3">
      <c r="A280" s="13"/>
      <c r="B280" s="13"/>
      <c r="C280" s="13"/>
      <c r="F280" s="177"/>
      <c r="I280" s="177"/>
      <c r="J280" s="42"/>
    </row>
    <row r="281" spans="1:10" ht="15.75" customHeight="1" x14ac:dyDescent="0.3">
      <c r="A281" s="13"/>
      <c r="B281" s="13"/>
      <c r="C281" s="13"/>
      <c r="F281" s="177"/>
      <c r="I281" s="177"/>
      <c r="J281" s="42"/>
    </row>
    <row r="282" spans="1:10" ht="15.75" customHeight="1" x14ac:dyDescent="0.3">
      <c r="A282" s="13"/>
      <c r="B282" s="13"/>
      <c r="C282" s="13"/>
      <c r="F282" s="177"/>
      <c r="I282" s="177"/>
      <c r="J282" s="42"/>
    </row>
    <row r="283" spans="1:10" ht="15.75" customHeight="1" x14ac:dyDescent="0.3">
      <c r="A283" s="13"/>
      <c r="B283" s="13"/>
      <c r="C283" s="13"/>
      <c r="F283" s="177"/>
      <c r="I283" s="177"/>
      <c r="J283" s="42"/>
    </row>
    <row r="284" spans="1:10" ht="15.75" customHeight="1" x14ac:dyDescent="0.3">
      <c r="A284" s="13"/>
      <c r="B284" s="13"/>
      <c r="C284" s="13"/>
      <c r="F284" s="177"/>
      <c r="I284" s="177"/>
      <c r="J284" s="42"/>
    </row>
    <row r="285" spans="1:10" ht="15.75" customHeight="1" x14ac:dyDescent="0.3">
      <c r="A285" s="13"/>
      <c r="B285" s="13"/>
      <c r="C285" s="13"/>
      <c r="F285" s="177"/>
      <c r="I285" s="177"/>
      <c r="J285" s="42"/>
    </row>
    <row r="286" spans="1:10" ht="15.75" customHeight="1" x14ac:dyDescent="0.3">
      <c r="A286" s="13"/>
      <c r="B286" s="13"/>
      <c r="C286" s="13"/>
      <c r="F286" s="177"/>
      <c r="I286" s="177"/>
      <c r="J286" s="42"/>
    </row>
    <row r="287" spans="1:10" ht="15.75" customHeight="1" x14ac:dyDescent="0.3">
      <c r="A287" s="13"/>
      <c r="B287" s="13"/>
      <c r="C287" s="13"/>
      <c r="F287" s="177"/>
      <c r="I287" s="177"/>
      <c r="J287" s="42"/>
    </row>
    <row r="288" spans="1:10" ht="15.75" customHeight="1" x14ac:dyDescent="0.3">
      <c r="A288" s="13"/>
      <c r="B288" s="13"/>
      <c r="C288" s="13"/>
      <c r="F288" s="177"/>
      <c r="I288" s="177"/>
      <c r="J288" s="42"/>
    </row>
    <row r="289" spans="1:10" ht="15.75" customHeight="1" x14ac:dyDescent="0.3">
      <c r="A289" s="13"/>
      <c r="B289" s="13"/>
      <c r="C289" s="13"/>
      <c r="F289" s="177"/>
      <c r="I289" s="177"/>
      <c r="J289" s="42"/>
    </row>
    <row r="290" spans="1:10" ht="15.75" customHeight="1" x14ac:dyDescent="0.3">
      <c r="A290" s="13"/>
      <c r="B290" s="13"/>
      <c r="C290" s="13"/>
      <c r="F290" s="177"/>
      <c r="I290" s="177"/>
      <c r="J290" s="42"/>
    </row>
    <row r="291" spans="1:10" ht="15.75" customHeight="1" x14ac:dyDescent="0.3">
      <c r="A291" s="13"/>
      <c r="B291" s="13"/>
      <c r="C291" s="13"/>
      <c r="F291" s="177"/>
      <c r="I291" s="177"/>
      <c r="J291" s="42"/>
    </row>
    <row r="292" spans="1:10" ht="15.75" customHeight="1" x14ac:dyDescent="0.3">
      <c r="A292" s="13"/>
      <c r="B292" s="13"/>
      <c r="C292" s="13"/>
      <c r="F292" s="177"/>
      <c r="I292" s="177"/>
      <c r="J292" s="42"/>
    </row>
    <row r="293" spans="1:10" ht="15.75" customHeight="1" x14ac:dyDescent="0.3">
      <c r="A293" s="13"/>
      <c r="B293" s="13"/>
      <c r="C293" s="13"/>
      <c r="F293" s="177"/>
      <c r="I293" s="177"/>
      <c r="J293" s="42"/>
    </row>
    <row r="294" spans="1:10" ht="15.75" customHeight="1" x14ac:dyDescent="0.3">
      <c r="A294" s="13"/>
      <c r="B294" s="13"/>
      <c r="C294" s="13"/>
      <c r="F294" s="177"/>
      <c r="I294" s="177"/>
      <c r="J294" s="42"/>
    </row>
    <row r="295" spans="1:10" ht="15.75" customHeight="1" x14ac:dyDescent="0.3">
      <c r="A295" s="13"/>
      <c r="B295" s="13"/>
      <c r="C295" s="13"/>
      <c r="F295" s="177"/>
      <c r="I295" s="177"/>
      <c r="J295" s="42"/>
    </row>
    <row r="296" spans="1:10" ht="15.75" customHeight="1" x14ac:dyDescent="0.3">
      <c r="A296" s="13"/>
      <c r="B296" s="13"/>
      <c r="C296" s="13"/>
      <c r="F296" s="177"/>
      <c r="I296" s="177"/>
      <c r="J296" s="42"/>
    </row>
    <row r="297" spans="1:10" ht="15.75" customHeight="1" x14ac:dyDescent="0.3">
      <c r="A297" s="13"/>
      <c r="B297" s="13"/>
      <c r="C297" s="13"/>
      <c r="F297" s="177"/>
      <c r="I297" s="177"/>
      <c r="J297" s="42"/>
    </row>
    <row r="298" spans="1:10" ht="15.75" customHeight="1" x14ac:dyDescent="0.3">
      <c r="A298" s="13"/>
      <c r="B298" s="13"/>
      <c r="C298" s="13"/>
      <c r="F298" s="177"/>
      <c r="I298" s="177"/>
      <c r="J298" s="42"/>
    </row>
    <row r="299" spans="1:10" ht="15.75" customHeight="1" x14ac:dyDescent="0.3">
      <c r="A299" s="13"/>
      <c r="B299" s="13"/>
      <c r="C299" s="13"/>
      <c r="F299" s="177"/>
      <c r="I299" s="177"/>
      <c r="J299" s="42"/>
    </row>
    <row r="300" spans="1:10" ht="15.75" customHeight="1" x14ac:dyDescent="0.3">
      <c r="A300" s="13"/>
      <c r="B300" s="13"/>
      <c r="C300" s="13"/>
      <c r="F300" s="177"/>
      <c r="I300" s="177"/>
      <c r="J300" s="42"/>
    </row>
    <row r="301" spans="1:10" ht="15.75" customHeight="1" x14ac:dyDescent="0.3">
      <c r="A301" s="13"/>
      <c r="B301" s="13"/>
      <c r="C301" s="13"/>
      <c r="F301" s="177"/>
      <c r="I301" s="177"/>
      <c r="J301" s="42"/>
    </row>
    <row r="302" spans="1:10" ht="15.75" customHeight="1" x14ac:dyDescent="0.3">
      <c r="A302" s="13"/>
      <c r="B302" s="13"/>
      <c r="C302" s="13"/>
      <c r="F302" s="177"/>
      <c r="I302" s="177"/>
      <c r="J302" s="42"/>
    </row>
    <row r="303" spans="1:10" ht="15.75" customHeight="1" x14ac:dyDescent="0.3">
      <c r="A303" s="13"/>
      <c r="B303" s="13"/>
      <c r="C303" s="13"/>
      <c r="F303" s="177"/>
      <c r="I303" s="177"/>
      <c r="J303" s="42"/>
    </row>
    <row r="304" spans="1:10" ht="15.75" customHeight="1" x14ac:dyDescent="0.3">
      <c r="A304" s="13"/>
      <c r="B304" s="13"/>
      <c r="C304" s="13"/>
      <c r="F304" s="177"/>
      <c r="I304" s="177"/>
      <c r="J304" s="42"/>
    </row>
    <row r="305" spans="1:10" ht="15.75" customHeight="1" x14ac:dyDescent="0.3">
      <c r="A305" s="13"/>
      <c r="B305" s="13"/>
      <c r="C305" s="13"/>
      <c r="F305" s="177"/>
      <c r="I305" s="177"/>
      <c r="J305" s="42"/>
    </row>
    <row r="306" spans="1:10" ht="15.75" customHeight="1" x14ac:dyDescent="0.3">
      <c r="A306" s="13"/>
      <c r="B306" s="13"/>
      <c r="C306" s="13"/>
      <c r="F306" s="177"/>
      <c r="I306" s="177"/>
      <c r="J306" s="42"/>
    </row>
    <row r="307" spans="1:10" ht="15.75" customHeight="1" x14ac:dyDescent="0.3">
      <c r="A307" s="13"/>
      <c r="B307" s="13"/>
      <c r="C307" s="13"/>
      <c r="F307" s="177"/>
      <c r="I307" s="177"/>
      <c r="J307" s="42"/>
    </row>
    <row r="308" spans="1:10" ht="15.75" customHeight="1" x14ac:dyDescent="0.3">
      <c r="A308" s="13"/>
      <c r="B308" s="13"/>
      <c r="C308" s="13"/>
      <c r="F308" s="177"/>
      <c r="I308" s="177"/>
      <c r="J308" s="42"/>
    </row>
    <row r="309" spans="1:10" ht="15.75" customHeight="1" x14ac:dyDescent="0.3">
      <c r="A309" s="13"/>
      <c r="B309" s="13"/>
      <c r="C309" s="13"/>
      <c r="F309" s="177"/>
      <c r="I309" s="177"/>
      <c r="J309" s="42"/>
    </row>
    <row r="310" spans="1:10" ht="15.75" customHeight="1" x14ac:dyDescent="0.3">
      <c r="A310" s="13"/>
      <c r="B310" s="13"/>
      <c r="C310" s="13"/>
      <c r="F310" s="177"/>
      <c r="I310" s="177"/>
      <c r="J310" s="42"/>
    </row>
    <row r="311" spans="1:10" ht="15.75" customHeight="1" x14ac:dyDescent="0.3">
      <c r="A311" s="13"/>
      <c r="B311" s="13"/>
      <c r="C311" s="13"/>
      <c r="F311" s="177"/>
      <c r="I311" s="177"/>
      <c r="J311" s="42"/>
    </row>
    <row r="312" spans="1:10" ht="15.75" customHeight="1" x14ac:dyDescent="0.3">
      <c r="A312" s="13"/>
      <c r="B312" s="13"/>
      <c r="C312" s="13"/>
      <c r="F312" s="177"/>
      <c r="I312" s="177"/>
      <c r="J312" s="42"/>
    </row>
    <row r="313" spans="1:10" ht="15.75" customHeight="1" x14ac:dyDescent="0.3">
      <c r="A313" s="13"/>
      <c r="B313" s="13"/>
      <c r="C313" s="13"/>
      <c r="F313" s="177"/>
      <c r="I313" s="177"/>
      <c r="J313" s="42"/>
    </row>
    <row r="314" spans="1:10" ht="15.75" customHeight="1" x14ac:dyDescent="0.3">
      <c r="A314" s="13"/>
      <c r="B314" s="13"/>
      <c r="C314" s="13"/>
      <c r="F314" s="177"/>
      <c r="I314" s="177"/>
      <c r="J314" s="42"/>
    </row>
    <row r="315" spans="1:10" ht="15.75" customHeight="1" x14ac:dyDescent="0.3">
      <c r="A315" s="13"/>
      <c r="B315" s="13"/>
      <c r="C315" s="13"/>
      <c r="F315" s="177"/>
      <c r="I315" s="177"/>
      <c r="J315" s="42"/>
    </row>
    <row r="316" spans="1:10" ht="15.75" customHeight="1" x14ac:dyDescent="0.3">
      <c r="A316" s="13"/>
      <c r="B316" s="13"/>
      <c r="C316" s="13"/>
      <c r="F316" s="177"/>
      <c r="I316" s="177"/>
      <c r="J316" s="42"/>
    </row>
    <row r="317" spans="1:10" ht="15.75" customHeight="1" x14ac:dyDescent="0.3">
      <c r="A317" s="13"/>
      <c r="B317" s="13"/>
      <c r="C317" s="13"/>
      <c r="F317" s="177"/>
      <c r="I317" s="177"/>
      <c r="J317" s="42"/>
    </row>
    <row r="318" spans="1:10" ht="15.75" customHeight="1" x14ac:dyDescent="0.3">
      <c r="A318" s="13"/>
      <c r="B318" s="13"/>
      <c r="C318" s="13"/>
      <c r="F318" s="177"/>
      <c r="I318" s="177"/>
      <c r="J318" s="42"/>
    </row>
    <row r="319" spans="1:10" ht="15.75" customHeight="1" x14ac:dyDescent="0.3">
      <c r="A319" s="13"/>
      <c r="B319" s="13"/>
      <c r="C319" s="13"/>
      <c r="F319" s="177"/>
      <c r="I319" s="177"/>
      <c r="J319" s="42"/>
    </row>
    <row r="320" spans="1:10" ht="15.75" customHeight="1" x14ac:dyDescent="0.3">
      <c r="A320" s="13"/>
      <c r="B320" s="13"/>
      <c r="C320" s="13"/>
      <c r="F320" s="177"/>
      <c r="I320" s="177"/>
      <c r="J320" s="42"/>
    </row>
    <row r="321" spans="1:10" ht="15.75" customHeight="1" x14ac:dyDescent="0.3">
      <c r="A321" s="13"/>
      <c r="B321" s="13"/>
      <c r="C321" s="13"/>
      <c r="F321" s="177"/>
      <c r="I321" s="177"/>
      <c r="J321" s="42"/>
    </row>
    <row r="322" spans="1:10" ht="15.75" customHeight="1" x14ac:dyDescent="0.3">
      <c r="A322" s="13"/>
      <c r="B322" s="13"/>
      <c r="C322" s="13"/>
      <c r="F322" s="177"/>
      <c r="I322" s="177"/>
      <c r="J322" s="42"/>
    </row>
    <row r="323" spans="1:10" ht="15.75" customHeight="1" x14ac:dyDescent="0.3">
      <c r="A323" s="13"/>
      <c r="B323" s="13"/>
      <c r="C323" s="13"/>
      <c r="F323" s="177"/>
      <c r="I323" s="177"/>
      <c r="J323" s="42"/>
    </row>
    <row r="324" spans="1:10" ht="15.75" customHeight="1" x14ac:dyDescent="0.3">
      <c r="A324" s="13"/>
      <c r="B324" s="13"/>
      <c r="C324" s="13"/>
      <c r="F324" s="177"/>
      <c r="I324" s="177"/>
      <c r="J324" s="42"/>
    </row>
    <row r="325" spans="1:10" ht="15.75" customHeight="1" x14ac:dyDescent="0.3">
      <c r="A325" s="13"/>
      <c r="B325" s="13"/>
      <c r="C325" s="13"/>
      <c r="F325" s="177"/>
      <c r="I325" s="177"/>
      <c r="J325" s="42"/>
    </row>
    <row r="326" spans="1:10" ht="15.75" customHeight="1" x14ac:dyDescent="0.3">
      <c r="A326" s="13"/>
      <c r="B326" s="13"/>
      <c r="C326" s="13"/>
      <c r="F326" s="177"/>
      <c r="I326" s="177"/>
      <c r="J326" s="42"/>
    </row>
    <row r="327" spans="1:10" ht="15.75" customHeight="1" x14ac:dyDescent="0.3">
      <c r="A327" s="13"/>
      <c r="B327" s="13"/>
      <c r="C327" s="13"/>
      <c r="F327" s="177"/>
      <c r="I327" s="177"/>
      <c r="J327" s="42"/>
    </row>
    <row r="328" spans="1:10" ht="15.75" customHeight="1" x14ac:dyDescent="0.3">
      <c r="A328" s="13"/>
      <c r="B328" s="13"/>
      <c r="C328" s="13"/>
      <c r="F328" s="177"/>
      <c r="I328" s="177"/>
      <c r="J328" s="42"/>
    </row>
    <row r="329" spans="1:10" ht="15.75" customHeight="1" x14ac:dyDescent="0.3">
      <c r="A329" s="13"/>
      <c r="B329" s="13"/>
      <c r="C329" s="13"/>
      <c r="F329" s="177"/>
      <c r="I329" s="177"/>
      <c r="J329" s="42"/>
    </row>
    <row r="330" spans="1:10" ht="15.75" customHeight="1" x14ac:dyDescent="0.3">
      <c r="A330" s="13"/>
      <c r="B330" s="13"/>
      <c r="C330" s="13"/>
      <c r="F330" s="177"/>
      <c r="I330" s="177"/>
      <c r="J330" s="42"/>
    </row>
    <row r="331" spans="1:10" ht="15.75" customHeight="1" x14ac:dyDescent="0.3">
      <c r="A331" s="13"/>
      <c r="B331" s="13"/>
      <c r="C331" s="13"/>
      <c r="F331" s="177"/>
      <c r="I331" s="177"/>
      <c r="J331" s="42"/>
    </row>
    <row r="332" spans="1:10" ht="15.75" customHeight="1" x14ac:dyDescent="0.3">
      <c r="A332" s="13"/>
      <c r="B332" s="13"/>
      <c r="C332" s="13"/>
      <c r="F332" s="177"/>
      <c r="I332" s="177"/>
      <c r="J332" s="42"/>
    </row>
    <row r="333" spans="1:10" ht="15.75" customHeight="1" x14ac:dyDescent="0.3">
      <c r="A333" s="13"/>
      <c r="B333" s="13"/>
      <c r="C333" s="13"/>
      <c r="F333" s="177"/>
      <c r="I333" s="177"/>
      <c r="J333" s="42"/>
    </row>
    <row r="334" spans="1:10" ht="15.75" customHeight="1" x14ac:dyDescent="0.3">
      <c r="A334" s="13"/>
      <c r="B334" s="13"/>
      <c r="C334" s="13"/>
      <c r="F334" s="177"/>
      <c r="I334" s="177"/>
      <c r="J334" s="42"/>
    </row>
    <row r="335" spans="1:10" ht="15.75" customHeight="1" x14ac:dyDescent="0.3">
      <c r="A335" s="13"/>
      <c r="B335" s="13"/>
      <c r="C335" s="13"/>
      <c r="F335" s="177"/>
      <c r="I335" s="177"/>
      <c r="J335" s="42"/>
    </row>
    <row r="336" spans="1:10" ht="15.75" customHeight="1" x14ac:dyDescent="0.3">
      <c r="A336" s="13"/>
      <c r="B336" s="13"/>
      <c r="C336" s="13"/>
      <c r="F336" s="177"/>
      <c r="I336" s="177"/>
      <c r="J336" s="42"/>
    </row>
    <row r="337" spans="1:10" ht="15.75" customHeight="1" x14ac:dyDescent="0.3">
      <c r="A337" s="13"/>
      <c r="B337" s="13"/>
      <c r="C337" s="13"/>
      <c r="F337" s="177"/>
      <c r="I337" s="177"/>
      <c r="J337" s="42"/>
    </row>
    <row r="338" spans="1:10" ht="15.75" customHeight="1" x14ac:dyDescent="0.3">
      <c r="A338" s="13"/>
      <c r="B338" s="13"/>
      <c r="C338" s="13"/>
      <c r="F338" s="177"/>
      <c r="I338" s="177"/>
      <c r="J338" s="42"/>
    </row>
    <row r="339" spans="1:10" ht="15.75" customHeight="1" x14ac:dyDescent="0.3">
      <c r="A339" s="13"/>
      <c r="B339" s="13"/>
      <c r="C339" s="13"/>
      <c r="F339" s="177"/>
      <c r="I339" s="177"/>
      <c r="J339" s="42"/>
    </row>
    <row r="340" spans="1:10" ht="15.75" customHeight="1" x14ac:dyDescent="0.3">
      <c r="A340" s="13"/>
      <c r="B340" s="13"/>
      <c r="C340" s="13"/>
      <c r="F340" s="177"/>
      <c r="I340" s="177"/>
      <c r="J340" s="42"/>
    </row>
    <row r="341" spans="1:10" ht="15.75" customHeight="1" x14ac:dyDescent="0.3">
      <c r="A341" s="13"/>
      <c r="B341" s="13"/>
      <c r="C341" s="13"/>
      <c r="F341" s="177"/>
      <c r="I341" s="177"/>
      <c r="J341" s="42"/>
    </row>
    <row r="342" spans="1:10" ht="15.75" customHeight="1" x14ac:dyDescent="0.3">
      <c r="A342" s="13"/>
      <c r="B342" s="13"/>
      <c r="C342" s="13"/>
      <c r="F342" s="177"/>
      <c r="I342" s="177"/>
      <c r="J342" s="42"/>
    </row>
    <row r="343" spans="1:10" ht="15.75" customHeight="1" x14ac:dyDescent="0.3">
      <c r="A343" s="13"/>
      <c r="B343" s="13"/>
      <c r="C343" s="13"/>
      <c r="F343" s="177"/>
      <c r="I343" s="177"/>
      <c r="J343" s="42"/>
    </row>
    <row r="344" spans="1:10" ht="15.75" customHeight="1" x14ac:dyDescent="0.3">
      <c r="A344" s="13"/>
      <c r="B344" s="13"/>
      <c r="C344" s="13"/>
      <c r="F344" s="177"/>
      <c r="I344" s="177"/>
      <c r="J344" s="42"/>
    </row>
    <row r="345" spans="1:10" ht="15.75" customHeight="1" x14ac:dyDescent="0.3">
      <c r="A345" s="13"/>
      <c r="B345" s="13"/>
      <c r="C345" s="13"/>
      <c r="F345" s="177"/>
      <c r="I345" s="177"/>
      <c r="J345" s="42"/>
    </row>
    <row r="346" spans="1:10" ht="15.75" customHeight="1" x14ac:dyDescent="0.3">
      <c r="A346" s="13"/>
      <c r="B346" s="13"/>
      <c r="C346" s="13"/>
      <c r="F346" s="177"/>
      <c r="I346" s="177"/>
      <c r="J346" s="42"/>
    </row>
    <row r="347" spans="1:10" ht="15.75" customHeight="1" x14ac:dyDescent="0.3">
      <c r="A347" s="13"/>
      <c r="B347" s="13"/>
      <c r="C347" s="13"/>
      <c r="F347" s="177"/>
      <c r="I347" s="177"/>
      <c r="J347" s="42"/>
    </row>
    <row r="348" spans="1:10" ht="15.75" customHeight="1" x14ac:dyDescent="0.3">
      <c r="A348" s="13"/>
      <c r="B348" s="13"/>
      <c r="C348" s="13"/>
      <c r="F348" s="177"/>
      <c r="I348" s="177"/>
      <c r="J348" s="42"/>
    </row>
    <row r="349" spans="1:10" ht="15.75" customHeight="1" x14ac:dyDescent="0.3">
      <c r="A349" s="13"/>
      <c r="B349" s="13"/>
      <c r="C349" s="13"/>
      <c r="F349" s="177"/>
      <c r="I349" s="177"/>
      <c r="J349" s="42"/>
    </row>
    <row r="350" spans="1:10" ht="15.75" customHeight="1" x14ac:dyDescent="0.3">
      <c r="A350" s="13"/>
      <c r="B350" s="13"/>
      <c r="C350" s="13"/>
      <c r="F350" s="177"/>
      <c r="I350" s="177"/>
      <c r="J350" s="42"/>
    </row>
    <row r="351" spans="1:10" ht="15.75" customHeight="1" x14ac:dyDescent="0.3">
      <c r="A351" s="13"/>
      <c r="B351" s="13"/>
      <c r="C351" s="13"/>
      <c r="F351" s="177"/>
      <c r="I351" s="177"/>
      <c r="J351" s="42"/>
    </row>
    <row r="352" spans="1:10" ht="15.75" customHeight="1" x14ac:dyDescent="0.3">
      <c r="A352" s="13"/>
      <c r="B352" s="13"/>
      <c r="C352" s="13"/>
      <c r="F352" s="177"/>
      <c r="I352" s="177"/>
      <c r="J352" s="42"/>
    </row>
    <row r="353" spans="1:10" ht="15.75" customHeight="1" x14ac:dyDescent="0.3">
      <c r="A353" s="13"/>
      <c r="B353" s="13"/>
      <c r="C353" s="13"/>
      <c r="F353" s="177"/>
      <c r="I353" s="177"/>
      <c r="J353" s="42"/>
    </row>
    <row r="354" spans="1:10" ht="15.75" customHeight="1" x14ac:dyDescent="0.3">
      <c r="A354" s="13"/>
      <c r="B354" s="13"/>
      <c r="C354" s="13"/>
      <c r="F354" s="177"/>
      <c r="I354" s="177"/>
      <c r="J354" s="42"/>
    </row>
    <row r="355" spans="1:10" ht="15.75" customHeight="1" x14ac:dyDescent="0.3">
      <c r="A355" s="13"/>
      <c r="B355" s="13"/>
      <c r="C355" s="13"/>
      <c r="F355" s="177"/>
      <c r="I355" s="177"/>
      <c r="J355" s="42"/>
    </row>
    <row r="356" spans="1:10" ht="15.75" customHeight="1" x14ac:dyDescent="0.3">
      <c r="A356" s="13"/>
      <c r="B356" s="13"/>
      <c r="C356" s="13"/>
      <c r="F356" s="177"/>
      <c r="I356" s="177"/>
      <c r="J356" s="42"/>
    </row>
    <row r="357" spans="1:10" ht="15.75" customHeight="1" x14ac:dyDescent="0.3">
      <c r="A357" s="13"/>
      <c r="B357" s="13"/>
      <c r="C357" s="13"/>
      <c r="F357" s="177"/>
      <c r="I357" s="177"/>
      <c r="J357" s="42"/>
    </row>
    <row r="358" spans="1:10" ht="15.75" customHeight="1" x14ac:dyDescent="0.3">
      <c r="A358" s="13"/>
      <c r="B358" s="13"/>
      <c r="C358" s="13"/>
      <c r="F358" s="177"/>
      <c r="I358" s="177"/>
      <c r="J358" s="42"/>
    </row>
    <row r="359" spans="1:10" ht="15.75" customHeight="1" x14ac:dyDescent="0.3">
      <c r="A359" s="13"/>
      <c r="B359" s="13"/>
      <c r="C359" s="13"/>
      <c r="F359" s="177"/>
      <c r="I359" s="177"/>
      <c r="J359" s="42"/>
    </row>
    <row r="360" spans="1:10" ht="15.75" customHeight="1" x14ac:dyDescent="0.3">
      <c r="A360" s="13"/>
      <c r="B360" s="13"/>
      <c r="C360" s="13"/>
      <c r="F360" s="177"/>
      <c r="I360" s="177"/>
      <c r="J360" s="42"/>
    </row>
    <row r="361" spans="1:10" ht="15.75" customHeight="1" x14ac:dyDescent="0.3">
      <c r="A361" s="13"/>
      <c r="B361" s="13"/>
      <c r="C361" s="13"/>
      <c r="F361" s="177"/>
      <c r="I361" s="177"/>
      <c r="J361" s="42"/>
    </row>
    <row r="362" spans="1:10" ht="15.75" customHeight="1" x14ac:dyDescent="0.3">
      <c r="A362" s="13"/>
      <c r="B362" s="13"/>
      <c r="C362" s="13"/>
      <c r="F362" s="177"/>
      <c r="I362" s="177"/>
      <c r="J362" s="42"/>
    </row>
    <row r="363" spans="1:10" ht="15.75" customHeight="1" x14ac:dyDescent="0.3">
      <c r="A363" s="13"/>
      <c r="B363" s="13"/>
      <c r="C363" s="13"/>
      <c r="F363" s="177"/>
      <c r="I363" s="177"/>
      <c r="J363" s="42"/>
    </row>
    <row r="364" spans="1:10" ht="15.75" customHeight="1" x14ac:dyDescent="0.3">
      <c r="A364" s="13"/>
      <c r="B364" s="13"/>
      <c r="C364" s="13"/>
      <c r="F364" s="177"/>
      <c r="I364" s="177"/>
      <c r="J364" s="42"/>
    </row>
    <row r="365" spans="1:10" ht="15.75" customHeight="1" x14ac:dyDescent="0.3">
      <c r="A365" s="13"/>
      <c r="B365" s="13"/>
      <c r="C365" s="13"/>
      <c r="F365" s="177"/>
      <c r="I365" s="177"/>
      <c r="J365" s="42"/>
    </row>
    <row r="366" spans="1:10" ht="15.75" customHeight="1" x14ac:dyDescent="0.3">
      <c r="A366" s="13"/>
      <c r="B366" s="13"/>
      <c r="C366" s="13"/>
      <c r="F366" s="177"/>
      <c r="I366" s="177"/>
      <c r="J366" s="42"/>
    </row>
    <row r="367" spans="1:10" ht="15.75" customHeight="1" x14ac:dyDescent="0.3">
      <c r="A367" s="13"/>
      <c r="B367" s="13"/>
      <c r="C367" s="13"/>
      <c r="F367" s="177"/>
      <c r="I367" s="177"/>
      <c r="J367" s="42"/>
    </row>
    <row r="368" spans="1:10" ht="15.75" customHeight="1" x14ac:dyDescent="0.3">
      <c r="A368" s="13"/>
      <c r="B368" s="13"/>
      <c r="C368" s="13"/>
      <c r="F368" s="177"/>
      <c r="I368" s="177"/>
      <c r="J368" s="42"/>
    </row>
    <row r="369" spans="1:10" ht="15.75" customHeight="1" x14ac:dyDescent="0.3">
      <c r="A369" s="13"/>
      <c r="B369" s="13"/>
      <c r="C369" s="13"/>
      <c r="F369" s="177"/>
      <c r="I369" s="177"/>
      <c r="J369" s="42"/>
    </row>
    <row r="370" spans="1:10" ht="15.75" customHeight="1" x14ac:dyDescent="0.3">
      <c r="A370" s="13"/>
      <c r="B370" s="13"/>
      <c r="C370" s="13"/>
      <c r="F370" s="177"/>
      <c r="I370" s="177"/>
      <c r="J370" s="42"/>
    </row>
    <row r="371" spans="1:10" ht="15.75" customHeight="1" x14ac:dyDescent="0.3">
      <c r="A371" s="13"/>
      <c r="B371" s="13"/>
      <c r="C371" s="13"/>
      <c r="F371" s="177"/>
      <c r="I371" s="177"/>
      <c r="J371" s="42"/>
    </row>
    <row r="372" spans="1:10" ht="15.75" customHeight="1" x14ac:dyDescent="0.3">
      <c r="A372" s="13"/>
      <c r="B372" s="13"/>
      <c r="C372" s="13"/>
      <c r="F372" s="177"/>
      <c r="I372" s="177"/>
      <c r="J372" s="42"/>
    </row>
    <row r="373" spans="1:10" ht="15.75" customHeight="1" x14ac:dyDescent="0.3">
      <c r="A373" s="13"/>
      <c r="B373" s="13"/>
      <c r="C373" s="13"/>
      <c r="F373" s="177"/>
      <c r="I373" s="177"/>
      <c r="J373" s="42"/>
    </row>
    <row r="374" spans="1:10" ht="15.75" customHeight="1" x14ac:dyDescent="0.3">
      <c r="A374" s="13"/>
      <c r="B374" s="13"/>
      <c r="C374" s="13"/>
      <c r="F374" s="177"/>
      <c r="I374" s="177"/>
      <c r="J374" s="42"/>
    </row>
    <row r="375" spans="1:10" ht="15.75" customHeight="1" x14ac:dyDescent="0.3">
      <c r="A375" s="13"/>
      <c r="B375" s="13"/>
      <c r="C375" s="13"/>
      <c r="F375" s="177"/>
      <c r="I375" s="177"/>
      <c r="J375" s="42"/>
    </row>
    <row r="376" spans="1:10" ht="15.75" customHeight="1" x14ac:dyDescent="0.3">
      <c r="A376" s="13"/>
      <c r="B376" s="13"/>
      <c r="C376" s="13"/>
      <c r="F376" s="177"/>
      <c r="I376" s="177"/>
      <c r="J376" s="42"/>
    </row>
    <row r="377" spans="1:10" ht="15.75" customHeight="1" x14ac:dyDescent="0.3">
      <c r="A377" s="13"/>
      <c r="B377" s="13"/>
      <c r="C377" s="13"/>
      <c r="F377" s="177"/>
      <c r="I377" s="177"/>
      <c r="J377" s="42"/>
    </row>
    <row r="378" spans="1:10" ht="15.75" customHeight="1" x14ac:dyDescent="0.3">
      <c r="A378" s="13"/>
      <c r="B378" s="13"/>
      <c r="C378" s="13"/>
      <c r="F378" s="177"/>
      <c r="I378" s="177"/>
      <c r="J378" s="42"/>
    </row>
    <row r="379" spans="1:10" ht="15.75" customHeight="1" x14ac:dyDescent="0.3">
      <c r="A379" s="13"/>
      <c r="B379" s="13"/>
      <c r="C379" s="13"/>
      <c r="F379" s="177"/>
      <c r="I379" s="177"/>
      <c r="J379" s="42"/>
    </row>
    <row r="380" spans="1:10" ht="15.75" customHeight="1" x14ac:dyDescent="0.3">
      <c r="A380" s="13"/>
      <c r="B380" s="13"/>
      <c r="C380" s="13"/>
      <c r="F380" s="177"/>
      <c r="I380" s="177"/>
      <c r="J380" s="42"/>
    </row>
    <row r="381" spans="1:10" ht="15.75" customHeight="1" x14ac:dyDescent="0.3">
      <c r="A381" s="13"/>
      <c r="B381" s="13"/>
      <c r="C381" s="13"/>
      <c r="F381" s="177"/>
      <c r="I381" s="177"/>
      <c r="J381" s="42"/>
    </row>
    <row r="382" spans="1:10" ht="15.75" customHeight="1" x14ac:dyDescent="0.3">
      <c r="A382" s="13"/>
      <c r="B382" s="13"/>
      <c r="C382" s="13"/>
      <c r="F382" s="177"/>
      <c r="I382" s="177"/>
      <c r="J382" s="42"/>
    </row>
    <row r="383" spans="1:10" ht="15.75" customHeight="1" x14ac:dyDescent="0.3">
      <c r="A383" s="13"/>
      <c r="B383" s="13"/>
      <c r="C383" s="13"/>
      <c r="F383" s="177"/>
      <c r="I383" s="177"/>
      <c r="J383" s="42"/>
    </row>
    <row r="384" spans="1:10" ht="15.75" customHeight="1" x14ac:dyDescent="0.3">
      <c r="A384" s="13"/>
      <c r="B384" s="13"/>
      <c r="C384" s="13"/>
      <c r="F384" s="177"/>
      <c r="I384" s="177"/>
      <c r="J384" s="42"/>
    </row>
    <row r="385" spans="1:10" ht="15.75" customHeight="1" x14ac:dyDescent="0.3">
      <c r="A385" s="13"/>
      <c r="B385" s="13"/>
      <c r="C385" s="13"/>
      <c r="F385" s="177"/>
      <c r="I385" s="177"/>
      <c r="J385" s="42"/>
    </row>
    <row r="386" spans="1:10" ht="15.75" customHeight="1" x14ac:dyDescent="0.3">
      <c r="A386" s="13"/>
      <c r="B386" s="13"/>
      <c r="C386" s="13"/>
      <c r="F386" s="177"/>
      <c r="I386" s="177"/>
      <c r="J386" s="42"/>
    </row>
    <row r="387" spans="1:10" ht="15.75" customHeight="1" x14ac:dyDescent="0.3">
      <c r="A387" s="13"/>
      <c r="B387" s="13"/>
      <c r="C387" s="13"/>
      <c r="F387" s="177"/>
      <c r="I387" s="177"/>
      <c r="J387" s="42"/>
    </row>
    <row r="388" spans="1:10" ht="15.75" customHeight="1" x14ac:dyDescent="0.3">
      <c r="A388" s="13"/>
      <c r="B388" s="13"/>
      <c r="C388" s="13"/>
      <c r="F388" s="177"/>
      <c r="I388" s="177"/>
      <c r="J388" s="42"/>
    </row>
    <row r="389" spans="1:10" ht="15.75" customHeight="1" x14ac:dyDescent="0.3">
      <c r="A389" s="13"/>
      <c r="B389" s="13"/>
      <c r="C389" s="13"/>
      <c r="F389" s="177"/>
      <c r="I389" s="177"/>
      <c r="J389" s="42"/>
    </row>
    <row r="390" spans="1:10" ht="15.75" customHeight="1" x14ac:dyDescent="0.3">
      <c r="A390" s="13"/>
      <c r="B390" s="13"/>
      <c r="C390" s="13"/>
      <c r="F390" s="177"/>
      <c r="I390" s="177"/>
      <c r="J390" s="42"/>
    </row>
    <row r="391" spans="1:10" ht="15.75" customHeight="1" x14ac:dyDescent="0.3">
      <c r="A391" s="13"/>
      <c r="B391" s="13"/>
      <c r="C391" s="13"/>
      <c r="F391" s="177"/>
      <c r="I391" s="177"/>
      <c r="J391" s="42"/>
    </row>
    <row r="392" spans="1:10" ht="15.75" customHeight="1" x14ac:dyDescent="0.3">
      <c r="A392" s="13"/>
      <c r="B392" s="13"/>
      <c r="C392" s="13"/>
      <c r="F392" s="177"/>
      <c r="I392" s="177"/>
      <c r="J392" s="42"/>
    </row>
    <row r="393" spans="1:10" ht="15.75" customHeight="1" x14ac:dyDescent="0.3">
      <c r="A393" s="13"/>
      <c r="B393" s="13"/>
      <c r="C393" s="13"/>
      <c r="F393" s="177"/>
      <c r="I393" s="177"/>
      <c r="J393" s="42"/>
    </row>
    <row r="394" spans="1:10" ht="15.75" customHeight="1" x14ac:dyDescent="0.3">
      <c r="A394" s="13"/>
      <c r="B394" s="13"/>
      <c r="C394" s="13"/>
      <c r="F394" s="177"/>
      <c r="I394" s="177"/>
      <c r="J394" s="42"/>
    </row>
    <row r="395" spans="1:10" ht="15.75" customHeight="1" x14ac:dyDescent="0.3">
      <c r="A395" s="13"/>
      <c r="B395" s="13"/>
      <c r="C395" s="13"/>
      <c r="F395" s="177"/>
      <c r="I395" s="177"/>
      <c r="J395" s="42"/>
    </row>
    <row r="396" spans="1:10" ht="15.75" customHeight="1" x14ac:dyDescent="0.3">
      <c r="A396" s="13"/>
      <c r="B396" s="13"/>
      <c r="C396" s="13"/>
      <c r="F396" s="177"/>
      <c r="I396" s="177"/>
      <c r="J396" s="42"/>
    </row>
    <row r="397" spans="1:10" ht="15.75" customHeight="1" x14ac:dyDescent="0.3">
      <c r="A397" s="13"/>
      <c r="B397" s="13"/>
      <c r="C397" s="13"/>
      <c r="F397" s="177"/>
      <c r="I397" s="177"/>
      <c r="J397" s="42"/>
    </row>
    <row r="398" spans="1:10" ht="15.75" customHeight="1" x14ac:dyDescent="0.3">
      <c r="A398" s="13"/>
      <c r="B398" s="13"/>
      <c r="C398" s="13"/>
      <c r="F398" s="177"/>
      <c r="I398" s="177"/>
      <c r="J398" s="42"/>
    </row>
    <row r="399" spans="1:10" ht="15.75" customHeight="1" x14ac:dyDescent="0.3">
      <c r="A399" s="13"/>
      <c r="B399" s="13"/>
      <c r="C399" s="13"/>
      <c r="F399" s="177"/>
      <c r="I399" s="177"/>
      <c r="J399" s="42"/>
    </row>
    <row r="400" spans="1:10" ht="15.75" customHeight="1" x14ac:dyDescent="0.3">
      <c r="A400" s="13"/>
      <c r="B400" s="13"/>
      <c r="C400" s="13"/>
      <c r="F400" s="177"/>
      <c r="I400" s="177"/>
      <c r="J400" s="42"/>
    </row>
    <row r="401" spans="1:10" ht="15.75" customHeight="1" x14ac:dyDescent="0.3">
      <c r="A401" s="13"/>
      <c r="B401" s="13"/>
      <c r="C401" s="13"/>
      <c r="F401" s="177"/>
      <c r="I401" s="177"/>
      <c r="J401" s="42"/>
    </row>
    <row r="402" spans="1:10" ht="15.75" customHeight="1" x14ac:dyDescent="0.3">
      <c r="A402" s="13"/>
      <c r="B402" s="13"/>
      <c r="C402" s="13"/>
      <c r="F402" s="177"/>
      <c r="I402" s="177"/>
      <c r="J402" s="42"/>
    </row>
    <row r="403" spans="1:10" ht="15.75" customHeight="1" x14ac:dyDescent="0.3">
      <c r="A403" s="13"/>
      <c r="B403" s="13"/>
      <c r="C403" s="13"/>
      <c r="F403" s="177"/>
      <c r="I403" s="177"/>
      <c r="J403" s="42"/>
    </row>
    <row r="404" spans="1:10" ht="15.75" customHeight="1" x14ac:dyDescent="0.3">
      <c r="A404" s="13"/>
      <c r="B404" s="13"/>
      <c r="C404" s="13"/>
      <c r="F404" s="177"/>
      <c r="I404" s="177"/>
      <c r="J404" s="42"/>
    </row>
    <row r="405" spans="1:10" ht="15.75" customHeight="1" x14ac:dyDescent="0.3">
      <c r="A405" s="13"/>
      <c r="B405" s="13"/>
      <c r="C405" s="13"/>
      <c r="F405" s="177"/>
      <c r="I405" s="177"/>
      <c r="J405" s="42"/>
    </row>
    <row r="406" spans="1:10" ht="15.75" customHeight="1" x14ac:dyDescent="0.3">
      <c r="A406" s="13"/>
      <c r="B406" s="13"/>
      <c r="C406" s="13"/>
      <c r="F406" s="177"/>
      <c r="I406" s="177"/>
      <c r="J406" s="42"/>
    </row>
    <row r="407" spans="1:10" ht="15.75" customHeight="1" x14ac:dyDescent="0.3">
      <c r="A407" s="13"/>
      <c r="B407" s="13"/>
      <c r="C407" s="13"/>
      <c r="F407" s="177"/>
      <c r="I407" s="177"/>
      <c r="J407" s="42"/>
    </row>
    <row r="408" spans="1:10" ht="15.75" customHeight="1" x14ac:dyDescent="0.3">
      <c r="A408" s="13"/>
      <c r="B408" s="13"/>
      <c r="C408" s="13"/>
      <c r="F408" s="177"/>
      <c r="I408" s="177"/>
      <c r="J408" s="42"/>
    </row>
    <row r="409" spans="1:10" ht="15.75" customHeight="1" x14ac:dyDescent="0.3">
      <c r="A409" s="13"/>
      <c r="B409" s="13"/>
      <c r="C409" s="13"/>
      <c r="F409" s="177"/>
      <c r="I409" s="177"/>
      <c r="J409" s="42"/>
    </row>
    <row r="410" spans="1:10" ht="15.75" customHeight="1" x14ac:dyDescent="0.3">
      <c r="A410" s="13"/>
      <c r="B410" s="13"/>
      <c r="C410" s="13"/>
      <c r="F410" s="177"/>
      <c r="I410" s="177"/>
      <c r="J410" s="42"/>
    </row>
    <row r="411" spans="1:10" ht="15.75" customHeight="1" x14ac:dyDescent="0.3">
      <c r="A411" s="13"/>
      <c r="B411" s="13"/>
      <c r="C411" s="13"/>
      <c r="F411" s="177"/>
      <c r="I411" s="177"/>
      <c r="J411" s="42"/>
    </row>
    <row r="412" spans="1:10" ht="15.75" customHeight="1" x14ac:dyDescent="0.3">
      <c r="A412" s="13"/>
      <c r="B412" s="13"/>
      <c r="C412" s="13"/>
      <c r="F412" s="177"/>
      <c r="I412" s="177"/>
      <c r="J412" s="42"/>
    </row>
    <row r="413" spans="1:10" ht="15.75" customHeight="1" x14ac:dyDescent="0.3">
      <c r="A413" s="13"/>
      <c r="B413" s="13"/>
      <c r="C413" s="13"/>
      <c r="F413" s="177"/>
      <c r="I413" s="177"/>
      <c r="J413" s="42"/>
    </row>
    <row r="414" spans="1:10" ht="15.75" customHeight="1" x14ac:dyDescent="0.3">
      <c r="A414" s="13"/>
      <c r="B414" s="13"/>
      <c r="C414" s="13"/>
      <c r="F414" s="177"/>
      <c r="I414" s="177"/>
      <c r="J414" s="42"/>
    </row>
    <row r="415" spans="1:10" ht="15.75" customHeight="1" x14ac:dyDescent="0.3">
      <c r="A415" s="13"/>
      <c r="B415" s="13"/>
      <c r="C415" s="13"/>
      <c r="F415" s="177"/>
      <c r="I415" s="177"/>
      <c r="J415" s="42"/>
    </row>
    <row r="416" spans="1:10" ht="15.75" customHeight="1" x14ac:dyDescent="0.3">
      <c r="A416" s="13"/>
      <c r="B416" s="13"/>
      <c r="C416" s="13"/>
      <c r="F416" s="177"/>
      <c r="I416" s="177"/>
      <c r="J416" s="42"/>
    </row>
    <row r="417" spans="1:10" ht="15.75" customHeight="1" x14ac:dyDescent="0.3">
      <c r="A417" s="13"/>
      <c r="B417" s="13"/>
      <c r="C417" s="13"/>
      <c r="F417" s="177"/>
      <c r="I417" s="177"/>
      <c r="J417" s="42"/>
    </row>
    <row r="418" spans="1:10" ht="15.75" customHeight="1" x14ac:dyDescent="0.3">
      <c r="A418" s="13"/>
      <c r="B418" s="13"/>
      <c r="C418" s="13"/>
      <c r="F418" s="177"/>
      <c r="I418" s="177"/>
      <c r="J418" s="42"/>
    </row>
    <row r="419" spans="1:10" ht="15.75" customHeight="1" x14ac:dyDescent="0.3">
      <c r="A419" s="13"/>
      <c r="B419" s="13"/>
      <c r="C419" s="13"/>
      <c r="F419" s="177"/>
      <c r="I419" s="177"/>
      <c r="J419" s="42"/>
    </row>
    <row r="420" spans="1:10" ht="15.75" customHeight="1" x14ac:dyDescent="0.3">
      <c r="A420" s="13"/>
      <c r="B420" s="13"/>
      <c r="C420" s="13"/>
      <c r="F420" s="177"/>
      <c r="I420" s="177"/>
      <c r="J420" s="42"/>
    </row>
    <row r="421" spans="1:10" ht="15.75" customHeight="1" x14ac:dyDescent="0.3">
      <c r="A421" s="13"/>
      <c r="B421" s="13"/>
      <c r="C421" s="13"/>
      <c r="F421" s="177"/>
      <c r="I421" s="177"/>
      <c r="J421" s="42"/>
    </row>
    <row r="422" spans="1:10" ht="15.75" customHeight="1" x14ac:dyDescent="0.3">
      <c r="A422" s="13"/>
      <c r="B422" s="13"/>
      <c r="C422" s="13"/>
      <c r="F422" s="177"/>
      <c r="I422" s="177"/>
      <c r="J422" s="42"/>
    </row>
    <row r="423" spans="1:10" ht="15.75" customHeight="1" x14ac:dyDescent="0.3">
      <c r="A423" s="13"/>
      <c r="B423" s="13"/>
      <c r="C423" s="13"/>
      <c r="F423" s="177"/>
      <c r="I423" s="177"/>
      <c r="J423" s="42"/>
    </row>
    <row r="424" spans="1:10" ht="15.75" customHeight="1" x14ac:dyDescent="0.3">
      <c r="A424" s="13"/>
      <c r="B424" s="13"/>
      <c r="C424" s="13"/>
      <c r="F424" s="177"/>
      <c r="I424" s="177"/>
      <c r="J424" s="42"/>
    </row>
    <row r="425" spans="1:10" ht="15.75" customHeight="1" x14ac:dyDescent="0.3">
      <c r="A425" s="13"/>
      <c r="B425" s="13"/>
      <c r="C425" s="13"/>
      <c r="F425" s="177"/>
      <c r="I425" s="177"/>
      <c r="J425" s="42"/>
    </row>
    <row r="426" spans="1:10" ht="15.75" customHeight="1" x14ac:dyDescent="0.3">
      <c r="A426" s="13"/>
      <c r="B426" s="13"/>
      <c r="C426" s="13"/>
      <c r="F426" s="177"/>
      <c r="I426" s="177"/>
      <c r="J426" s="42"/>
    </row>
    <row r="427" spans="1:10" ht="15.75" customHeight="1" x14ac:dyDescent="0.3">
      <c r="A427" s="13"/>
      <c r="B427" s="13"/>
      <c r="C427" s="13"/>
      <c r="F427" s="177"/>
      <c r="I427" s="177"/>
      <c r="J427" s="42"/>
    </row>
    <row r="428" spans="1:10" ht="15.75" customHeight="1" x14ac:dyDescent="0.3">
      <c r="A428" s="13"/>
      <c r="B428" s="13"/>
      <c r="C428" s="13"/>
      <c r="F428" s="177"/>
      <c r="I428" s="177"/>
      <c r="J428" s="42"/>
    </row>
    <row r="429" spans="1:10" ht="15.75" customHeight="1" x14ac:dyDescent="0.3">
      <c r="A429" s="13"/>
      <c r="B429" s="13"/>
      <c r="C429" s="13"/>
      <c r="F429" s="177"/>
      <c r="I429" s="177"/>
      <c r="J429" s="42"/>
    </row>
    <row r="430" spans="1:10" ht="15.75" customHeight="1" x14ac:dyDescent="0.3">
      <c r="A430" s="13"/>
      <c r="B430" s="13"/>
      <c r="C430" s="13"/>
      <c r="F430" s="177"/>
      <c r="I430" s="177"/>
      <c r="J430" s="42"/>
    </row>
    <row r="431" spans="1:10" ht="15.75" customHeight="1" x14ac:dyDescent="0.3">
      <c r="A431" s="13"/>
      <c r="B431" s="13"/>
      <c r="C431" s="13"/>
      <c r="F431" s="177"/>
      <c r="I431" s="177"/>
      <c r="J431" s="42"/>
    </row>
    <row r="432" spans="1:10" ht="15.75" customHeight="1" x14ac:dyDescent="0.3">
      <c r="A432" s="13"/>
      <c r="B432" s="13"/>
      <c r="C432" s="13"/>
      <c r="F432" s="177"/>
      <c r="I432" s="177"/>
      <c r="J432" s="42"/>
    </row>
    <row r="433" spans="1:10" ht="15.75" customHeight="1" x14ac:dyDescent="0.3">
      <c r="A433" s="13"/>
      <c r="B433" s="13"/>
      <c r="C433" s="13"/>
      <c r="F433" s="177"/>
      <c r="I433" s="177"/>
      <c r="J433" s="42"/>
    </row>
    <row r="434" spans="1:10" ht="15.75" customHeight="1" x14ac:dyDescent="0.3">
      <c r="A434" s="13"/>
      <c r="B434" s="13"/>
      <c r="C434" s="13"/>
      <c r="F434" s="177"/>
      <c r="I434" s="177"/>
      <c r="J434" s="42"/>
    </row>
    <row r="435" spans="1:10" ht="15.75" customHeight="1" x14ac:dyDescent="0.3">
      <c r="A435" s="13"/>
      <c r="B435" s="13"/>
      <c r="C435" s="13"/>
      <c r="F435" s="177"/>
      <c r="I435" s="177"/>
      <c r="J435" s="42"/>
    </row>
    <row r="436" spans="1:10" ht="15.75" customHeight="1" x14ac:dyDescent="0.3">
      <c r="A436" s="13"/>
      <c r="B436" s="13"/>
      <c r="C436" s="13"/>
      <c r="F436" s="177"/>
      <c r="I436" s="177"/>
      <c r="J436" s="42"/>
    </row>
    <row r="437" spans="1:10" ht="15.75" customHeight="1" x14ac:dyDescent="0.3">
      <c r="A437" s="13"/>
      <c r="B437" s="13"/>
      <c r="C437" s="13"/>
      <c r="F437" s="177"/>
      <c r="I437" s="177"/>
      <c r="J437" s="42"/>
    </row>
    <row r="438" spans="1:10" ht="15.75" customHeight="1" x14ac:dyDescent="0.3">
      <c r="A438" s="13"/>
      <c r="B438" s="13"/>
      <c r="C438" s="13"/>
      <c r="F438" s="177"/>
      <c r="I438" s="177"/>
      <c r="J438" s="42"/>
    </row>
    <row r="439" spans="1:10" ht="15.75" customHeight="1" x14ac:dyDescent="0.3">
      <c r="A439" s="13"/>
      <c r="B439" s="13"/>
      <c r="C439" s="13"/>
      <c r="F439" s="177"/>
      <c r="I439" s="177"/>
      <c r="J439" s="42"/>
    </row>
    <row r="440" spans="1:10" ht="15.75" customHeight="1" x14ac:dyDescent="0.3">
      <c r="A440" s="13"/>
      <c r="B440" s="13"/>
      <c r="C440" s="13"/>
      <c r="F440" s="177"/>
      <c r="I440" s="177"/>
      <c r="J440" s="42"/>
    </row>
    <row r="441" spans="1:10" ht="15.75" customHeight="1" x14ac:dyDescent="0.3">
      <c r="A441" s="13"/>
      <c r="B441" s="13"/>
      <c r="C441" s="13"/>
      <c r="F441" s="177"/>
      <c r="I441" s="177"/>
      <c r="J441" s="42"/>
    </row>
    <row r="442" spans="1:10" ht="15.75" customHeight="1" x14ac:dyDescent="0.3">
      <c r="A442" s="13"/>
      <c r="B442" s="13"/>
      <c r="C442" s="13"/>
      <c r="F442" s="177"/>
      <c r="I442" s="177"/>
      <c r="J442" s="42"/>
    </row>
    <row r="443" spans="1:10" ht="15.75" customHeight="1" x14ac:dyDescent="0.3">
      <c r="A443" s="13"/>
      <c r="B443" s="13"/>
      <c r="C443" s="13"/>
      <c r="F443" s="177"/>
      <c r="I443" s="177"/>
      <c r="J443" s="42"/>
    </row>
    <row r="444" spans="1:10" ht="15.75" customHeight="1" x14ac:dyDescent="0.3">
      <c r="A444" s="13"/>
      <c r="B444" s="13"/>
      <c r="C444" s="13"/>
      <c r="F444" s="177"/>
      <c r="I444" s="177"/>
      <c r="J444" s="42"/>
    </row>
    <row r="445" spans="1:10" ht="15.75" customHeight="1" x14ac:dyDescent="0.3">
      <c r="A445" s="13"/>
      <c r="B445" s="13"/>
      <c r="C445" s="13"/>
      <c r="F445" s="177"/>
      <c r="I445" s="177"/>
      <c r="J445" s="42"/>
    </row>
    <row r="446" spans="1:10" ht="15.75" customHeight="1" x14ac:dyDescent="0.3">
      <c r="A446" s="13"/>
      <c r="B446" s="13"/>
      <c r="C446" s="13"/>
      <c r="F446" s="177"/>
      <c r="I446" s="177"/>
      <c r="J446" s="42"/>
    </row>
    <row r="447" spans="1:10" ht="15.75" customHeight="1" x14ac:dyDescent="0.3">
      <c r="A447" s="13"/>
      <c r="B447" s="13"/>
      <c r="C447" s="13"/>
      <c r="F447" s="177"/>
      <c r="I447" s="177"/>
      <c r="J447" s="42"/>
    </row>
    <row r="448" spans="1:10" ht="15.75" customHeight="1" x14ac:dyDescent="0.3">
      <c r="A448" s="13"/>
      <c r="B448" s="13"/>
      <c r="C448" s="13"/>
      <c r="F448" s="177"/>
      <c r="I448" s="177"/>
      <c r="J448" s="42"/>
    </row>
    <row r="449" spans="1:10" ht="15.75" customHeight="1" x14ac:dyDescent="0.3">
      <c r="A449" s="13"/>
      <c r="B449" s="13"/>
      <c r="C449" s="13"/>
      <c r="F449" s="177"/>
      <c r="I449" s="177"/>
      <c r="J449" s="42"/>
    </row>
    <row r="450" spans="1:10" ht="15.75" customHeight="1" x14ac:dyDescent="0.3">
      <c r="A450" s="13"/>
      <c r="B450" s="13"/>
      <c r="C450" s="13"/>
      <c r="F450" s="177"/>
      <c r="I450" s="177"/>
      <c r="J450" s="42"/>
    </row>
    <row r="451" spans="1:10" ht="15.75" customHeight="1" x14ac:dyDescent="0.3">
      <c r="A451" s="13"/>
      <c r="B451" s="13"/>
      <c r="C451" s="13"/>
      <c r="F451" s="177"/>
      <c r="I451" s="177"/>
      <c r="J451" s="42"/>
    </row>
    <row r="452" spans="1:10" ht="15.75" customHeight="1" x14ac:dyDescent="0.3">
      <c r="A452" s="13"/>
      <c r="B452" s="13"/>
      <c r="C452" s="13"/>
      <c r="F452" s="177"/>
      <c r="I452" s="177"/>
      <c r="J452" s="42"/>
    </row>
    <row r="453" spans="1:10" ht="15.75" customHeight="1" x14ac:dyDescent="0.3">
      <c r="A453" s="13"/>
      <c r="B453" s="13"/>
      <c r="C453" s="13"/>
      <c r="F453" s="177"/>
      <c r="I453" s="177"/>
      <c r="J453" s="42"/>
    </row>
    <row r="454" spans="1:10" ht="15.75" customHeight="1" x14ac:dyDescent="0.3">
      <c r="A454" s="13"/>
      <c r="B454" s="13"/>
      <c r="C454" s="13"/>
      <c r="F454" s="177"/>
      <c r="I454" s="177"/>
      <c r="J454" s="42"/>
    </row>
    <row r="455" spans="1:10" ht="15.75" customHeight="1" x14ac:dyDescent="0.3">
      <c r="A455" s="13"/>
      <c r="B455" s="13"/>
      <c r="C455" s="13"/>
      <c r="F455" s="177"/>
      <c r="I455" s="177"/>
      <c r="J455" s="42"/>
    </row>
    <row r="456" spans="1:10" ht="15.75" customHeight="1" x14ac:dyDescent="0.3">
      <c r="A456" s="13"/>
      <c r="B456" s="13"/>
      <c r="C456" s="13"/>
      <c r="F456" s="177"/>
      <c r="I456" s="177"/>
      <c r="J456" s="42"/>
    </row>
    <row r="457" spans="1:10" ht="15.75" customHeight="1" x14ac:dyDescent="0.3">
      <c r="A457" s="13"/>
      <c r="B457" s="13"/>
      <c r="C457" s="13"/>
      <c r="F457" s="177"/>
      <c r="I457" s="177"/>
      <c r="J457" s="42"/>
    </row>
    <row r="458" spans="1:10" ht="15.75" customHeight="1" x14ac:dyDescent="0.3">
      <c r="A458" s="13"/>
      <c r="B458" s="13"/>
      <c r="C458" s="13"/>
      <c r="F458" s="177"/>
      <c r="I458" s="177"/>
      <c r="J458" s="42"/>
    </row>
    <row r="459" spans="1:10" ht="15.75" customHeight="1" x14ac:dyDescent="0.3">
      <c r="A459" s="13"/>
      <c r="B459" s="13"/>
      <c r="C459" s="13"/>
      <c r="F459" s="177"/>
      <c r="I459" s="177"/>
      <c r="J459" s="42"/>
    </row>
    <row r="460" spans="1:10" ht="15.75" customHeight="1" x14ac:dyDescent="0.3">
      <c r="A460" s="13"/>
      <c r="B460" s="13"/>
      <c r="C460" s="13"/>
      <c r="F460" s="177"/>
      <c r="I460" s="177"/>
      <c r="J460" s="42"/>
    </row>
    <row r="461" spans="1:10" ht="15.75" customHeight="1" x14ac:dyDescent="0.3">
      <c r="A461" s="13"/>
      <c r="B461" s="13"/>
      <c r="C461" s="13"/>
      <c r="F461" s="177"/>
      <c r="I461" s="177"/>
      <c r="J461" s="42"/>
    </row>
    <row r="462" spans="1:10" ht="15.75" customHeight="1" x14ac:dyDescent="0.3">
      <c r="A462" s="13"/>
      <c r="B462" s="13"/>
      <c r="C462" s="13"/>
      <c r="F462" s="177"/>
      <c r="I462" s="177"/>
      <c r="J462" s="42"/>
    </row>
    <row r="463" spans="1:10" ht="15.75" customHeight="1" x14ac:dyDescent="0.3">
      <c r="A463" s="13"/>
      <c r="B463" s="13"/>
      <c r="C463" s="13"/>
      <c r="F463" s="177"/>
      <c r="I463" s="177"/>
      <c r="J463" s="42"/>
    </row>
    <row r="464" spans="1:10" ht="15.75" customHeight="1" x14ac:dyDescent="0.3">
      <c r="A464" s="13"/>
      <c r="B464" s="13"/>
      <c r="C464" s="13"/>
      <c r="F464" s="177"/>
      <c r="I464" s="177"/>
      <c r="J464" s="42"/>
    </row>
    <row r="465" spans="1:10" ht="15.75" customHeight="1" x14ac:dyDescent="0.3">
      <c r="A465" s="13"/>
      <c r="B465" s="13"/>
      <c r="C465" s="13"/>
      <c r="F465" s="177"/>
      <c r="I465" s="177"/>
      <c r="J465" s="42"/>
    </row>
    <row r="466" spans="1:10" ht="15.75" customHeight="1" x14ac:dyDescent="0.3">
      <c r="A466" s="13"/>
      <c r="B466" s="13"/>
      <c r="C466" s="13"/>
      <c r="F466" s="177"/>
      <c r="I466" s="177"/>
      <c r="J466" s="42"/>
    </row>
    <row r="467" spans="1:10" ht="15.75" customHeight="1" x14ac:dyDescent="0.3">
      <c r="A467" s="13"/>
      <c r="B467" s="13"/>
      <c r="C467" s="13"/>
      <c r="F467" s="177"/>
      <c r="I467" s="177"/>
      <c r="J467" s="42"/>
    </row>
    <row r="468" spans="1:10" ht="15.75" customHeight="1" x14ac:dyDescent="0.3">
      <c r="A468" s="13"/>
      <c r="B468" s="13"/>
      <c r="C468" s="13"/>
      <c r="F468" s="177"/>
      <c r="I468" s="177"/>
      <c r="J468" s="42"/>
    </row>
    <row r="469" spans="1:10" ht="15.75" customHeight="1" x14ac:dyDescent="0.3">
      <c r="A469" s="13"/>
      <c r="B469" s="13"/>
      <c r="C469" s="13"/>
      <c r="F469" s="177"/>
      <c r="I469" s="177"/>
      <c r="J469" s="42"/>
    </row>
    <row r="470" spans="1:10" ht="15.75" customHeight="1" x14ac:dyDescent="0.3">
      <c r="A470" s="13"/>
      <c r="B470" s="13"/>
      <c r="C470" s="13"/>
      <c r="F470" s="177"/>
      <c r="I470" s="177"/>
      <c r="J470" s="42"/>
    </row>
    <row r="471" spans="1:10" ht="15.75" customHeight="1" x14ac:dyDescent="0.3">
      <c r="A471" s="13"/>
      <c r="B471" s="13"/>
      <c r="C471" s="13"/>
      <c r="F471" s="177"/>
      <c r="I471" s="177"/>
      <c r="J471" s="42"/>
    </row>
    <row r="472" spans="1:10" ht="15.75" customHeight="1" x14ac:dyDescent="0.3">
      <c r="A472" s="13"/>
      <c r="B472" s="13"/>
      <c r="C472" s="13"/>
      <c r="F472" s="177"/>
      <c r="I472" s="177"/>
      <c r="J472" s="42"/>
    </row>
    <row r="473" spans="1:10" ht="15.75" customHeight="1" x14ac:dyDescent="0.3">
      <c r="A473" s="13"/>
      <c r="B473" s="13"/>
      <c r="C473" s="13"/>
      <c r="F473" s="177"/>
      <c r="I473" s="177"/>
      <c r="J473" s="42"/>
    </row>
    <row r="474" spans="1:10" ht="15.75" customHeight="1" x14ac:dyDescent="0.3">
      <c r="A474" s="13"/>
      <c r="B474" s="13"/>
      <c r="C474" s="13"/>
      <c r="F474" s="177"/>
      <c r="I474" s="177"/>
      <c r="J474" s="42"/>
    </row>
    <row r="475" spans="1:10" ht="15.75" customHeight="1" x14ac:dyDescent="0.3">
      <c r="A475" s="13"/>
      <c r="B475" s="13"/>
      <c r="C475" s="13"/>
      <c r="F475" s="177"/>
      <c r="I475" s="177"/>
      <c r="J475" s="42"/>
    </row>
    <row r="476" spans="1:10" ht="15.75" customHeight="1" x14ac:dyDescent="0.3">
      <c r="A476" s="13"/>
      <c r="B476" s="13"/>
      <c r="C476" s="13"/>
      <c r="F476" s="177"/>
      <c r="I476" s="177"/>
      <c r="J476" s="42"/>
    </row>
    <row r="477" spans="1:10" ht="15.75" customHeight="1" x14ac:dyDescent="0.3">
      <c r="A477" s="13"/>
      <c r="B477" s="13"/>
      <c r="C477" s="13"/>
      <c r="F477" s="177"/>
      <c r="I477" s="177"/>
      <c r="J477" s="42"/>
    </row>
    <row r="478" spans="1:10" ht="15.75" customHeight="1" x14ac:dyDescent="0.3">
      <c r="A478" s="13"/>
      <c r="B478" s="13"/>
      <c r="C478" s="13"/>
      <c r="F478" s="177"/>
      <c r="I478" s="177"/>
      <c r="J478" s="42"/>
    </row>
    <row r="479" spans="1:10" ht="15.75" customHeight="1" x14ac:dyDescent="0.3">
      <c r="A479" s="13"/>
      <c r="B479" s="13"/>
      <c r="C479" s="13"/>
      <c r="F479" s="177"/>
      <c r="I479" s="177"/>
      <c r="J479" s="42"/>
    </row>
    <row r="480" spans="1:10" ht="15.75" customHeight="1" x14ac:dyDescent="0.3">
      <c r="A480" s="13"/>
      <c r="B480" s="13"/>
      <c r="C480" s="13"/>
      <c r="F480" s="177"/>
      <c r="I480" s="177"/>
      <c r="J480" s="42"/>
    </row>
    <row r="481" spans="1:10" ht="15.75" customHeight="1" x14ac:dyDescent="0.3">
      <c r="A481" s="13"/>
      <c r="B481" s="13"/>
      <c r="C481" s="13"/>
      <c r="F481" s="177"/>
      <c r="I481" s="177"/>
      <c r="J481" s="42"/>
    </row>
    <row r="482" spans="1:10" ht="15.75" customHeight="1" x14ac:dyDescent="0.3">
      <c r="A482" s="13"/>
      <c r="B482" s="13"/>
      <c r="C482" s="13"/>
      <c r="F482" s="177"/>
      <c r="I482" s="177"/>
      <c r="J482" s="42"/>
    </row>
    <row r="483" spans="1:10" ht="15.75" customHeight="1" x14ac:dyDescent="0.3">
      <c r="A483" s="13"/>
      <c r="B483" s="13"/>
      <c r="C483" s="13"/>
      <c r="F483" s="177"/>
      <c r="I483" s="177"/>
      <c r="J483" s="42"/>
    </row>
    <row r="484" spans="1:10" ht="15.75" customHeight="1" x14ac:dyDescent="0.3">
      <c r="A484" s="13"/>
      <c r="B484" s="13"/>
      <c r="C484" s="13"/>
      <c r="F484" s="177"/>
      <c r="I484" s="177"/>
      <c r="J484" s="42"/>
    </row>
    <row r="485" spans="1:10" ht="15.75" customHeight="1" x14ac:dyDescent="0.3">
      <c r="A485" s="13"/>
      <c r="B485" s="13"/>
      <c r="C485" s="13"/>
      <c r="F485" s="177"/>
      <c r="I485" s="177"/>
      <c r="J485" s="42"/>
    </row>
    <row r="486" spans="1:10" ht="15.75" customHeight="1" x14ac:dyDescent="0.3">
      <c r="A486" s="13"/>
      <c r="B486" s="13"/>
      <c r="C486" s="13"/>
      <c r="F486" s="177"/>
      <c r="I486" s="177"/>
      <c r="J486" s="42"/>
    </row>
    <row r="487" spans="1:10" ht="15.75" customHeight="1" x14ac:dyDescent="0.3">
      <c r="A487" s="13"/>
      <c r="B487" s="13"/>
      <c r="C487" s="13"/>
      <c r="F487" s="177"/>
      <c r="I487" s="177"/>
      <c r="J487" s="42"/>
    </row>
    <row r="488" spans="1:10" ht="15.75" customHeight="1" x14ac:dyDescent="0.3">
      <c r="A488" s="13"/>
      <c r="B488" s="13"/>
      <c r="C488" s="13"/>
      <c r="F488" s="177"/>
      <c r="I488" s="177"/>
      <c r="J488" s="42"/>
    </row>
    <row r="489" spans="1:10" ht="15.75" customHeight="1" x14ac:dyDescent="0.3">
      <c r="A489" s="13"/>
      <c r="B489" s="13"/>
      <c r="C489" s="13"/>
      <c r="F489" s="177"/>
      <c r="I489" s="177"/>
      <c r="J489" s="42"/>
    </row>
    <row r="490" spans="1:10" ht="15.75" customHeight="1" x14ac:dyDescent="0.3">
      <c r="A490" s="13"/>
      <c r="B490" s="13"/>
      <c r="C490" s="13"/>
      <c r="F490" s="177"/>
      <c r="I490" s="177"/>
      <c r="J490" s="42"/>
    </row>
    <row r="491" spans="1:10" ht="15.75" customHeight="1" x14ac:dyDescent="0.3">
      <c r="A491" s="13"/>
      <c r="B491" s="13"/>
      <c r="C491" s="13"/>
      <c r="F491" s="177"/>
      <c r="I491" s="177"/>
      <c r="J491" s="42"/>
    </row>
    <row r="492" spans="1:10" ht="15.75" customHeight="1" x14ac:dyDescent="0.3">
      <c r="A492" s="13"/>
      <c r="B492" s="13"/>
      <c r="C492" s="13"/>
      <c r="F492" s="177"/>
      <c r="I492" s="177"/>
      <c r="J492" s="42"/>
    </row>
    <row r="493" spans="1:10" ht="15.75" customHeight="1" x14ac:dyDescent="0.3">
      <c r="A493" s="13"/>
      <c r="B493" s="13"/>
      <c r="C493" s="13"/>
      <c r="F493" s="177"/>
      <c r="I493" s="177"/>
      <c r="J493" s="42"/>
    </row>
    <row r="494" spans="1:10" ht="15.75" customHeight="1" x14ac:dyDescent="0.3">
      <c r="A494" s="13"/>
      <c r="B494" s="13"/>
      <c r="C494" s="13"/>
      <c r="F494" s="177"/>
      <c r="I494" s="177"/>
      <c r="J494" s="42"/>
    </row>
    <row r="495" spans="1:10" ht="15.75" customHeight="1" x14ac:dyDescent="0.3">
      <c r="A495" s="13"/>
      <c r="B495" s="13"/>
      <c r="C495" s="13"/>
      <c r="F495" s="177"/>
      <c r="I495" s="177"/>
      <c r="J495" s="42"/>
    </row>
    <row r="496" spans="1:10" ht="15.75" customHeight="1" x14ac:dyDescent="0.3">
      <c r="A496" s="13"/>
      <c r="B496" s="13"/>
      <c r="C496" s="13"/>
      <c r="F496" s="177"/>
      <c r="I496" s="177"/>
      <c r="J496" s="42"/>
    </row>
    <row r="497" spans="1:10" ht="15.75" customHeight="1" x14ac:dyDescent="0.3">
      <c r="A497" s="13"/>
      <c r="B497" s="13"/>
      <c r="C497" s="13"/>
      <c r="F497" s="177"/>
      <c r="I497" s="177"/>
      <c r="J497" s="42"/>
    </row>
    <row r="498" spans="1:10" ht="15.75" customHeight="1" x14ac:dyDescent="0.3">
      <c r="A498" s="13"/>
      <c r="B498" s="13"/>
      <c r="C498" s="13"/>
      <c r="F498" s="177"/>
      <c r="I498" s="177"/>
      <c r="J498" s="42"/>
    </row>
    <row r="499" spans="1:10" ht="15.75" customHeight="1" x14ac:dyDescent="0.3">
      <c r="A499" s="13"/>
      <c r="B499" s="13"/>
      <c r="C499" s="13"/>
      <c r="F499" s="177"/>
      <c r="I499" s="177"/>
      <c r="J499" s="42"/>
    </row>
    <row r="500" spans="1:10" ht="15.75" customHeight="1" x14ac:dyDescent="0.3">
      <c r="A500" s="13"/>
      <c r="B500" s="13"/>
      <c r="C500" s="13"/>
      <c r="F500" s="177"/>
      <c r="I500" s="177"/>
      <c r="J500" s="42"/>
    </row>
    <row r="501" spans="1:10" ht="15.75" customHeight="1" x14ac:dyDescent="0.3">
      <c r="A501" s="13"/>
      <c r="B501" s="13"/>
      <c r="C501" s="13"/>
      <c r="F501" s="177"/>
      <c r="I501" s="177"/>
      <c r="J501" s="42"/>
    </row>
    <row r="502" spans="1:10" ht="15.75" customHeight="1" x14ac:dyDescent="0.3">
      <c r="A502" s="13"/>
      <c r="B502" s="13"/>
      <c r="C502" s="13"/>
      <c r="F502" s="177"/>
      <c r="I502" s="177"/>
      <c r="J502" s="42"/>
    </row>
    <row r="503" spans="1:10" ht="15.75" customHeight="1" x14ac:dyDescent="0.3">
      <c r="A503" s="13"/>
      <c r="B503" s="13"/>
      <c r="C503" s="13"/>
      <c r="F503" s="177"/>
      <c r="I503" s="177"/>
      <c r="J503" s="42"/>
    </row>
    <row r="504" spans="1:10" ht="15.75" customHeight="1" x14ac:dyDescent="0.3">
      <c r="A504" s="13"/>
      <c r="B504" s="13"/>
      <c r="C504" s="13"/>
      <c r="F504" s="177"/>
      <c r="I504" s="177"/>
      <c r="J504" s="42"/>
    </row>
    <row r="505" spans="1:10" ht="15.75" customHeight="1" x14ac:dyDescent="0.3">
      <c r="A505" s="13"/>
      <c r="B505" s="13"/>
      <c r="C505" s="13"/>
      <c r="F505" s="177"/>
      <c r="I505" s="177"/>
      <c r="J505" s="42"/>
    </row>
    <row r="506" spans="1:10" ht="15.75" customHeight="1" x14ac:dyDescent="0.3">
      <c r="A506" s="13"/>
      <c r="B506" s="13"/>
      <c r="C506" s="13"/>
      <c r="F506" s="177"/>
      <c r="I506" s="177"/>
      <c r="J506" s="42"/>
    </row>
    <row r="507" spans="1:10" ht="15.75" customHeight="1" x14ac:dyDescent="0.3">
      <c r="A507" s="13"/>
      <c r="B507" s="13"/>
      <c r="C507" s="13"/>
      <c r="F507" s="177"/>
      <c r="I507" s="177"/>
      <c r="J507" s="42"/>
    </row>
    <row r="508" spans="1:10" ht="15.75" customHeight="1" x14ac:dyDescent="0.3">
      <c r="A508" s="13"/>
      <c r="B508" s="13"/>
      <c r="C508" s="13"/>
      <c r="F508" s="177"/>
      <c r="I508" s="177"/>
      <c r="J508" s="42"/>
    </row>
    <row r="509" spans="1:10" ht="15.75" customHeight="1" x14ac:dyDescent="0.3">
      <c r="A509" s="13"/>
      <c r="B509" s="13"/>
      <c r="C509" s="13"/>
      <c r="F509" s="177"/>
      <c r="I509" s="177"/>
      <c r="J509" s="42"/>
    </row>
    <row r="510" spans="1:10" ht="15.75" customHeight="1" x14ac:dyDescent="0.3">
      <c r="A510" s="13"/>
      <c r="B510" s="13"/>
      <c r="C510" s="13"/>
      <c r="F510" s="177"/>
      <c r="I510" s="177"/>
      <c r="J510" s="42"/>
    </row>
    <row r="511" spans="1:10" ht="15.75" customHeight="1" x14ac:dyDescent="0.3">
      <c r="A511" s="13"/>
      <c r="B511" s="13"/>
      <c r="C511" s="13"/>
      <c r="F511" s="177"/>
      <c r="I511" s="177"/>
      <c r="J511" s="42"/>
    </row>
    <row r="512" spans="1:10" ht="15.75" customHeight="1" x14ac:dyDescent="0.3">
      <c r="A512" s="13"/>
      <c r="B512" s="13"/>
      <c r="C512" s="13"/>
      <c r="F512" s="177"/>
      <c r="I512" s="177"/>
      <c r="J512" s="42"/>
    </row>
    <row r="513" spans="1:10" ht="15.75" customHeight="1" x14ac:dyDescent="0.3">
      <c r="A513" s="13"/>
      <c r="B513" s="13"/>
      <c r="C513" s="13"/>
      <c r="F513" s="177"/>
      <c r="I513" s="177"/>
      <c r="J513" s="42"/>
    </row>
    <row r="514" spans="1:10" ht="15.75" customHeight="1" x14ac:dyDescent="0.3">
      <c r="A514" s="13"/>
      <c r="B514" s="13"/>
      <c r="C514" s="13"/>
      <c r="F514" s="177"/>
      <c r="I514" s="177"/>
      <c r="J514" s="42"/>
    </row>
    <row r="515" spans="1:10" ht="15.75" customHeight="1" x14ac:dyDescent="0.3">
      <c r="A515" s="13"/>
      <c r="B515" s="13"/>
      <c r="C515" s="13"/>
      <c r="F515" s="177"/>
      <c r="I515" s="177"/>
      <c r="J515" s="42"/>
    </row>
    <row r="516" spans="1:10" ht="15.75" customHeight="1" x14ac:dyDescent="0.3">
      <c r="A516" s="13"/>
      <c r="B516" s="13"/>
      <c r="C516" s="13"/>
      <c r="F516" s="177"/>
      <c r="I516" s="177"/>
      <c r="J516" s="42"/>
    </row>
    <row r="517" spans="1:10" ht="15.75" customHeight="1" x14ac:dyDescent="0.3">
      <c r="A517" s="13"/>
      <c r="B517" s="13"/>
      <c r="C517" s="13"/>
      <c r="F517" s="177"/>
      <c r="I517" s="177"/>
      <c r="J517" s="42"/>
    </row>
    <row r="518" spans="1:10" ht="15.75" customHeight="1" x14ac:dyDescent="0.3">
      <c r="A518" s="13"/>
      <c r="B518" s="13"/>
      <c r="C518" s="13"/>
      <c r="F518" s="177"/>
      <c r="I518" s="177"/>
      <c r="J518" s="42"/>
    </row>
    <row r="519" spans="1:10" ht="15.75" customHeight="1" x14ac:dyDescent="0.3">
      <c r="A519" s="13"/>
      <c r="B519" s="13"/>
      <c r="C519" s="13"/>
      <c r="F519" s="177"/>
      <c r="I519" s="177"/>
      <c r="J519" s="42"/>
    </row>
    <row r="520" spans="1:10" ht="15.75" customHeight="1" x14ac:dyDescent="0.3">
      <c r="A520" s="13"/>
      <c r="B520" s="13"/>
      <c r="C520" s="13"/>
      <c r="F520" s="177"/>
      <c r="I520" s="177"/>
      <c r="J520" s="42"/>
    </row>
    <row r="521" spans="1:10" ht="15.75" customHeight="1" x14ac:dyDescent="0.3">
      <c r="A521" s="13"/>
      <c r="B521" s="13"/>
      <c r="C521" s="13"/>
      <c r="F521" s="177"/>
      <c r="I521" s="177"/>
      <c r="J521" s="42"/>
    </row>
    <row r="522" spans="1:10" ht="15.75" customHeight="1" x14ac:dyDescent="0.3">
      <c r="A522" s="13"/>
      <c r="B522" s="13"/>
      <c r="C522" s="13"/>
      <c r="F522" s="177"/>
      <c r="I522" s="177"/>
      <c r="J522" s="42"/>
    </row>
    <row r="523" spans="1:10" ht="15.75" customHeight="1" x14ac:dyDescent="0.3">
      <c r="A523" s="13"/>
      <c r="B523" s="13"/>
      <c r="C523" s="13"/>
      <c r="F523" s="177"/>
      <c r="I523" s="177"/>
      <c r="J523" s="42"/>
    </row>
    <row r="524" spans="1:10" ht="15.75" customHeight="1" x14ac:dyDescent="0.3">
      <c r="A524" s="13"/>
      <c r="B524" s="13"/>
      <c r="C524" s="13"/>
      <c r="F524" s="177"/>
      <c r="I524" s="177"/>
      <c r="J524" s="42"/>
    </row>
    <row r="525" spans="1:10" ht="15.75" customHeight="1" x14ac:dyDescent="0.3">
      <c r="A525" s="13"/>
      <c r="B525" s="13"/>
      <c r="C525" s="13"/>
      <c r="F525" s="177"/>
      <c r="I525" s="177"/>
      <c r="J525" s="42"/>
    </row>
    <row r="526" spans="1:10" ht="15.75" customHeight="1" x14ac:dyDescent="0.3">
      <c r="A526" s="13"/>
      <c r="B526" s="13"/>
      <c r="C526" s="13"/>
      <c r="F526" s="177"/>
      <c r="I526" s="177"/>
      <c r="J526" s="42"/>
    </row>
    <row r="527" spans="1:10" ht="15.75" customHeight="1" x14ac:dyDescent="0.3">
      <c r="A527" s="13"/>
      <c r="B527" s="13"/>
      <c r="C527" s="13"/>
      <c r="F527" s="177"/>
      <c r="I527" s="177"/>
      <c r="J527" s="42"/>
    </row>
    <row r="528" spans="1:10" ht="15.75" customHeight="1" x14ac:dyDescent="0.3">
      <c r="A528" s="13"/>
      <c r="B528" s="13"/>
      <c r="C528" s="13"/>
      <c r="F528" s="177"/>
      <c r="I528" s="177"/>
      <c r="J528" s="42"/>
    </row>
    <row r="529" spans="1:10" ht="15.75" customHeight="1" x14ac:dyDescent="0.3">
      <c r="A529" s="13"/>
      <c r="B529" s="13"/>
      <c r="C529" s="13"/>
      <c r="F529" s="177"/>
      <c r="I529" s="177"/>
      <c r="J529" s="42"/>
    </row>
    <row r="530" spans="1:10" ht="15.75" customHeight="1" x14ac:dyDescent="0.3">
      <c r="A530" s="13"/>
      <c r="B530" s="13"/>
      <c r="C530" s="13"/>
      <c r="F530" s="177"/>
      <c r="I530" s="177"/>
      <c r="J530" s="42"/>
    </row>
    <row r="531" spans="1:10" ht="15.75" customHeight="1" x14ac:dyDescent="0.3">
      <c r="A531" s="13"/>
      <c r="B531" s="13"/>
      <c r="C531" s="13"/>
      <c r="F531" s="177"/>
      <c r="I531" s="177"/>
      <c r="J531" s="42"/>
    </row>
    <row r="532" spans="1:10" ht="15.75" customHeight="1" x14ac:dyDescent="0.3">
      <c r="A532" s="13"/>
      <c r="B532" s="13"/>
      <c r="C532" s="13"/>
      <c r="F532" s="177"/>
      <c r="I532" s="177"/>
      <c r="J532" s="42"/>
    </row>
    <row r="533" spans="1:10" ht="15.75" customHeight="1" x14ac:dyDescent="0.3">
      <c r="A533" s="13"/>
      <c r="B533" s="13"/>
      <c r="C533" s="13"/>
      <c r="F533" s="177"/>
      <c r="I533" s="177"/>
      <c r="J533" s="42"/>
    </row>
    <row r="534" spans="1:10" ht="15.75" customHeight="1" x14ac:dyDescent="0.3">
      <c r="A534" s="13"/>
      <c r="B534" s="13"/>
      <c r="C534" s="13"/>
      <c r="F534" s="177"/>
      <c r="I534" s="177"/>
      <c r="J534" s="42"/>
    </row>
    <row r="535" spans="1:10" ht="15.75" customHeight="1" x14ac:dyDescent="0.3">
      <c r="A535" s="13"/>
      <c r="B535" s="13"/>
      <c r="C535" s="13"/>
      <c r="F535" s="177"/>
      <c r="I535" s="177"/>
      <c r="J535" s="42"/>
    </row>
    <row r="536" spans="1:10" ht="15.75" customHeight="1" x14ac:dyDescent="0.3">
      <c r="A536" s="13"/>
      <c r="B536" s="13"/>
      <c r="C536" s="13"/>
      <c r="F536" s="177"/>
      <c r="I536" s="177"/>
      <c r="J536" s="42"/>
    </row>
    <row r="537" spans="1:10" ht="15.75" customHeight="1" x14ac:dyDescent="0.3">
      <c r="A537" s="13"/>
      <c r="B537" s="13"/>
      <c r="C537" s="13"/>
      <c r="F537" s="177"/>
      <c r="I537" s="177"/>
      <c r="J537" s="42"/>
    </row>
    <row r="538" spans="1:10" ht="15.75" customHeight="1" x14ac:dyDescent="0.3">
      <c r="A538" s="13"/>
      <c r="B538" s="13"/>
      <c r="C538" s="13"/>
      <c r="F538" s="177"/>
      <c r="I538" s="177"/>
      <c r="J538" s="42"/>
    </row>
    <row r="539" spans="1:10" ht="15.75" customHeight="1" x14ac:dyDescent="0.3">
      <c r="A539" s="13"/>
      <c r="B539" s="13"/>
      <c r="C539" s="13"/>
      <c r="F539" s="177"/>
      <c r="I539" s="177"/>
      <c r="J539" s="42"/>
    </row>
    <row r="540" spans="1:10" ht="15.75" customHeight="1" x14ac:dyDescent="0.3">
      <c r="A540" s="13"/>
      <c r="B540" s="13"/>
      <c r="C540" s="13"/>
      <c r="F540" s="177"/>
      <c r="I540" s="177"/>
      <c r="J540" s="42"/>
    </row>
    <row r="541" spans="1:10" ht="15.75" customHeight="1" x14ac:dyDescent="0.3">
      <c r="A541" s="13"/>
      <c r="B541" s="13"/>
      <c r="C541" s="13"/>
      <c r="F541" s="177"/>
      <c r="I541" s="177"/>
      <c r="J541" s="42"/>
    </row>
    <row r="542" spans="1:10" ht="15.75" customHeight="1" x14ac:dyDescent="0.3">
      <c r="A542" s="13"/>
      <c r="B542" s="13"/>
      <c r="C542" s="13"/>
      <c r="F542" s="177"/>
      <c r="I542" s="177"/>
      <c r="J542" s="42"/>
    </row>
    <row r="543" spans="1:10" ht="15.75" customHeight="1" x14ac:dyDescent="0.3">
      <c r="A543" s="13"/>
      <c r="B543" s="13"/>
      <c r="C543" s="13"/>
      <c r="F543" s="177"/>
      <c r="I543" s="177"/>
      <c r="J543" s="42"/>
    </row>
    <row r="544" spans="1:10" ht="15.75" customHeight="1" x14ac:dyDescent="0.3">
      <c r="A544" s="13"/>
      <c r="B544" s="13"/>
      <c r="C544" s="13"/>
      <c r="F544" s="177"/>
      <c r="I544" s="177"/>
      <c r="J544" s="42"/>
    </row>
    <row r="545" spans="1:10" ht="15.75" customHeight="1" x14ac:dyDescent="0.3">
      <c r="A545" s="13"/>
      <c r="B545" s="13"/>
      <c r="C545" s="13"/>
      <c r="F545" s="177"/>
      <c r="I545" s="177"/>
      <c r="J545" s="42"/>
    </row>
    <row r="546" spans="1:10" ht="15.75" customHeight="1" x14ac:dyDescent="0.3">
      <c r="A546" s="13"/>
      <c r="B546" s="13"/>
      <c r="C546" s="13"/>
      <c r="F546" s="177"/>
      <c r="I546" s="177"/>
      <c r="J546" s="42"/>
    </row>
    <row r="547" spans="1:10" ht="15.75" customHeight="1" x14ac:dyDescent="0.3">
      <c r="A547" s="13"/>
      <c r="B547" s="13"/>
      <c r="C547" s="13"/>
      <c r="F547" s="177"/>
      <c r="I547" s="177"/>
      <c r="J547" s="42"/>
    </row>
    <row r="548" spans="1:10" ht="15.75" customHeight="1" x14ac:dyDescent="0.3">
      <c r="A548" s="13"/>
      <c r="B548" s="13"/>
      <c r="C548" s="13"/>
      <c r="F548" s="177"/>
      <c r="I548" s="177"/>
      <c r="J548" s="42"/>
    </row>
    <row r="549" spans="1:10" ht="15.75" customHeight="1" x14ac:dyDescent="0.3">
      <c r="A549" s="13"/>
      <c r="B549" s="13"/>
      <c r="C549" s="13"/>
      <c r="F549" s="177"/>
      <c r="I549" s="177"/>
      <c r="J549" s="42"/>
    </row>
    <row r="550" spans="1:10" ht="15.75" customHeight="1" x14ac:dyDescent="0.3">
      <c r="A550" s="13"/>
      <c r="B550" s="13"/>
      <c r="C550" s="13"/>
      <c r="F550" s="177"/>
      <c r="I550" s="177"/>
      <c r="J550" s="42"/>
    </row>
    <row r="551" spans="1:10" ht="15.75" customHeight="1" x14ac:dyDescent="0.3">
      <c r="A551" s="13"/>
      <c r="B551" s="13"/>
      <c r="C551" s="13"/>
      <c r="F551" s="177"/>
      <c r="I551" s="177"/>
      <c r="J551" s="42"/>
    </row>
    <row r="552" spans="1:10" ht="15.75" customHeight="1" x14ac:dyDescent="0.3">
      <c r="A552" s="13"/>
      <c r="B552" s="13"/>
      <c r="C552" s="13"/>
      <c r="F552" s="177"/>
      <c r="I552" s="177"/>
      <c r="J552" s="42"/>
    </row>
    <row r="553" spans="1:10" ht="15.75" customHeight="1" x14ac:dyDescent="0.3">
      <c r="A553" s="13"/>
      <c r="B553" s="13"/>
      <c r="C553" s="13"/>
      <c r="F553" s="177"/>
      <c r="I553" s="177"/>
      <c r="J553" s="42"/>
    </row>
    <row r="554" spans="1:10" ht="15.75" customHeight="1" x14ac:dyDescent="0.3">
      <c r="A554" s="13"/>
      <c r="B554" s="13"/>
      <c r="C554" s="13"/>
      <c r="F554" s="177"/>
      <c r="I554" s="177"/>
      <c r="J554" s="42"/>
    </row>
    <row r="555" spans="1:10" ht="15.75" customHeight="1" x14ac:dyDescent="0.3">
      <c r="A555" s="13"/>
      <c r="B555" s="13"/>
      <c r="C555" s="13"/>
      <c r="F555" s="177"/>
      <c r="I555" s="177"/>
      <c r="J555" s="42"/>
    </row>
    <row r="556" spans="1:10" ht="15.75" customHeight="1" x14ac:dyDescent="0.3">
      <c r="A556" s="13"/>
      <c r="B556" s="13"/>
      <c r="C556" s="13"/>
      <c r="F556" s="177"/>
      <c r="I556" s="177"/>
      <c r="J556" s="42"/>
    </row>
    <row r="557" spans="1:10" ht="15.75" customHeight="1" x14ac:dyDescent="0.3">
      <c r="A557" s="13"/>
      <c r="B557" s="13"/>
      <c r="C557" s="13"/>
      <c r="F557" s="177"/>
      <c r="I557" s="177"/>
      <c r="J557" s="42"/>
    </row>
    <row r="558" spans="1:10" ht="15.75" customHeight="1" x14ac:dyDescent="0.3">
      <c r="A558" s="13"/>
      <c r="B558" s="13"/>
      <c r="C558" s="13"/>
      <c r="F558" s="177"/>
      <c r="I558" s="177"/>
      <c r="J558" s="42"/>
    </row>
    <row r="559" spans="1:10" ht="15.75" customHeight="1" x14ac:dyDescent="0.3">
      <c r="A559" s="13"/>
      <c r="B559" s="13"/>
      <c r="C559" s="13"/>
      <c r="F559" s="177"/>
      <c r="I559" s="177"/>
      <c r="J559" s="42"/>
    </row>
    <row r="560" spans="1:10" ht="15.75" customHeight="1" x14ac:dyDescent="0.3">
      <c r="A560" s="13"/>
      <c r="B560" s="13"/>
      <c r="C560" s="13"/>
      <c r="F560" s="177"/>
      <c r="I560" s="177"/>
      <c r="J560" s="42"/>
    </row>
    <row r="561" spans="1:10" ht="15.75" customHeight="1" x14ac:dyDescent="0.3">
      <c r="A561" s="13"/>
      <c r="B561" s="13"/>
      <c r="C561" s="13"/>
      <c r="F561" s="177"/>
      <c r="I561" s="177"/>
      <c r="J561" s="42"/>
    </row>
    <row r="562" spans="1:10" ht="15.75" customHeight="1" x14ac:dyDescent="0.3">
      <c r="A562" s="13"/>
      <c r="B562" s="13"/>
      <c r="C562" s="13"/>
      <c r="F562" s="177"/>
      <c r="I562" s="177"/>
      <c r="J562" s="42"/>
    </row>
    <row r="563" spans="1:10" ht="15.75" customHeight="1" x14ac:dyDescent="0.3">
      <c r="A563" s="13"/>
      <c r="B563" s="13"/>
      <c r="C563" s="13"/>
      <c r="F563" s="177"/>
      <c r="I563" s="177"/>
      <c r="J563" s="42"/>
    </row>
    <row r="564" spans="1:10" ht="15.75" customHeight="1" x14ac:dyDescent="0.3">
      <c r="A564" s="13"/>
      <c r="B564" s="13"/>
      <c r="C564" s="13"/>
      <c r="F564" s="177"/>
      <c r="I564" s="177"/>
      <c r="J564" s="42"/>
    </row>
    <row r="565" spans="1:10" ht="15.75" customHeight="1" x14ac:dyDescent="0.3">
      <c r="A565" s="13"/>
      <c r="B565" s="13"/>
      <c r="C565" s="13"/>
      <c r="F565" s="177"/>
      <c r="I565" s="177"/>
      <c r="J565" s="42"/>
    </row>
    <row r="566" spans="1:10" ht="15.75" customHeight="1" x14ac:dyDescent="0.3">
      <c r="A566" s="13"/>
      <c r="B566" s="13"/>
      <c r="C566" s="13"/>
      <c r="F566" s="177"/>
      <c r="I566" s="177"/>
      <c r="J566" s="42"/>
    </row>
    <row r="567" spans="1:10" ht="15.75" customHeight="1" x14ac:dyDescent="0.3">
      <c r="A567" s="13"/>
      <c r="B567" s="13"/>
      <c r="C567" s="13"/>
      <c r="F567" s="177"/>
      <c r="I567" s="177"/>
      <c r="J567" s="42"/>
    </row>
    <row r="568" spans="1:10" ht="15.75" customHeight="1" x14ac:dyDescent="0.3">
      <c r="A568" s="13"/>
      <c r="B568" s="13"/>
      <c r="C568" s="13"/>
      <c r="F568" s="177"/>
      <c r="I568" s="177"/>
      <c r="J568" s="42"/>
    </row>
    <row r="569" spans="1:10" ht="15.75" customHeight="1" x14ac:dyDescent="0.3">
      <c r="A569" s="13"/>
      <c r="B569" s="13"/>
      <c r="C569" s="13"/>
      <c r="F569" s="177"/>
      <c r="I569" s="177"/>
      <c r="J569" s="42"/>
    </row>
    <row r="570" spans="1:10" ht="15.75" customHeight="1" x14ac:dyDescent="0.3">
      <c r="A570" s="13"/>
      <c r="B570" s="13"/>
      <c r="C570" s="13"/>
      <c r="F570" s="177"/>
      <c r="I570" s="177"/>
      <c r="J570" s="42"/>
    </row>
    <row r="571" spans="1:10" ht="15.75" customHeight="1" x14ac:dyDescent="0.3">
      <c r="A571" s="13"/>
      <c r="B571" s="13"/>
      <c r="C571" s="13"/>
      <c r="F571" s="177"/>
      <c r="I571" s="177"/>
      <c r="J571" s="42"/>
    </row>
    <row r="572" spans="1:10" ht="15.75" customHeight="1" x14ac:dyDescent="0.3">
      <c r="A572" s="13"/>
      <c r="B572" s="13"/>
      <c r="C572" s="13"/>
      <c r="F572" s="177"/>
      <c r="I572" s="177"/>
      <c r="J572" s="42"/>
    </row>
    <row r="573" spans="1:10" ht="15.75" customHeight="1" x14ac:dyDescent="0.3">
      <c r="A573" s="13"/>
      <c r="B573" s="13"/>
      <c r="C573" s="13"/>
      <c r="F573" s="177"/>
      <c r="I573" s="177"/>
      <c r="J573" s="42"/>
    </row>
    <row r="574" spans="1:10" ht="15.75" customHeight="1" x14ac:dyDescent="0.3">
      <c r="A574" s="13"/>
      <c r="B574" s="13"/>
      <c r="C574" s="13"/>
      <c r="F574" s="177"/>
      <c r="I574" s="177"/>
      <c r="J574" s="42"/>
    </row>
    <row r="575" spans="1:10" ht="15.75" customHeight="1" x14ac:dyDescent="0.3">
      <c r="A575" s="13"/>
      <c r="B575" s="13"/>
      <c r="C575" s="13"/>
      <c r="F575" s="177"/>
      <c r="I575" s="177"/>
      <c r="J575" s="42"/>
    </row>
    <row r="576" spans="1:10" ht="15.75" customHeight="1" x14ac:dyDescent="0.3">
      <c r="A576" s="13"/>
      <c r="B576" s="13"/>
      <c r="C576" s="13"/>
      <c r="F576" s="177"/>
      <c r="I576" s="177"/>
      <c r="J576" s="42"/>
    </row>
    <row r="577" spans="1:10" ht="15.75" customHeight="1" x14ac:dyDescent="0.3">
      <c r="A577" s="13"/>
      <c r="B577" s="13"/>
      <c r="C577" s="13"/>
      <c r="F577" s="177"/>
      <c r="I577" s="177"/>
      <c r="J577" s="42"/>
    </row>
    <row r="578" spans="1:10" ht="15.75" customHeight="1" x14ac:dyDescent="0.3">
      <c r="A578" s="13"/>
      <c r="B578" s="13"/>
      <c r="C578" s="13"/>
      <c r="F578" s="177"/>
      <c r="I578" s="177"/>
      <c r="J578" s="42"/>
    </row>
    <row r="579" spans="1:10" ht="15.75" customHeight="1" x14ac:dyDescent="0.3">
      <c r="A579" s="13"/>
      <c r="B579" s="13"/>
      <c r="C579" s="13"/>
      <c r="F579" s="177"/>
      <c r="I579" s="177"/>
      <c r="J579" s="42"/>
    </row>
    <row r="580" spans="1:10" ht="15.75" customHeight="1" x14ac:dyDescent="0.3">
      <c r="A580" s="13"/>
      <c r="B580" s="13"/>
      <c r="C580" s="13"/>
      <c r="F580" s="177"/>
      <c r="I580" s="177"/>
      <c r="J580" s="42"/>
    </row>
    <row r="581" spans="1:10" ht="15.75" customHeight="1" x14ac:dyDescent="0.3">
      <c r="A581" s="13"/>
      <c r="B581" s="13"/>
      <c r="C581" s="13"/>
      <c r="F581" s="177"/>
      <c r="I581" s="177"/>
      <c r="J581" s="42"/>
    </row>
    <row r="582" spans="1:10" ht="15.75" customHeight="1" x14ac:dyDescent="0.3">
      <c r="A582" s="13"/>
      <c r="B582" s="13"/>
      <c r="C582" s="13"/>
      <c r="F582" s="177"/>
      <c r="I582" s="177"/>
      <c r="J582" s="42"/>
    </row>
    <row r="583" spans="1:10" ht="15.75" customHeight="1" x14ac:dyDescent="0.3">
      <c r="A583" s="13"/>
      <c r="B583" s="13"/>
      <c r="C583" s="13"/>
      <c r="F583" s="177"/>
      <c r="I583" s="177"/>
      <c r="J583" s="42"/>
    </row>
    <row r="584" spans="1:10" ht="15.75" customHeight="1" x14ac:dyDescent="0.3">
      <c r="A584" s="13"/>
      <c r="B584" s="13"/>
      <c r="C584" s="13"/>
      <c r="F584" s="177"/>
      <c r="I584" s="177"/>
      <c r="J584" s="42"/>
    </row>
    <row r="585" spans="1:10" ht="15.75" customHeight="1" x14ac:dyDescent="0.3">
      <c r="A585" s="13"/>
      <c r="B585" s="13"/>
      <c r="C585" s="13"/>
      <c r="F585" s="177"/>
      <c r="I585" s="177"/>
      <c r="J585" s="42"/>
    </row>
    <row r="586" spans="1:10" ht="15.75" customHeight="1" x14ac:dyDescent="0.3">
      <c r="A586" s="13"/>
      <c r="B586" s="13"/>
      <c r="C586" s="13"/>
      <c r="F586" s="177"/>
      <c r="I586" s="177"/>
      <c r="J586" s="42"/>
    </row>
    <row r="587" spans="1:10" ht="15.75" customHeight="1" x14ac:dyDescent="0.3">
      <c r="A587" s="13"/>
      <c r="B587" s="13"/>
      <c r="C587" s="13"/>
      <c r="F587" s="177"/>
      <c r="I587" s="177"/>
      <c r="J587" s="42"/>
    </row>
    <row r="588" spans="1:10" ht="15.75" customHeight="1" x14ac:dyDescent="0.3">
      <c r="A588" s="13"/>
      <c r="B588" s="13"/>
      <c r="C588" s="13"/>
      <c r="F588" s="177"/>
      <c r="I588" s="177"/>
      <c r="J588" s="42"/>
    </row>
    <row r="589" spans="1:10" ht="15.75" customHeight="1" x14ac:dyDescent="0.3">
      <c r="A589" s="13"/>
      <c r="B589" s="13"/>
      <c r="C589" s="13"/>
      <c r="F589" s="177"/>
      <c r="I589" s="177"/>
      <c r="J589" s="42"/>
    </row>
    <row r="590" spans="1:10" ht="15.75" customHeight="1" x14ac:dyDescent="0.3">
      <c r="A590" s="13"/>
      <c r="B590" s="13"/>
      <c r="C590" s="13"/>
      <c r="F590" s="177"/>
      <c r="I590" s="177"/>
      <c r="J590" s="42"/>
    </row>
    <row r="591" spans="1:10" ht="15.75" customHeight="1" x14ac:dyDescent="0.3">
      <c r="A591" s="13"/>
      <c r="B591" s="13"/>
      <c r="C591" s="13"/>
      <c r="F591" s="177"/>
      <c r="I591" s="177"/>
      <c r="J591" s="42"/>
    </row>
    <row r="592" spans="1:10" ht="15.75" customHeight="1" x14ac:dyDescent="0.3">
      <c r="A592" s="13"/>
      <c r="B592" s="13"/>
      <c r="C592" s="13"/>
      <c r="F592" s="177"/>
      <c r="I592" s="177"/>
      <c r="J592" s="42"/>
    </row>
    <row r="593" spans="1:10" ht="15.75" customHeight="1" x14ac:dyDescent="0.3">
      <c r="A593" s="13"/>
      <c r="B593" s="13"/>
      <c r="C593" s="13"/>
      <c r="F593" s="177"/>
      <c r="I593" s="177"/>
      <c r="J593" s="42"/>
    </row>
    <row r="594" spans="1:10" ht="15.75" customHeight="1" x14ac:dyDescent="0.3">
      <c r="A594" s="13"/>
      <c r="B594" s="13"/>
      <c r="C594" s="13"/>
      <c r="F594" s="177"/>
      <c r="I594" s="177"/>
      <c r="J594" s="42"/>
    </row>
    <row r="595" spans="1:10" ht="15.75" customHeight="1" x14ac:dyDescent="0.3">
      <c r="A595" s="13"/>
      <c r="B595" s="13"/>
      <c r="C595" s="13"/>
      <c r="F595" s="177"/>
      <c r="I595" s="177"/>
      <c r="J595" s="42"/>
    </row>
    <row r="596" spans="1:10" ht="15.75" customHeight="1" x14ac:dyDescent="0.3">
      <c r="A596" s="13"/>
      <c r="B596" s="13"/>
      <c r="C596" s="13"/>
      <c r="F596" s="177"/>
      <c r="I596" s="177"/>
      <c r="J596" s="42"/>
    </row>
    <row r="597" spans="1:10" ht="15.75" customHeight="1" x14ac:dyDescent="0.3">
      <c r="A597" s="13"/>
      <c r="B597" s="13"/>
      <c r="C597" s="13"/>
      <c r="F597" s="177"/>
      <c r="I597" s="177"/>
      <c r="J597" s="42"/>
    </row>
    <row r="598" spans="1:10" ht="15.75" customHeight="1" x14ac:dyDescent="0.3">
      <c r="A598" s="13"/>
      <c r="B598" s="13"/>
      <c r="C598" s="13"/>
      <c r="F598" s="177"/>
      <c r="I598" s="177"/>
      <c r="J598" s="42"/>
    </row>
    <row r="599" spans="1:10" ht="15.75" customHeight="1" x14ac:dyDescent="0.3">
      <c r="A599" s="13"/>
      <c r="B599" s="13"/>
      <c r="C599" s="13"/>
      <c r="F599" s="177"/>
      <c r="I599" s="177"/>
      <c r="J599" s="42"/>
    </row>
    <row r="600" spans="1:10" ht="15.75" customHeight="1" x14ac:dyDescent="0.3">
      <c r="A600" s="13"/>
      <c r="B600" s="13"/>
      <c r="C600" s="13"/>
      <c r="F600" s="177"/>
      <c r="I600" s="177"/>
      <c r="J600" s="42"/>
    </row>
    <row r="601" spans="1:10" ht="15.75" customHeight="1" x14ac:dyDescent="0.3">
      <c r="A601" s="13"/>
      <c r="B601" s="13"/>
      <c r="C601" s="13"/>
      <c r="F601" s="177"/>
      <c r="I601" s="177"/>
      <c r="J601" s="42"/>
    </row>
    <row r="602" spans="1:10" ht="15.75" customHeight="1" x14ac:dyDescent="0.3">
      <c r="A602" s="13"/>
      <c r="B602" s="13"/>
      <c r="C602" s="13"/>
      <c r="F602" s="177"/>
      <c r="I602" s="177"/>
      <c r="J602" s="42"/>
    </row>
    <row r="603" spans="1:10" ht="15.75" customHeight="1" x14ac:dyDescent="0.3">
      <c r="A603" s="13"/>
      <c r="B603" s="13"/>
      <c r="C603" s="13"/>
      <c r="F603" s="177"/>
      <c r="I603" s="177"/>
      <c r="J603" s="42"/>
    </row>
    <row r="604" spans="1:10" ht="15.75" customHeight="1" x14ac:dyDescent="0.3">
      <c r="A604" s="13"/>
      <c r="B604" s="13"/>
      <c r="C604" s="13"/>
      <c r="F604" s="177"/>
      <c r="I604" s="177"/>
      <c r="J604" s="42"/>
    </row>
    <row r="605" spans="1:10" ht="15.75" customHeight="1" x14ac:dyDescent="0.3">
      <c r="A605" s="13"/>
      <c r="B605" s="13"/>
      <c r="C605" s="13"/>
      <c r="F605" s="177"/>
      <c r="I605" s="177"/>
      <c r="J605" s="42"/>
    </row>
    <row r="606" spans="1:10" ht="15.75" customHeight="1" x14ac:dyDescent="0.3">
      <c r="A606" s="13"/>
      <c r="B606" s="13"/>
      <c r="C606" s="13"/>
      <c r="F606" s="177"/>
      <c r="I606" s="177"/>
      <c r="J606" s="42"/>
    </row>
    <row r="607" spans="1:10" ht="15.75" customHeight="1" x14ac:dyDescent="0.3">
      <c r="A607" s="13"/>
      <c r="B607" s="13"/>
      <c r="C607" s="13"/>
      <c r="F607" s="177"/>
      <c r="I607" s="177"/>
      <c r="J607" s="42"/>
    </row>
    <row r="608" spans="1:10" ht="15.75" customHeight="1" x14ac:dyDescent="0.3">
      <c r="A608" s="13"/>
      <c r="B608" s="13"/>
      <c r="C608" s="13"/>
      <c r="F608" s="177"/>
      <c r="I608" s="177"/>
      <c r="J608" s="42"/>
    </row>
    <row r="609" spans="1:10" ht="15.75" customHeight="1" x14ac:dyDescent="0.3">
      <c r="A609" s="13"/>
      <c r="B609" s="13"/>
      <c r="C609" s="13"/>
      <c r="F609" s="177"/>
      <c r="I609" s="177"/>
      <c r="J609" s="42"/>
    </row>
    <row r="610" spans="1:10" ht="15.75" customHeight="1" x14ac:dyDescent="0.3">
      <c r="A610" s="13"/>
      <c r="B610" s="13"/>
      <c r="C610" s="13"/>
      <c r="F610" s="177"/>
      <c r="I610" s="177"/>
      <c r="J610" s="42"/>
    </row>
    <row r="611" spans="1:10" ht="15.75" customHeight="1" x14ac:dyDescent="0.3">
      <c r="A611" s="13"/>
      <c r="B611" s="13"/>
      <c r="C611" s="13"/>
      <c r="F611" s="177"/>
      <c r="I611" s="177"/>
      <c r="J611" s="42"/>
    </row>
    <row r="612" spans="1:10" ht="15.75" customHeight="1" x14ac:dyDescent="0.3">
      <c r="A612" s="13"/>
      <c r="B612" s="13"/>
      <c r="C612" s="13"/>
      <c r="F612" s="177"/>
      <c r="I612" s="177"/>
      <c r="J612" s="42"/>
    </row>
    <row r="613" spans="1:10" ht="15.75" customHeight="1" x14ac:dyDescent="0.3">
      <c r="A613" s="13"/>
      <c r="B613" s="13"/>
      <c r="C613" s="13"/>
      <c r="F613" s="177"/>
      <c r="I613" s="177"/>
      <c r="J613" s="42"/>
    </row>
    <row r="614" spans="1:10" ht="15.75" customHeight="1" x14ac:dyDescent="0.3">
      <c r="A614" s="13"/>
      <c r="B614" s="13"/>
      <c r="C614" s="13"/>
      <c r="F614" s="177"/>
      <c r="I614" s="177"/>
      <c r="J614" s="42"/>
    </row>
    <row r="615" spans="1:10" ht="15.75" customHeight="1" x14ac:dyDescent="0.3">
      <c r="A615" s="13"/>
      <c r="B615" s="13"/>
      <c r="C615" s="13"/>
      <c r="F615" s="177"/>
      <c r="I615" s="177"/>
      <c r="J615" s="42"/>
    </row>
    <row r="616" spans="1:10" ht="15.75" customHeight="1" x14ac:dyDescent="0.3">
      <c r="A616" s="13"/>
      <c r="B616" s="13"/>
      <c r="C616" s="13"/>
      <c r="F616" s="177"/>
      <c r="I616" s="177"/>
      <c r="J616" s="42"/>
    </row>
    <row r="617" spans="1:10" ht="15.75" customHeight="1" x14ac:dyDescent="0.3">
      <c r="A617" s="13"/>
      <c r="B617" s="13"/>
      <c r="C617" s="13"/>
      <c r="F617" s="177"/>
      <c r="I617" s="177"/>
      <c r="J617" s="42"/>
    </row>
    <row r="618" spans="1:10" ht="15.75" customHeight="1" x14ac:dyDescent="0.3">
      <c r="A618" s="13"/>
      <c r="B618" s="13"/>
      <c r="C618" s="13"/>
      <c r="F618" s="177"/>
      <c r="I618" s="177"/>
      <c r="J618" s="42"/>
    </row>
    <row r="619" spans="1:10" ht="15.75" customHeight="1" x14ac:dyDescent="0.3">
      <c r="A619" s="13"/>
      <c r="B619" s="13"/>
      <c r="C619" s="13"/>
      <c r="F619" s="177"/>
      <c r="I619" s="177"/>
      <c r="J619" s="42"/>
    </row>
    <row r="620" spans="1:10" ht="15.75" customHeight="1" x14ac:dyDescent="0.3">
      <c r="A620" s="13"/>
      <c r="B620" s="13"/>
      <c r="C620" s="13"/>
      <c r="F620" s="177"/>
      <c r="I620" s="177"/>
      <c r="J620" s="42"/>
    </row>
    <row r="621" spans="1:10" ht="15.75" customHeight="1" x14ac:dyDescent="0.3">
      <c r="A621" s="13"/>
      <c r="B621" s="13"/>
      <c r="C621" s="13"/>
      <c r="F621" s="177"/>
      <c r="I621" s="177"/>
      <c r="J621" s="42"/>
    </row>
    <row r="622" spans="1:10" ht="15.75" customHeight="1" x14ac:dyDescent="0.3">
      <c r="A622" s="13"/>
      <c r="B622" s="13"/>
      <c r="C622" s="13"/>
      <c r="F622" s="177"/>
      <c r="I622" s="177"/>
      <c r="J622" s="42"/>
    </row>
    <row r="623" spans="1:10" ht="15.75" customHeight="1" x14ac:dyDescent="0.3">
      <c r="A623" s="13"/>
      <c r="B623" s="13"/>
      <c r="C623" s="13"/>
      <c r="F623" s="177"/>
      <c r="I623" s="177"/>
      <c r="J623" s="42"/>
    </row>
    <row r="624" spans="1:10" ht="15.75" customHeight="1" x14ac:dyDescent="0.3">
      <c r="A624" s="13"/>
      <c r="B624" s="13"/>
      <c r="C624" s="13"/>
      <c r="F624" s="177"/>
      <c r="I624" s="177"/>
      <c r="J624" s="42"/>
    </row>
    <row r="625" spans="1:10" ht="15.75" customHeight="1" x14ac:dyDescent="0.3">
      <c r="A625" s="13"/>
      <c r="B625" s="13"/>
      <c r="C625" s="13"/>
      <c r="F625" s="177"/>
      <c r="I625" s="177"/>
      <c r="J625" s="42"/>
    </row>
    <row r="626" spans="1:10" ht="15.75" customHeight="1" x14ac:dyDescent="0.3">
      <c r="A626" s="13"/>
      <c r="B626" s="13"/>
      <c r="C626" s="13"/>
      <c r="F626" s="177"/>
      <c r="I626" s="177"/>
      <c r="J626" s="42"/>
    </row>
    <row r="627" spans="1:10" ht="15.75" customHeight="1" x14ac:dyDescent="0.3">
      <c r="A627" s="13"/>
      <c r="B627" s="13"/>
      <c r="C627" s="13"/>
      <c r="F627" s="177"/>
      <c r="I627" s="177"/>
      <c r="J627" s="42"/>
    </row>
    <row r="628" spans="1:10" ht="15.75" customHeight="1" x14ac:dyDescent="0.3">
      <c r="A628" s="13"/>
      <c r="B628" s="13"/>
      <c r="C628" s="13"/>
      <c r="F628" s="177"/>
      <c r="I628" s="177"/>
      <c r="J628" s="42"/>
    </row>
    <row r="629" spans="1:10" ht="15.75" customHeight="1" x14ac:dyDescent="0.3">
      <c r="A629" s="13"/>
      <c r="B629" s="13"/>
      <c r="C629" s="13"/>
      <c r="F629" s="177"/>
      <c r="I629" s="177"/>
      <c r="J629" s="42"/>
    </row>
    <row r="630" spans="1:10" ht="15.75" customHeight="1" x14ac:dyDescent="0.3">
      <c r="A630" s="13"/>
      <c r="B630" s="13"/>
      <c r="C630" s="13"/>
      <c r="F630" s="177"/>
      <c r="I630" s="177"/>
      <c r="J630" s="42"/>
    </row>
    <row r="631" spans="1:10" ht="15.75" customHeight="1" x14ac:dyDescent="0.3">
      <c r="A631" s="13"/>
      <c r="B631" s="13"/>
      <c r="C631" s="13"/>
      <c r="F631" s="177"/>
      <c r="I631" s="177"/>
      <c r="J631" s="42"/>
    </row>
    <row r="632" spans="1:10" ht="15.75" customHeight="1" x14ac:dyDescent="0.3">
      <c r="A632" s="13"/>
      <c r="B632" s="13"/>
      <c r="C632" s="13"/>
      <c r="F632" s="177"/>
      <c r="I632" s="177"/>
      <c r="J632" s="42"/>
    </row>
    <row r="633" spans="1:10" ht="15.75" customHeight="1" x14ac:dyDescent="0.3">
      <c r="A633" s="13"/>
      <c r="B633" s="13"/>
      <c r="C633" s="13"/>
      <c r="F633" s="177"/>
      <c r="I633" s="177"/>
      <c r="J633" s="42"/>
    </row>
    <row r="634" spans="1:10" ht="15.75" customHeight="1" x14ac:dyDescent="0.3">
      <c r="A634" s="13"/>
      <c r="B634" s="13"/>
      <c r="C634" s="13"/>
      <c r="F634" s="177"/>
      <c r="I634" s="177"/>
      <c r="J634" s="42"/>
    </row>
    <row r="635" spans="1:10" ht="15.75" customHeight="1" x14ac:dyDescent="0.3">
      <c r="A635" s="13"/>
      <c r="B635" s="13"/>
      <c r="C635" s="13"/>
      <c r="F635" s="177"/>
      <c r="I635" s="177"/>
      <c r="J635" s="42"/>
    </row>
    <row r="636" spans="1:10" ht="15.75" customHeight="1" x14ac:dyDescent="0.3">
      <c r="A636" s="13"/>
      <c r="B636" s="13"/>
      <c r="C636" s="13"/>
      <c r="F636" s="177"/>
      <c r="I636" s="177"/>
      <c r="J636" s="42"/>
    </row>
    <row r="637" spans="1:10" ht="15.75" customHeight="1" x14ac:dyDescent="0.3">
      <c r="A637" s="13"/>
      <c r="B637" s="13"/>
      <c r="C637" s="13"/>
      <c r="F637" s="177"/>
      <c r="I637" s="177"/>
      <c r="J637" s="42"/>
    </row>
    <row r="638" spans="1:10" ht="15.75" customHeight="1" x14ac:dyDescent="0.3">
      <c r="A638" s="13"/>
      <c r="B638" s="13"/>
      <c r="C638" s="13"/>
      <c r="F638" s="177"/>
      <c r="I638" s="177"/>
      <c r="J638" s="42"/>
    </row>
    <row r="639" spans="1:10" ht="15.75" customHeight="1" x14ac:dyDescent="0.3">
      <c r="A639" s="13"/>
      <c r="B639" s="13"/>
      <c r="C639" s="13"/>
      <c r="F639" s="177"/>
      <c r="I639" s="177"/>
      <c r="J639" s="42"/>
    </row>
    <row r="640" spans="1:10" ht="15.75" customHeight="1" x14ac:dyDescent="0.3">
      <c r="A640" s="13"/>
      <c r="B640" s="13"/>
      <c r="C640" s="13"/>
      <c r="F640" s="177"/>
      <c r="I640" s="177"/>
      <c r="J640" s="42"/>
    </row>
    <row r="641" spans="1:10" ht="15.75" customHeight="1" x14ac:dyDescent="0.3">
      <c r="A641" s="13"/>
      <c r="B641" s="13"/>
      <c r="C641" s="13"/>
      <c r="F641" s="177"/>
      <c r="I641" s="177"/>
      <c r="J641" s="42"/>
    </row>
    <row r="642" spans="1:10" ht="15.75" customHeight="1" x14ac:dyDescent="0.3">
      <c r="A642" s="13"/>
      <c r="B642" s="13"/>
      <c r="C642" s="13"/>
      <c r="F642" s="177"/>
      <c r="I642" s="177"/>
      <c r="J642" s="42"/>
    </row>
    <row r="643" spans="1:10" ht="15.75" customHeight="1" x14ac:dyDescent="0.3">
      <c r="A643" s="13"/>
      <c r="B643" s="13"/>
      <c r="C643" s="13"/>
      <c r="F643" s="177"/>
      <c r="I643" s="177"/>
      <c r="J643" s="42"/>
    </row>
    <row r="644" spans="1:10" ht="15.75" customHeight="1" x14ac:dyDescent="0.3">
      <c r="A644" s="13"/>
      <c r="B644" s="13"/>
      <c r="C644" s="13"/>
      <c r="F644" s="177"/>
      <c r="I644" s="177"/>
      <c r="J644" s="42"/>
    </row>
    <row r="645" spans="1:10" ht="15.75" customHeight="1" x14ac:dyDescent="0.3">
      <c r="A645" s="13"/>
      <c r="B645" s="13"/>
      <c r="C645" s="13"/>
      <c r="F645" s="177"/>
      <c r="I645" s="177"/>
      <c r="J645" s="42"/>
    </row>
    <row r="646" spans="1:10" ht="15.75" customHeight="1" x14ac:dyDescent="0.3">
      <c r="A646" s="13"/>
      <c r="B646" s="13"/>
      <c r="C646" s="13"/>
      <c r="F646" s="177"/>
      <c r="I646" s="177"/>
      <c r="J646" s="42"/>
    </row>
    <row r="647" spans="1:10" ht="15.75" customHeight="1" x14ac:dyDescent="0.3">
      <c r="A647" s="13"/>
      <c r="B647" s="13"/>
      <c r="C647" s="13"/>
      <c r="F647" s="177"/>
      <c r="I647" s="177"/>
      <c r="J647" s="42"/>
    </row>
    <row r="648" spans="1:10" ht="15.75" customHeight="1" x14ac:dyDescent="0.3">
      <c r="A648" s="13"/>
      <c r="B648" s="13"/>
      <c r="C648" s="13"/>
      <c r="F648" s="177"/>
      <c r="I648" s="177"/>
      <c r="J648" s="42"/>
    </row>
    <row r="649" spans="1:10" ht="15.75" customHeight="1" x14ac:dyDescent="0.3">
      <c r="A649" s="13"/>
      <c r="B649" s="13"/>
      <c r="C649" s="13"/>
      <c r="F649" s="177"/>
      <c r="I649" s="177"/>
      <c r="J649" s="42"/>
    </row>
    <row r="650" spans="1:10" ht="15.75" customHeight="1" x14ac:dyDescent="0.3">
      <c r="A650" s="13"/>
      <c r="B650" s="13"/>
      <c r="C650" s="13"/>
      <c r="F650" s="177"/>
      <c r="I650" s="177"/>
      <c r="J650" s="42"/>
    </row>
    <row r="651" spans="1:10" ht="15.75" customHeight="1" x14ac:dyDescent="0.3">
      <c r="A651" s="13"/>
      <c r="B651" s="13"/>
      <c r="C651" s="13"/>
      <c r="F651" s="177"/>
      <c r="I651" s="177"/>
      <c r="J651" s="42"/>
    </row>
    <row r="652" spans="1:10" ht="15.75" customHeight="1" x14ac:dyDescent="0.3">
      <c r="A652" s="13"/>
      <c r="B652" s="13"/>
      <c r="C652" s="13"/>
      <c r="F652" s="177"/>
      <c r="I652" s="177"/>
      <c r="J652" s="42"/>
    </row>
    <row r="653" spans="1:10" ht="15.75" customHeight="1" x14ac:dyDescent="0.3">
      <c r="A653" s="13"/>
      <c r="B653" s="13"/>
      <c r="C653" s="13"/>
      <c r="F653" s="177"/>
      <c r="I653" s="177"/>
      <c r="J653" s="42"/>
    </row>
    <row r="654" spans="1:10" ht="15.75" customHeight="1" x14ac:dyDescent="0.3">
      <c r="A654" s="13"/>
      <c r="B654" s="13"/>
      <c r="C654" s="13"/>
      <c r="F654" s="177"/>
      <c r="I654" s="177"/>
      <c r="J654" s="42"/>
    </row>
    <row r="655" spans="1:10" ht="15.75" customHeight="1" x14ac:dyDescent="0.3">
      <c r="A655" s="13"/>
      <c r="B655" s="13"/>
      <c r="C655" s="13"/>
      <c r="F655" s="177"/>
      <c r="I655" s="177"/>
      <c r="J655" s="42"/>
    </row>
    <row r="656" spans="1:10" ht="15.75" customHeight="1" x14ac:dyDescent="0.3">
      <c r="A656" s="13"/>
      <c r="B656" s="13"/>
      <c r="C656" s="13"/>
      <c r="F656" s="177"/>
      <c r="I656" s="177"/>
      <c r="J656" s="42"/>
    </row>
    <row r="657" spans="1:10" ht="15.75" customHeight="1" x14ac:dyDescent="0.3">
      <c r="A657" s="13"/>
      <c r="B657" s="13"/>
      <c r="C657" s="13"/>
      <c r="F657" s="177"/>
      <c r="I657" s="177"/>
      <c r="J657" s="42"/>
    </row>
    <row r="658" spans="1:10" ht="15.75" customHeight="1" x14ac:dyDescent="0.3">
      <c r="A658" s="13"/>
      <c r="B658" s="13"/>
      <c r="C658" s="13"/>
      <c r="F658" s="177"/>
      <c r="I658" s="177"/>
      <c r="J658" s="42"/>
    </row>
    <row r="659" spans="1:10" ht="15.75" customHeight="1" x14ac:dyDescent="0.3">
      <c r="A659" s="13"/>
      <c r="B659" s="13"/>
      <c r="C659" s="13"/>
      <c r="F659" s="177"/>
      <c r="I659" s="177"/>
      <c r="J659" s="42"/>
    </row>
    <row r="660" spans="1:10" ht="15.75" customHeight="1" x14ac:dyDescent="0.3">
      <c r="A660" s="13"/>
      <c r="B660" s="13"/>
      <c r="C660" s="13"/>
      <c r="F660" s="177"/>
      <c r="I660" s="177"/>
      <c r="J660" s="42"/>
    </row>
    <row r="661" spans="1:10" ht="15.75" customHeight="1" x14ac:dyDescent="0.3">
      <c r="A661" s="13"/>
      <c r="B661" s="13"/>
      <c r="C661" s="13"/>
      <c r="F661" s="177"/>
      <c r="I661" s="177"/>
      <c r="J661" s="42"/>
    </row>
    <row r="662" spans="1:10" ht="15.75" customHeight="1" x14ac:dyDescent="0.3">
      <c r="A662" s="13"/>
      <c r="B662" s="13"/>
      <c r="C662" s="13"/>
      <c r="F662" s="177"/>
      <c r="I662" s="177"/>
      <c r="J662" s="42"/>
    </row>
    <row r="663" spans="1:10" ht="15.75" customHeight="1" x14ac:dyDescent="0.3">
      <c r="A663" s="13"/>
      <c r="B663" s="13"/>
      <c r="C663" s="13"/>
      <c r="F663" s="177"/>
      <c r="I663" s="177"/>
      <c r="J663" s="42"/>
    </row>
    <row r="664" spans="1:10" ht="15.75" customHeight="1" x14ac:dyDescent="0.3">
      <c r="A664" s="13"/>
      <c r="B664" s="13"/>
      <c r="C664" s="13"/>
      <c r="F664" s="177"/>
      <c r="I664" s="177"/>
      <c r="J664" s="42"/>
    </row>
    <row r="665" spans="1:10" ht="15.75" customHeight="1" x14ac:dyDescent="0.3">
      <c r="A665" s="13"/>
      <c r="B665" s="13"/>
      <c r="C665" s="13"/>
      <c r="F665" s="177"/>
      <c r="I665" s="177"/>
      <c r="J665" s="42"/>
    </row>
    <row r="666" spans="1:10" ht="15.75" customHeight="1" x14ac:dyDescent="0.3">
      <c r="A666" s="13"/>
      <c r="B666" s="13"/>
      <c r="C666" s="13"/>
      <c r="F666" s="177"/>
      <c r="I666" s="177"/>
      <c r="J666" s="42"/>
    </row>
    <row r="667" spans="1:10" ht="15.75" customHeight="1" x14ac:dyDescent="0.3">
      <c r="A667" s="13"/>
      <c r="B667" s="13"/>
      <c r="C667" s="13"/>
      <c r="F667" s="177"/>
      <c r="I667" s="177"/>
      <c r="J667" s="42"/>
    </row>
    <row r="668" spans="1:10" ht="15.75" customHeight="1" x14ac:dyDescent="0.3">
      <c r="A668" s="13"/>
      <c r="B668" s="13"/>
      <c r="C668" s="13"/>
      <c r="F668" s="177"/>
      <c r="I668" s="177"/>
      <c r="J668" s="42"/>
    </row>
    <row r="669" spans="1:10" ht="15.75" customHeight="1" x14ac:dyDescent="0.3">
      <c r="A669" s="13"/>
      <c r="B669" s="13"/>
      <c r="C669" s="13"/>
      <c r="F669" s="177"/>
      <c r="I669" s="177"/>
      <c r="J669" s="42"/>
    </row>
    <row r="670" spans="1:10" ht="15.75" customHeight="1" x14ac:dyDescent="0.3">
      <c r="A670" s="13"/>
      <c r="B670" s="13"/>
      <c r="C670" s="13"/>
      <c r="F670" s="177"/>
      <c r="I670" s="177"/>
      <c r="J670" s="42"/>
    </row>
    <row r="671" spans="1:10" ht="15.75" customHeight="1" x14ac:dyDescent="0.3">
      <c r="A671" s="13"/>
      <c r="B671" s="13"/>
      <c r="C671" s="13"/>
      <c r="F671" s="177"/>
      <c r="I671" s="177"/>
      <c r="J671" s="42"/>
    </row>
    <row r="672" spans="1:10" ht="15.75" customHeight="1" x14ac:dyDescent="0.3">
      <c r="A672" s="13"/>
      <c r="B672" s="13"/>
      <c r="C672" s="13"/>
      <c r="F672" s="177"/>
      <c r="I672" s="177"/>
      <c r="J672" s="42"/>
    </row>
    <row r="673" spans="1:10" ht="15.75" customHeight="1" x14ac:dyDescent="0.3">
      <c r="A673" s="13"/>
      <c r="B673" s="13"/>
      <c r="C673" s="13"/>
      <c r="F673" s="177"/>
      <c r="I673" s="177"/>
      <c r="J673" s="42"/>
    </row>
    <row r="674" spans="1:10" ht="15.75" customHeight="1" x14ac:dyDescent="0.3">
      <c r="A674" s="13"/>
      <c r="B674" s="13"/>
      <c r="C674" s="13"/>
      <c r="F674" s="177"/>
      <c r="I674" s="177"/>
      <c r="J674" s="42"/>
    </row>
    <row r="675" spans="1:10" ht="15.75" customHeight="1" x14ac:dyDescent="0.3">
      <c r="A675" s="13"/>
      <c r="B675" s="13"/>
      <c r="C675" s="13"/>
      <c r="F675" s="177"/>
      <c r="I675" s="177"/>
      <c r="J675" s="42"/>
    </row>
    <row r="676" spans="1:10" ht="15.75" customHeight="1" x14ac:dyDescent="0.3">
      <c r="A676" s="13"/>
      <c r="B676" s="13"/>
      <c r="C676" s="13"/>
      <c r="F676" s="177"/>
      <c r="I676" s="177"/>
      <c r="J676" s="42"/>
    </row>
    <row r="677" spans="1:10" ht="15.75" customHeight="1" x14ac:dyDescent="0.3">
      <c r="A677" s="13"/>
      <c r="B677" s="13"/>
      <c r="C677" s="13"/>
      <c r="F677" s="177"/>
      <c r="I677" s="177"/>
      <c r="J677" s="42"/>
    </row>
    <row r="678" spans="1:10" ht="15.75" customHeight="1" x14ac:dyDescent="0.3">
      <c r="A678" s="13"/>
      <c r="B678" s="13"/>
      <c r="C678" s="13"/>
      <c r="F678" s="177"/>
      <c r="I678" s="177"/>
      <c r="J678" s="42"/>
    </row>
    <row r="679" spans="1:10" ht="15.75" customHeight="1" x14ac:dyDescent="0.3">
      <c r="A679" s="13"/>
      <c r="B679" s="13"/>
      <c r="C679" s="13"/>
      <c r="F679" s="177"/>
      <c r="I679" s="177"/>
      <c r="J679" s="42"/>
    </row>
    <row r="680" spans="1:10" ht="15.75" customHeight="1" x14ac:dyDescent="0.3">
      <c r="A680" s="13"/>
      <c r="B680" s="13"/>
      <c r="C680" s="13"/>
      <c r="F680" s="177"/>
      <c r="I680" s="177"/>
      <c r="J680" s="42"/>
    </row>
    <row r="681" spans="1:10" ht="15.75" customHeight="1" x14ac:dyDescent="0.3">
      <c r="A681" s="13"/>
      <c r="B681" s="13"/>
      <c r="C681" s="13"/>
      <c r="F681" s="177"/>
      <c r="I681" s="177"/>
      <c r="J681" s="42"/>
    </row>
    <row r="682" spans="1:10" ht="15.75" customHeight="1" x14ac:dyDescent="0.3">
      <c r="A682" s="13"/>
      <c r="B682" s="13"/>
      <c r="C682" s="13"/>
      <c r="F682" s="177"/>
      <c r="I682" s="177"/>
      <c r="J682" s="42"/>
    </row>
    <row r="683" spans="1:10" ht="15.75" customHeight="1" x14ac:dyDescent="0.3">
      <c r="A683" s="13"/>
      <c r="B683" s="13"/>
      <c r="C683" s="13"/>
      <c r="F683" s="177"/>
      <c r="I683" s="177"/>
      <c r="J683" s="42"/>
    </row>
    <row r="684" spans="1:10" ht="15.75" customHeight="1" x14ac:dyDescent="0.3">
      <c r="A684" s="13"/>
      <c r="B684" s="13"/>
      <c r="C684" s="13"/>
      <c r="F684" s="177"/>
      <c r="I684" s="177"/>
      <c r="J684" s="42"/>
    </row>
    <row r="685" spans="1:10" ht="15.75" customHeight="1" x14ac:dyDescent="0.3">
      <c r="A685" s="13"/>
      <c r="B685" s="13"/>
      <c r="C685" s="13"/>
      <c r="F685" s="177"/>
      <c r="I685" s="177"/>
      <c r="J685" s="42"/>
    </row>
    <row r="686" spans="1:10" ht="15.75" customHeight="1" x14ac:dyDescent="0.3">
      <c r="A686" s="13"/>
      <c r="B686" s="13"/>
      <c r="C686" s="13"/>
      <c r="F686" s="177"/>
      <c r="I686" s="177"/>
      <c r="J686" s="42"/>
    </row>
    <row r="687" spans="1:10" ht="15.75" customHeight="1" x14ac:dyDescent="0.3">
      <c r="A687" s="13"/>
      <c r="B687" s="13"/>
      <c r="C687" s="13"/>
      <c r="F687" s="177"/>
      <c r="I687" s="177"/>
      <c r="J687" s="42"/>
    </row>
    <row r="688" spans="1:10" ht="15.75" customHeight="1" x14ac:dyDescent="0.3">
      <c r="A688" s="13"/>
      <c r="B688" s="13"/>
      <c r="C688" s="13"/>
      <c r="F688" s="177"/>
      <c r="I688" s="177"/>
      <c r="J688" s="42"/>
    </row>
    <row r="689" spans="1:10" ht="15.75" customHeight="1" x14ac:dyDescent="0.3">
      <c r="A689" s="13"/>
      <c r="B689" s="13"/>
      <c r="C689" s="13"/>
      <c r="F689" s="177"/>
      <c r="I689" s="177"/>
      <c r="J689" s="42"/>
    </row>
    <row r="690" spans="1:10" ht="15.75" customHeight="1" x14ac:dyDescent="0.3">
      <c r="A690" s="13"/>
      <c r="B690" s="13"/>
      <c r="C690" s="13"/>
      <c r="F690" s="177"/>
      <c r="I690" s="177"/>
      <c r="J690" s="42"/>
    </row>
    <row r="691" spans="1:10" ht="15.75" customHeight="1" x14ac:dyDescent="0.3">
      <c r="A691" s="13"/>
      <c r="B691" s="13"/>
      <c r="C691" s="13"/>
      <c r="F691" s="177"/>
      <c r="I691" s="177"/>
      <c r="J691" s="42"/>
    </row>
    <row r="692" spans="1:10" ht="15.75" customHeight="1" x14ac:dyDescent="0.3">
      <c r="A692" s="13"/>
      <c r="B692" s="13"/>
      <c r="C692" s="13"/>
      <c r="F692" s="177"/>
      <c r="I692" s="177"/>
      <c r="J692" s="42"/>
    </row>
    <row r="693" spans="1:10" ht="15.75" customHeight="1" x14ac:dyDescent="0.3">
      <c r="A693" s="13"/>
      <c r="B693" s="13"/>
      <c r="C693" s="13"/>
      <c r="F693" s="177"/>
      <c r="I693" s="177"/>
      <c r="J693" s="42"/>
    </row>
    <row r="694" spans="1:10" ht="15.75" customHeight="1" x14ac:dyDescent="0.3">
      <c r="A694" s="13"/>
      <c r="B694" s="13"/>
      <c r="C694" s="13"/>
      <c r="F694" s="177"/>
      <c r="I694" s="177"/>
      <c r="J694" s="42"/>
    </row>
    <row r="695" spans="1:10" ht="15.75" customHeight="1" x14ac:dyDescent="0.3">
      <c r="A695" s="13"/>
      <c r="B695" s="13"/>
      <c r="C695" s="13"/>
      <c r="F695" s="177"/>
      <c r="I695" s="177"/>
      <c r="J695" s="42"/>
    </row>
    <row r="696" spans="1:10" ht="15.75" customHeight="1" x14ac:dyDescent="0.3">
      <c r="A696" s="13"/>
      <c r="B696" s="13"/>
      <c r="C696" s="13"/>
      <c r="F696" s="177"/>
      <c r="I696" s="177"/>
      <c r="J696" s="42"/>
    </row>
    <row r="697" spans="1:10" ht="15.75" customHeight="1" x14ac:dyDescent="0.3">
      <c r="A697" s="13"/>
      <c r="B697" s="13"/>
      <c r="C697" s="13"/>
      <c r="F697" s="177"/>
      <c r="I697" s="177"/>
      <c r="J697" s="42"/>
    </row>
    <row r="698" spans="1:10" ht="15.75" customHeight="1" x14ac:dyDescent="0.3">
      <c r="A698" s="13"/>
      <c r="B698" s="13"/>
      <c r="C698" s="13"/>
      <c r="F698" s="177"/>
      <c r="I698" s="177"/>
      <c r="J698" s="42"/>
    </row>
    <row r="699" spans="1:10" ht="15.75" customHeight="1" x14ac:dyDescent="0.3">
      <c r="A699" s="13"/>
      <c r="B699" s="13"/>
      <c r="C699" s="13"/>
      <c r="F699" s="177"/>
      <c r="I699" s="177"/>
      <c r="J699" s="42"/>
    </row>
    <row r="700" spans="1:10" ht="15.75" customHeight="1" x14ac:dyDescent="0.3">
      <c r="A700" s="13"/>
      <c r="B700" s="13"/>
      <c r="C700" s="13"/>
      <c r="F700" s="177"/>
      <c r="I700" s="177"/>
      <c r="J700" s="42"/>
    </row>
    <row r="701" spans="1:10" ht="15.75" customHeight="1" x14ac:dyDescent="0.3">
      <c r="A701" s="13"/>
      <c r="B701" s="13"/>
      <c r="C701" s="13"/>
      <c r="F701" s="177"/>
      <c r="I701" s="177"/>
      <c r="J701" s="42"/>
    </row>
    <row r="702" spans="1:10" ht="15.75" customHeight="1" x14ac:dyDescent="0.3">
      <c r="A702" s="13"/>
      <c r="B702" s="13"/>
      <c r="C702" s="13"/>
      <c r="F702" s="177"/>
      <c r="I702" s="177"/>
      <c r="J702" s="42"/>
    </row>
    <row r="703" spans="1:10" ht="15.75" customHeight="1" x14ac:dyDescent="0.3">
      <c r="A703" s="13"/>
      <c r="B703" s="13"/>
      <c r="C703" s="13"/>
      <c r="F703" s="177"/>
      <c r="I703" s="177"/>
      <c r="J703" s="42"/>
    </row>
    <row r="704" spans="1:10" ht="15.75" customHeight="1" x14ac:dyDescent="0.3">
      <c r="A704" s="13"/>
      <c r="B704" s="13"/>
      <c r="C704" s="13"/>
      <c r="F704" s="177"/>
      <c r="I704" s="177"/>
      <c r="J704" s="42"/>
    </row>
    <row r="705" spans="1:10" ht="15.75" customHeight="1" x14ac:dyDescent="0.3">
      <c r="A705" s="13"/>
      <c r="B705" s="13"/>
      <c r="C705" s="13"/>
      <c r="F705" s="177"/>
      <c r="I705" s="177"/>
      <c r="J705" s="42"/>
    </row>
    <row r="706" spans="1:10" ht="15.75" customHeight="1" x14ac:dyDescent="0.3">
      <c r="A706" s="13"/>
      <c r="B706" s="13"/>
      <c r="C706" s="13"/>
      <c r="F706" s="177"/>
      <c r="I706" s="177"/>
      <c r="J706" s="42"/>
    </row>
    <row r="707" spans="1:10" ht="15.75" customHeight="1" x14ac:dyDescent="0.3">
      <c r="A707" s="13"/>
      <c r="B707" s="13"/>
      <c r="C707" s="13"/>
      <c r="F707" s="177"/>
      <c r="I707" s="177"/>
      <c r="J707" s="42"/>
    </row>
    <row r="708" spans="1:10" ht="15.75" customHeight="1" x14ac:dyDescent="0.3">
      <c r="A708" s="13"/>
      <c r="B708" s="13"/>
      <c r="C708" s="13"/>
      <c r="F708" s="177"/>
      <c r="I708" s="177"/>
      <c r="J708" s="42"/>
    </row>
    <row r="709" spans="1:10" ht="15.75" customHeight="1" x14ac:dyDescent="0.3">
      <c r="A709" s="13"/>
      <c r="B709" s="13"/>
      <c r="C709" s="13"/>
      <c r="F709" s="177"/>
      <c r="I709" s="177"/>
      <c r="J709" s="42"/>
    </row>
    <row r="710" spans="1:10" ht="15.75" customHeight="1" x14ac:dyDescent="0.3">
      <c r="A710" s="13"/>
      <c r="B710" s="13"/>
      <c r="C710" s="13"/>
      <c r="F710" s="177"/>
      <c r="I710" s="177"/>
      <c r="J710" s="42"/>
    </row>
    <row r="711" spans="1:10" ht="15.75" customHeight="1" x14ac:dyDescent="0.3">
      <c r="A711" s="13"/>
      <c r="B711" s="13"/>
      <c r="C711" s="13"/>
      <c r="F711" s="177"/>
      <c r="I711" s="177"/>
      <c r="J711" s="42"/>
    </row>
    <row r="712" spans="1:10" ht="15.75" customHeight="1" x14ac:dyDescent="0.3">
      <c r="A712" s="13"/>
      <c r="B712" s="13"/>
      <c r="C712" s="13"/>
      <c r="F712" s="177"/>
      <c r="I712" s="177"/>
      <c r="J712" s="42"/>
    </row>
    <row r="713" spans="1:10" ht="15.75" customHeight="1" x14ac:dyDescent="0.3">
      <c r="A713" s="13"/>
      <c r="B713" s="13"/>
      <c r="C713" s="13"/>
      <c r="F713" s="177"/>
      <c r="I713" s="177"/>
      <c r="J713" s="42"/>
    </row>
    <row r="714" spans="1:10" ht="15.75" customHeight="1" x14ac:dyDescent="0.3">
      <c r="A714" s="13"/>
      <c r="B714" s="13"/>
      <c r="C714" s="13"/>
      <c r="F714" s="177"/>
      <c r="I714" s="177"/>
      <c r="J714" s="42"/>
    </row>
    <row r="715" spans="1:10" ht="15.75" customHeight="1" x14ac:dyDescent="0.3">
      <c r="A715" s="13"/>
      <c r="B715" s="13"/>
      <c r="C715" s="13"/>
      <c r="F715" s="177"/>
      <c r="I715" s="177"/>
      <c r="J715" s="42"/>
    </row>
    <row r="716" spans="1:10" ht="15.75" customHeight="1" x14ac:dyDescent="0.3">
      <c r="A716" s="13"/>
      <c r="B716" s="13"/>
      <c r="C716" s="13"/>
      <c r="F716" s="177"/>
      <c r="I716" s="177"/>
      <c r="J716" s="42"/>
    </row>
    <row r="717" spans="1:10" ht="15.75" customHeight="1" x14ac:dyDescent="0.3">
      <c r="A717" s="13"/>
      <c r="B717" s="13"/>
      <c r="C717" s="13"/>
      <c r="F717" s="177"/>
      <c r="I717" s="177"/>
      <c r="J717" s="42"/>
    </row>
    <row r="718" spans="1:10" ht="15.75" customHeight="1" x14ac:dyDescent="0.3">
      <c r="A718" s="13"/>
      <c r="B718" s="13"/>
      <c r="C718" s="13"/>
      <c r="F718" s="177"/>
      <c r="I718" s="177"/>
      <c r="J718" s="42"/>
    </row>
    <row r="719" spans="1:10" ht="15.75" customHeight="1" x14ac:dyDescent="0.3">
      <c r="A719" s="13"/>
      <c r="B719" s="13"/>
      <c r="C719" s="13"/>
      <c r="F719" s="177"/>
      <c r="I719" s="177"/>
      <c r="J719" s="42"/>
    </row>
    <row r="720" spans="1:10" ht="15.75" customHeight="1" x14ac:dyDescent="0.3">
      <c r="A720" s="13"/>
      <c r="B720" s="13"/>
      <c r="C720" s="13"/>
      <c r="F720" s="177"/>
      <c r="I720" s="177"/>
      <c r="J720" s="42"/>
    </row>
    <row r="721" spans="1:10" ht="15.75" customHeight="1" x14ac:dyDescent="0.3">
      <c r="A721" s="13"/>
      <c r="B721" s="13"/>
      <c r="C721" s="13"/>
      <c r="F721" s="177"/>
      <c r="I721" s="177"/>
      <c r="J721" s="42"/>
    </row>
    <row r="722" spans="1:10" ht="15.75" customHeight="1" x14ac:dyDescent="0.3">
      <c r="A722" s="13"/>
      <c r="B722" s="13"/>
      <c r="C722" s="13"/>
      <c r="F722" s="177"/>
      <c r="I722" s="177"/>
      <c r="J722" s="42"/>
    </row>
    <row r="723" spans="1:10" ht="15.75" customHeight="1" x14ac:dyDescent="0.3">
      <c r="A723" s="13"/>
      <c r="B723" s="13"/>
      <c r="C723" s="13"/>
      <c r="F723" s="177"/>
      <c r="I723" s="177"/>
      <c r="J723" s="42"/>
    </row>
    <row r="724" spans="1:10" ht="15.75" customHeight="1" x14ac:dyDescent="0.3">
      <c r="A724" s="13"/>
      <c r="B724" s="13"/>
      <c r="C724" s="13"/>
      <c r="F724" s="177"/>
      <c r="I724" s="177"/>
      <c r="J724" s="42"/>
    </row>
    <row r="725" spans="1:10" ht="15.75" customHeight="1" x14ac:dyDescent="0.3">
      <c r="A725" s="13"/>
      <c r="B725" s="13"/>
      <c r="C725" s="13"/>
      <c r="F725" s="177"/>
      <c r="I725" s="177"/>
      <c r="J725" s="42"/>
    </row>
    <row r="726" spans="1:10" ht="15.75" customHeight="1" x14ac:dyDescent="0.3">
      <c r="A726" s="13"/>
      <c r="B726" s="13"/>
      <c r="C726" s="13"/>
      <c r="F726" s="177"/>
      <c r="I726" s="177"/>
      <c r="J726" s="42"/>
    </row>
    <row r="727" spans="1:10" ht="15.75" customHeight="1" x14ac:dyDescent="0.3">
      <c r="A727" s="13"/>
      <c r="B727" s="13"/>
      <c r="C727" s="13"/>
      <c r="F727" s="177"/>
      <c r="I727" s="177"/>
      <c r="J727" s="42"/>
    </row>
    <row r="728" spans="1:10" ht="15.75" customHeight="1" x14ac:dyDescent="0.3">
      <c r="A728" s="13"/>
      <c r="B728" s="13"/>
      <c r="C728" s="13"/>
      <c r="F728" s="177"/>
      <c r="I728" s="177"/>
      <c r="J728" s="42"/>
    </row>
    <row r="729" spans="1:10" ht="15.75" customHeight="1" x14ac:dyDescent="0.3">
      <c r="A729" s="13"/>
      <c r="B729" s="13"/>
      <c r="C729" s="13"/>
      <c r="F729" s="177"/>
      <c r="I729" s="177"/>
      <c r="J729" s="42"/>
    </row>
    <row r="730" spans="1:10" ht="15.75" customHeight="1" x14ac:dyDescent="0.3">
      <c r="A730" s="13"/>
      <c r="B730" s="13"/>
      <c r="C730" s="13"/>
      <c r="F730" s="177"/>
      <c r="I730" s="177"/>
      <c r="J730" s="42"/>
    </row>
    <row r="731" spans="1:10" ht="15.75" customHeight="1" x14ac:dyDescent="0.3">
      <c r="A731" s="13"/>
      <c r="B731" s="13"/>
      <c r="C731" s="13"/>
      <c r="F731" s="177"/>
      <c r="I731" s="177"/>
      <c r="J731" s="42"/>
    </row>
    <row r="732" spans="1:10" ht="15.75" customHeight="1" x14ac:dyDescent="0.3">
      <c r="A732" s="13"/>
      <c r="B732" s="13"/>
      <c r="C732" s="13"/>
      <c r="F732" s="177"/>
      <c r="I732" s="177"/>
      <c r="J732" s="42"/>
    </row>
    <row r="733" spans="1:10" ht="15.75" customHeight="1" x14ac:dyDescent="0.3">
      <c r="A733" s="13"/>
      <c r="B733" s="13"/>
      <c r="C733" s="13"/>
      <c r="F733" s="177"/>
      <c r="I733" s="177"/>
      <c r="J733" s="42"/>
    </row>
    <row r="734" spans="1:10" ht="15.75" customHeight="1" x14ac:dyDescent="0.3">
      <c r="A734" s="13"/>
      <c r="B734" s="13"/>
      <c r="C734" s="13"/>
      <c r="F734" s="177"/>
      <c r="I734" s="177"/>
      <c r="J734" s="42"/>
    </row>
    <row r="735" spans="1:10" ht="15.75" customHeight="1" x14ac:dyDescent="0.3">
      <c r="A735" s="13"/>
      <c r="B735" s="13"/>
      <c r="C735" s="13"/>
      <c r="F735" s="177"/>
      <c r="I735" s="177"/>
      <c r="J735" s="42"/>
    </row>
    <row r="736" spans="1:10" ht="15.75" customHeight="1" x14ac:dyDescent="0.3">
      <c r="A736" s="13"/>
      <c r="B736" s="13"/>
      <c r="C736" s="13"/>
      <c r="F736" s="177"/>
      <c r="I736" s="177"/>
      <c r="J736" s="42"/>
    </row>
    <row r="737" spans="1:10" ht="15.75" customHeight="1" x14ac:dyDescent="0.3">
      <c r="A737" s="13"/>
      <c r="B737" s="13"/>
      <c r="C737" s="13"/>
      <c r="F737" s="177"/>
      <c r="I737" s="177"/>
      <c r="J737" s="42"/>
    </row>
    <row r="738" spans="1:10" ht="15.75" customHeight="1" x14ac:dyDescent="0.3">
      <c r="A738" s="13"/>
      <c r="B738" s="13"/>
      <c r="C738" s="13"/>
      <c r="F738" s="177"/>
      <c r="I738" s="177"/>
      <c r="J738" s="42"/>
    </row>
    <row r="739" spans="1:10" ht="15.75" customHeight="1" x14ac:dyDescent="0.3">
      <c r="A739" s="13"/>
      <c r="B739" s="13"/>
      <c r="C739" s="13"/>
      <c r="F739" s="177"/>
      <c r="I739" s="177"/>
      <c r="J739" s="42"/>
    </row>
    <row r="740" spans="1:10" ht="15.75" customHeight="1" x14ac:dyDescent="0.3">
      <c r="A740" s="13"/>
      <c r="B740" s="13"/>
      <c r="C740" s="13"/>
      <c r="F740" s="177"/>
      <c r="I740" s="177"/>
      <c r="J740" s="42"/>
    </row>
    <row r="741" spans="1:10" ht="15.75" customHeight="1" x14ac:dyDescent="0.3">
      <c r="A741" s="13"/>
      <c r="B741" s="13"/>
      <c r="C741" s="13"/>
      <c r="F741" s="177"/>
      <c r="I741" s="177"/>
      <c r="J741" s="42"/>
    </row>
    <row r="742" spans="1:10" ht="15.75" customHeight="1" x14ac:dyDescent="0.3">
      <c r="A742" s="13"/>
      <c r="B742" s="13"/>
      <c r="C742" s="13"/>
      <c r="F742" s="177"/>
      <c r="I742" s="177"/>
      <c r="J742" s="42"/>
    </row>
    <row r="743" spans="1:10" ht="15.75" customHeight="1" x14ac:dyDescent="0.3">
      <c r="A743" s="13"/>
      <c r="B743" s="13"/>
      <c r="C743" s="13"/>
      <c r="F743" s="177"/>
      <c r="I743" s="177"/>
      <c r="J743" s="42"/>
    </row>
    <row r="744" spans="1:10" ht="15.75" customHeight="1" x14ac:dyDescent="0.3">
      <c r="A744" s="13"/>
      <c r="B744" s="13"/>
      <c r="C744" s="13"/>
      <c r="F744" s="177"/>
      <c r="I744" s="177"/>
      <c r="J744" s="42"/>
    </row>
    <row r="745" spans="1:10" ht="15.75" customHeight="1" x14ac:dyDescent="0.3">
      <c r="A745" s="13"/>
      <c r="B745" s="13"/>
      <c r="C745" s="13"/>
      <c r="F745" s="177"/>
      <c r="I745" s="177"/>
      <c r="J745" s="42"/>
    </row>
    <row r="746" spans="1:10" ht="15.75" customHeight="1" x14ac:dyDescent="0.3">
      <c r="A746" s="13"/>
      <c r="B746" s="13"/>
      <c r="C746" s="13"/>
      <c r="F746" s="177"/>
      <c r="I746" s="177"/>
      <c r="J746" s="42"/>
    </row>
    <row r="747" spans="1:10" ht="15.75" customHeight="1" x14ac:dyDescent="0.3">
      <c r="A747" s="13"/>
      <c r="B747" s="13"/>
      <c r="C747" s="13"/>
      <c r="F747" s="177"/>
      <c r="I747" s="177"/>
      <c r="J747" s="42"/>
    </row>
    <row r="748" spans="1:10" ht="15.75" customHeight="1" x14ac:dyDescent="0.3">
      <c r="A748" s="13"/>
      <c r="B748" s="13"/>
      <c r="C748" s="13"/>
      <c r="F748" s="177"/>
      <c r="I748" s="177"/>
      <c r="J748" s="42"/>
    </row>
    <row r="749" spans="1:10" ht="15.75" customHeight="1" x14ac:dyDescent="0.3">
      <c r="A749" s="13"/>
      <c r="B749" s="13"/>
      <c r="C749" s="13"/>
      <c r="F749" s="177"/>
      <c r="I749" s="177"/>
      <c r="J749" s="42"/>
    </row>
    <row r="750" spans="1:10" ht="15.75" customHeight="1" x14ac:dyDescent="0.3">
      <c r="A750" s="13"/>
      <c r="B750" s="13"/>
      <c r="C750" s="13"/>
      <c r="F750" s="177"/>
      <c r="I750" s="177"/>
      <c r="J750" s="42"/>
    </row>
    <row r="751" spans="1:10" ht="15.75" customHeight="1" x14ac:dyDescent="0.3">
      <c r="A751" s="13"/>
      <c r="B751" s="13"/>
      <c r="C751" s="13"/>
      <c r="F751" s="177"/>
      <c r="I751" s="177"/>
      <c r="J751" s="42"/>
    </row>
    <row r="752" spans="1:10" ht="15.75" customHeight="1" x14ac:dyDescent="0.3">
      <c r="A752" s="13"/>
      <c r="B752" s="13"/>
      <c r="C752" s="13"/>
      <c r="F752" s="177"/>
      <c r="I752" s="177"/>
      <c r="J752" s="42"/>
    </row>
    <row r="753" spans="1:10" ht="15.75" customHeight="1" x14ac:dyDescent="0.3">
      <c r="A753" s="13"/>
      <c r="B753" s="13"/>
      <c r="C753" s="13"/>
      <c r="F753" s="177"/>
      <c r="I753" s="177"/>
      <c r="J753" s="42"/>
    </row>
    <row r="754" spans="1:10" ht="15.75" customHeight="1" x14ac:dyDescent="0.3">
      <c r="A754" s="13"/>
      <c r="B754" s="13"/>
      <c r="C754" s="13"/>
      <c r="F754" s="177"/>
      <c r="I754" s="177"/>
      <c r="J754" s="42"/>
    </row>
    <row r="755" spans="1:10" ht="15.75" customHeight="1" x14ac:dyDescent="0.3">
      <c r="A755" s="13"/>
      <c r="B755" s="13"/>
      <c r="C755" s="13"/>
      <c r="F755" s="177"/>
      <c r="I755" s="177"/>
      <c r="J755" s="42"/>
    </row>
    <row r="756" spans="1:10" ht="15.75" customHeight="1" x14ac:dyDescent="0.3">
      <c r="A756" s="13"/>
      <c r="B756" s="13"/>
      <c r="C756" s="13"/>
      <c r="F756" s="177"/>
      <c r="I756" s="177"/>
      <c r="J756" s="42"/>
    </row>
    <row r="757" spans="1:10" ht="15.75" customHeight="1" x14ac:dyDescent="0.3">
      <c r="A757" s="13"/>
      <c r="B757" s="13"/>
      <c r="C757" s="13"/>
      <c r="F757" s="177"/>
      <c r="I757" s="177"/>
      <c r="J757" s="42"/>
    </row>
    <row r="758" spans="1:10" ht="15.75" customHeight="1" x14ac:dyDescent="0.3">
      <c r="A758" s="13"/>
      <c r="B758" s="13"/>
      <c r="C758" s="13"/>
      <c r="F758" s="177"/>
      <c r="I758" s="177"/>
      <c r="J758" s="42"/>
    </row>
    <row r="759" spans="1:10" ht="15.75" customHeight="1" x14ac:dyDescent="0.3">
      <c r="A759" s="13"/>
      <c r="B759" s="13"/>
      <c r="C759" s="13"/>
      <c r="F759" s="177"/>
      <c r="I759" s="177"/>
      <c r="J759" s="42"/>
    </row>
    <row r="760" spans="1:10" ht="15.75" customHeight="1" x14ac:dyDescent="0.3">
      <c r="A760" s="13"/>
      <c r="B760" s="13"/>
      <c r="C760" s="13"/>
      <c r="F760" s="177"/>
      <c r="I760" s="177"/>
      <c r="J760" s="42"/>
    </row>
    <row r="761" spans="1:10" ht="15.75" customHeight="1" x14ac:dyDescent="0.3">
      <c r="A761" s="13"/>
      <c r="B761" s="13"/>
      <c r="C761" s="13"/>
      <c r="F761" s="177"/>
      <c r="I761" s="177"/>
      <c r="J761" s="42"/>
    </row>
    <row r="762" spans="1:10" ht="15.75" customHeight="1" x14ac:dyDescent="0.3">
      <c r="A762" s="13"/>
      <c r="B762" s="13"/>
      <c r="C762" s="13"/>
      <c r="F762" s="177"/>
      <c r="I762" s="177"/>
      <c r="J762" s="42"/>
    </row>
    <row r="763" spans="1:10" ht="15.75" customHeight="1" x14ac:dyDescent="0.3">
      <c r="A763" s="13"/>
      <c r="B763" s="13"/>
      <c r="C763" s="13"/>
      <c r="F763" s="177"/>
      <c r="I763" s="177"/>
      <c r="J763" s="42"/>
    </row>
    <row r="764" spans="1:10" ht="15.75" customHeight="1" x14ac:dyDescent="0.3">
      <c r="A764" s="13"/>
      <c r="B764" s="13"/>
      <c r="C764" s="13"/>
      <c r="F764" s="177"/>
      <c r="I764" s="177"/>
      <c r="J764" s="42"/>
    </row>
    <row r="765" spans="1:10" ht="15.75" customHeight="1" x14ac:dyDescent="0.3">
      <c r="A765" s="13"/>
      <c r="B765" s="13"/>
      <c r="C765" s="13"/>
      <c r="F765" s="177"/>
      <c r="I765" s="177"/>
      <c r="J765" s="42"/>
    </row>
    <row r="766" spans="1:10" ht="15.75" customHeight="1" x14ac:dyDescent="0.3">
      <c r="A766" s="13"/>
      <c r="B766" s="13"/>
      <c r="C766" s="13"/>
      <c r="F766" s="177"/>
      <c r="I766" s="177"/>
      <c r="J766" s="42"/>
    </row>
    <row r="767" spans="1:10" ht="15.75" customHeight="1" x14ac:dyDescent="0.3">
      <c r="A767" s="13"/>
      <c r="B767" s="13"/>
      <c r="C767" s="13"/>
      <c r="F767" s="177"/>
      <c r="I767" s="177"/>
      <c r="J767" s="42"/>
    </row>
    <row r="768" spans="1:10" ht="15.75" customHeight="1" x14ac:dyDescent="0.3">
      <c r="A768" s="13"/>
      <c r="B768" s="13"/>
      <c r="C768" s="13"/>
      <c r="F768" s="177"/>
      <c r="I768" s="177"/>
      <c r="J768" s="42"/>
    </row>
    <row r="769" spans="1:10" ht="15.75" customHeight="1" x14ac:dyDescent="0.3">
      <c r="A769" s="13"/>
      <c r="B769" s="13"/>
      <c r="C769" s="13"/>
      <c r="F769" s="177"/>
      <c r="I769" s="177"/>
      <c r="J769" s="42"/>
    </row>
    <row r="770" spans="1:10" ht="15.75" customHeight="1" x14ac:dyDescent="0.3">
      <c r="A770" s="13"/>
      <c r="B770" s="13"/>
      <c r="C770" s="13"/>
      <c r="F770" s="177"/>
      <c r="I770" s="177"/>
      <c r="J770" s="42"/>
    </row>
    <row r="771" spans="1:10" ht="15.75" customHeight="1" x14ac:dyDescent="0.3">
      <c r="A771" s="13"/>
      <c r="B771" s="13"/>
      <c r="C771" s="13"/>
      <c r="F771" s="177"/>
      <c r="I771" s="177"/>
      <c r="J771" s="42"/>
    </row>
    <row r="772" spans="1:10" ht="15.75" customHeight="1" x14ac:dyDescent="0.3">
      <c r="A772" s="13"/>
      <c r="B772" s="13"/>
      <c r="C772" s="13"/>
      <c r="F772" s="177"/>
      <c r="I772" s="177"/>
      <c r="J772" s="42"/>
    </row>
    <row r="773" spans="1:10" ht="15.75" customHeight="1" x14ac:dyDescent="0.3">
      <c r="A773" s="13"/>
      <c r="B773" s="13"/>
      <c r="C773" s="13"/>
      <c r="F773" s="177"/>
      <c r="I773" s="177"/>
      <c r="J773" s="42"/>
    </row>
    <row r="774" spans="1:10" ht="15.75" customHeight="1" x14ac:dyDescent="0.3">
      <c r="A774" s="13"/>
      <c r="B774" s="13"/>
      <c r="C774" s="13"/>
      <c r="F774" s="177"/>
      <c r="I774" s="177"/>
      <c r="J774" s="42"/>
    </row>
    <row r="775" spans="1:10" ht="15.75" customHeight="1" x14ac:dyDescent="0.3">
      <c r="A775" s="13"/>
      <c r="B775" s="13"/>
      <c r="C775" s="13"/>
      <c r="F775" s="177"/>
      <c r="I775" s="177"/>
      <c r="J775" s="42"/>
    </row>
    <row r="776" spans="1:10" ht="15.75" customHeight="1" x14ac:dyDescent="0.3">
      <c r="A776" s="13"/>
      <c r="B776" s="13"/>
      <c r="C776" s="13"/>
      <c r="F776" s="177"/>
      <c r="I776" s="177"/>
      <c r="J776" s="42"/>
    </row>
    <row r="777" spans="1:10" ht="15.75" customHeight="1" x14ac:dyDescent="0.3">
      <c r="A777" s="13"/>
      <c r="B777" s="13"/>
      <c r="C777" s="13"/>
      <c r="F777" s="177"/>
      <c r="I777" s="177"/>
      <c r="J777" s="42"/>
    </row>
    <row r="778" spans="1:10" ht="15.75" customHeight="1" x14ac:dyDescent="0.3">
      <c r="A778" s="13"/>
      <c r="B778" s="13"/>
      <c r="C778" s="13"/>
      <c r="F778" s="177"/>
      <c r="I778" s="177"/>
      <c r="J778" s="42"/>
    </row>
    <row r="779" spans="1:10" ht="15.75" customHeight="1" x14ac:dyDescent="0.3">
      <c r="A779" s="13"/>
      <c r="B779" s="13"/>
      <c r="C779" s="13"/>
      <c r="F779" s="177"/>
      <c r="I779" s="177"/>
      <c r="J779" s="42"/>
    </row>
    <row r="780" spans="1:10" ht="15.75" customHeight="1" x14ac:dyDescent="0.3">
      <c r="A780" s="13"/>
      <c r="B780" s="13"/>
      <c r="C780" s="13"/>
      <c r="F780" s="177"/>
      <c r="I780" s="177"/>
      <c r="J780" s="42"/>
    </row>
    <row r="781" spans="1:10" ht="15.75" customHeight="1" x14ac:dyDescent="0.3">
      <c r="A781" s="13"/>
      <c r="B781" s="13"/>
      <c r="C781" s="13"/>
      <c r="F781" s="177"/>
      <c r="I781" s="177"/>
      <c r="J781" s="42"/>
    </row>
    <row r="782" spans="1:10" ht="15.75" customHeight="1" x14ac:dyDescent="0.3">
      <c r="A782" s="13"/>
      <c r="B782" s="13"/>
      <c r="C782" s="13"/>
      <c r="F782" s="177"/>
      <c r="I782" s="177"/>
      <c r="J782" s="42"/>
    </row>
    <row r="783" spans="1:10" ht="15.75" customHeight="1" x14ac:dyDescent="0.3">
      <c r="A783" s="13"/>
      <c r="B783" s="13"/>
      <c r="C783" s="13"/>
      <c r="F783" s="177"/>
      <c r="I783" s="177"/>
      <c r="J783" s="42"/>
    </row>
    <row r="784" spans="1:10" ht="15.75" customHeight="1" x14ac:dyDescent="0.3">
      <c r="A784" s="13"/>
      <c r="B784" s="13"/>
      <c r="C784" s="13"/>
      <c r="F784" s="177"/>
      <c r="I784" s="177"/>
      <c r="J784" s="42"/>
    </row>
    <row r="785" spans="1:10" ht="15.75" customHeight="1" x14ac:dyDescent="0.3">
      <c r="A785" s="13"/>
      <c r="B785" s="13"/>
      <c r="C785" s="13"/>
      <c r="F785" s="177"/>
      <c r="I785" s="177"/>
      <c r="J785" s="42"/>
    </row>
    <row r="786" spans="1:10" ht="15.75" customHeight="1" x14ac:dyDescent="0.3">
      <c r="A786" s="13"/>
      <c r="B786" s="13"/>
      <c r="C786" s="13"/>
      <c r="F786" s="177"/>
      <c r="I786" s="177"/>
      <c r="J786" s="42"/>
    </row>
    <row r="787" spans="1:10" ht="15.75" customHeight="1" x14ac:dyDescent="0.3">
      <c r="A787" s="13"/>
      <c r="B787" s="13"/>
      <c r="C787" s="13"/>
      <c r="F787" s="177"/>
      <c r="I787" s="177"/>
      <c r="J787" s="42"/>
    </row>
    <row r="788" spans="1:10" ht="15.75" customHeight="1" x14ac:dyDescent="0.3">
      <c r="A788" s="13"/>
      <c r="B788" s="13"/>
      <c r="C788" s="13"/>
      <c r="F788" s="177"/>
      <c r="I788" s="177"/>
      <c r="J788" s="42"/>
    </row>
    <row r="789" spans="1:10" ht="15.75" customHeight="1" x14ac:dyDescent="0.3">
      <c r="A789" s="13"/>
      <c r="B789" s="13"/>
      <c r="C789" s="13"/>
      <c r="F789" s="177"/>
      <c r="I789" s="177"/>
      <c r="J789" s="42"/>
    </row>
    <row r="790" spans="1:10" ht="15.75" customHeight="1" x14ac:dyDescent="0.3">
      <c r="A790" s="13"/>
      <c r="B790" s="13"/>
      <c r="C790" s="13"/>
      <c r="F790" s="177"/>
      <c r="I790" s="177"/>
      <c r="J790" s="42"/>
    </row>
    <row r="791" spans="1:10" ht="15.75" customHeight="1" x14ac:dyDescent="0.3">
      <c r="A791" s="13"/>
      <c r="B791" s="13"/>
      <c r="C791" s="13"/>
      <c r="F791" s="177"/>
      <c r="I791" s="177"/>
      <c r="J791" s="42"/>
    </row>
    <row r="792" spans="1:10" ht="15.75" customHeight="1" x14ac:dyDescent="0.3">
      <c r="A792" s="13"/>
      <c r="B792" s="13"/>
      <c r="C792" s="13"/>
      <c r="F792" s="177"/>
      <c r="I792" s="177"/>
      <c r="J792" s="42"/>
    </row>
    <row r="793" spans="1:10" ht="15.75" customHeight="1" x14ac:dyDescent="0.3">
      <c r="A793" s="13"/>
      <c r="B793" s="13"/>
      <c r="C793" s="13"/>
      <c r="F793" s="177"/>
      <c r="I793" s="177"/>
      <c r="J793" s="42"/>
    </row>
    <row r="794" spans="1:10" ht="15.75" customHeight="1" x14ac:dyDescent="0.3">
      <c r="A794" s="13"/>
      <c r="B794" s="13"/>
      <c r="C794" s="13"/>
      <c r="F794" s="177"/>
      <c r="I794" s="177"/>
      <c r="J794" s="42"/>
    </row>
    <row r="795" spans="1:10" ht="15.75" customHeight="1" x14ac:dyDescent="0.3">
      <c r="A795" s="13"/>
      <c r="B795" s="13"/>
      <c r="C795" s="13"/>
      <c r="F795" s="177"/>
      <c r="I795" s="177"/>
      <c r="J795" s="42"/>
    </row>
    <row r="796" spans="1:10" ht="15.75" customHeight="1" x14ac:dyDescent="0.3">
      <c r="A796" s="13"/>
      <c r="B796" s="13"/>
      <c r="C796" s="13"/>
      <c r="F796" s="177"/>
      <c r="I796" s="177"/>
      <c r="J796" s="42"/>
    </row>
    <row r="797" spans="1:10" ht="15.75" customHeight="1" x14ac:dyDescent="0.3">
      <c r="A797" s="13"/>
      <c r="B797" s="13"/>
      <c r="C797" s="13"/>
      <c r="F797" s="177"/>
      <c r="I797" s="177"/>
      <c r="J797" s="42"/>
    </row>
    <row r="798" spans="1:10" ht="15.75" customHeight="1" x14ac:dyDescent="0.3">
      <c r="A798" s="13"/>
      <c r="B798" s="13"/>
      <c r="C798" s="13"/>
      <c r="F798" s="177"/>
      <c r="I798" s="177"/>
      <c r="J798" s="42"/>
    </row>
    <row r="799" spans="1:10" ht="15.75" customHeight="1" x14ac:dyDescent="0.3">
      <c r="A799" s="13"/>
      <c r="B799" s="13"/>
      <c r="C799" s="13"/>
      <c r="F799" s="177"/>
      <c r="I799" s="177"/>
      <c r="J799" s="42"/>
    </row>
    <row r="800" spans="1:10" ht="15.75" customHeight="1" x14ac:dyDescent="0.3">
      <c r="A800" s="13"/>
      <c r="B800" s="13"/>
      <c r="C800" s="13"/>
      <c r="F800" s="177"/>
      <c r="I800" s="177"/>
      <c r="J800" s="42"/>
    </row>
    <row r="801" spans="1:10" ht="15.75" customHeight="1" x14ac:dyDescent="0.3">
      <c r="A801" s="13"/>
      <c r="B801" s="13"/>
      <c r="C801" s="13"/>
      <c r="F801" s="177"/>
      <c r="I801" s="177"/>
      <c r="J801" s="42"/>
    </row>
    <row r="802" spans="1:10" ht="15.75" customHeight="1" x14ac:dyDescent="0.3">
      <c r="A802" s="13"/>
      <c r="B802" s="13"/>
      <c r="C802" s="13"/>
      <c r="F802" s="177"/>
      <c r="I802" s="177"/>
      <c r="J802" s="42"/>
    </row>
    <row r="803" spans="1:10" ht="15.75" customHeight="1" x14ac:dyDescent="0.3">
      <c r="A803" s="13"/>
      <c r="B803" s="13"/>
      <c r="C803" s="13"/>
      <c r="F803" s="177"/>
      <c r="I803" s="177"/>
      <c r="J803" s="42"/>
    </row>
    <row r="804" spans="1:10" ht="15.75" customHeight="1" x14ac:dyDescent="0.3">
      <c r="A804" s="13"/>
      <c r="B804" s="13"/>
      <c r="C804" s="13"/>
      <c r="F804" s="177"/>
      <c r="I804" s="177"/>
      <c r="J804" s="42"/>
    </row>
    <row r="805" spans="1:10" ht="15.75" customHeight="1" x14ac:dyDescent="0.3">
      <c r="A805" s="13"/>
      <c r="B805" s="13"/>
      <c r="C805" s="13"/>
      <c r="F805" s="177"/>
      <c r="I805" s="177"/>
      <c r="J805" s="42"/>
    </row>
    <row r="806" spans="1:10" ht="15.75" customHeight="1" x14ac:dyDescent="0.3">
      <c r="A806" s="13"/>
      <c r="B806" s="13"/>
      <c r="C806" s="13"/>
      <c r="F806" s="177"/>
      <c r="I806" s="177"/>
      <c r="J806" s="42"/>
    </row>
    <row r="807" spans="1:10" ht="15.75" customHeight="1" x14ac:dyDescent="0.3">
      <c r="A807" s="13"/>
      <c r="B807" s="13"/>
      <c r="C807" s="13"/>
      <c r="F807" s="177"/>
      <c r="I807" s="177"/>
      <c r="J807" s="42"/>
    </row>
    <row r="808" spans="1:10" ht="15.75" customHeight="1" x14ac:dyDescent="0.3">
      <c r="A808" s="13"/>
      <c r="B808" s="13"/>
      <c r="C808" s="13"/>
      <c r="F808" s="177"/>
      <c r="I808" s="177"/>
      <c r="J808" s="42"/>
    </row>
    <row r="809" spans="1:10" ht="15.75" customHeight="1" x14ac:dyDescent="0.3">
      <c r="A809" s="13"/>
      <c r="B809" s="13"/>
      <c r="C809" s="13"/>
      <c r="F809" s="177"/>
      <c r="I809" s="177"/>
      <c r="J809" s="42"/>
    </row>
    <row r="810" spans="1:10" ht="15.75" customHeight="1" x14ac:dyDescent="0.3">
      <c r="A810" s="13"/>
      <c r="B810" s="13"/>
      <c r="C810" s="13"/>
      <c r="F810" s="177"/>
      <c r="I810" s="177"/>
      <c r="J810" s="42"/>
    </row>
    <row r="811" spans="1:10" ht="15.75" customHeight="1" x14ac:dyDescent="0.3">
      <c r="A811" s="13"/>
      <c r="B811" s="13"/>
      <c r="C811" s="13"/>
      <c r="F811" s="177"/>
      <c r="I811" s="177"/>
      <c r="J811" s="42"/>
    </row>
    <row r="812" spans="1:10" ht="15.75" customHeight="1" x14ac:dyDescent="0.3">
      <c r="A812" s="13"/>
      <c r="B812" s="13"/>
      <c r="C812" s="13"/>
      <c r="F812" s="177"/>
      <c r="I812" s="177"/>
      <c r="J812" s="42"/>
    </row>
    <row r="813" spans="1:10" ht="15.75" customHeight="1" x14ac:dyDescent="0.3">
      <c r="A813" s="13"/>
      <c r="B813" s="13"/>
      <c r="C813" s="13"/>
      <c r="F813" s="177"/>
      <c r="I813" s="177"/>
      <c r="J813" s="42"/>
    </row>
    <row r="814" spans="1:10" ht="15.75" customHeight="1" x14ac:dyDescent="0.3">
      <c r="A814" s="13"/>
      <c r="B814" s="13"/>
      <c r="C814" s="13"/>
      <c r="F814" s="177"/>
      <c r="I814" s="177"/>
      <c r="J814" s="42"/>
    </row>
    <row r="815" spans="1:10" ht="15.75" customHeight="1" x14ac:dyDescent="0.3">
      <c r="A815" s="13"/>
      <c r="B815" s="13"/>
      <c r="C815" s="13"/>
      <c r="F815" s="177"/>
      <c r="I815" s="177"/>
      <c r="J815" s="42"/>
    </row>
    <row r="816" spans="1:10" ht="15.75" customHeight="1" x14ac:dyDescent="0.3">
      <c r="A816" s="13"/>
      <c r="B816" s="13"/>
      <c r="C816" s="13"/>
      <c r="F816" s="177"/>
      <c r="I816" s="177"/>
      <c r="J816" s="42"/>
    </row>
    <row r="817" spans="1:10" ht="15.75" customHeight="1" x14ac:dyDescent="0.3">
      <c r="A817" s="13"/>
      <c r="B817" s="13"/>
      <c r="C817" s="13"/>
      <c r="F817" s="177"/>
      <c r="I817" s="177"/>
      <c r="J817" s="42"/>
    </row>
    <row r="818" spans="1:10" ht="15.75" customHeight="1" x14ac:dyDescent="0.3">
      <c r="A818" s="13"/>
      <c r="B818" s="13"/>
      <c r="C818" s="13"/>
      <c r="F818" s="177"/>
      <c r="I818" s="177"/>
      <c r="J818" s="42"/>
    </row>
    <row r="819" spans="1:10" ht="15.75" customHeight="1" x14ac:dyDescent="0.3">
      <c r="A819" s="13"/>
      <c r="B819" s="13"/>
      <c r="C819" s="13"/>
      <c r="F819" s="177"/>
      <c r="I819" s="177"/>
      <c r="J819" s="42"/>
    </row>
    <row r="820" spans="1:10" ht="15.75" customHeight="1" x14ac:dyDescent="0.3">
      <c r="A820" s="13"/>
      <c r="B820" s="13"/>
      <c r="C820" s="13"/>
      <c r="F820" s="177"/>
      <c r="I820" s="177"/>
      <c r="J820" s="42"/>
    </row>
    <row r="821" spans="1:10" ht="15.75" customHeight="1" x14ac:dyDescent="0.3">
      <c r="A821" s="13"/>
      <c r="B821" s="13"/>
      <c r="C821" s="13"/>
      <c r="F821" s="177"/>
      <c r="I821" s="177"/>
      <c r="J821" s="42"/>
    </row>
    <row r="822" spans="1:10" ht="15.75" customHeight="1" x14ac:dyDescent="0.3">
      <c r="A822" s="13"/>
      <c r="B822" s="13"/>
      <c r="C822" s="13"/>
      <c r="F822" s="177"/>
      <c r="I822" s="177"/>
      <c r="J822" s="42"/>
    </row>
    <row r="823" spans="1:10" ht="15.75" customHeight="1" x14ac:dyDescent="0.3">
      <c r="A823" s="13"/>
      <c r="B823" s="13"/>
      <c r="C823" s="13"/>
      <c r="F823" s="177"/>
      <c r="I823" s="177"/>
      <c r="J823" s="42"/>
    </row>
    <row r="824" spans="1:10" ht="15.75" customHeight="1" x14ac:dyDescent="0.3">
      <c r="A824" s="13"/>
      <c r="B824" s="13"/>
      <c r="C824" s="13"/>
      <c r="F824" s="177"/>
      <c r="I824" s="177"/>
      <c r="J824" s="42"/>
    </row>
    <row r="825" spans="1:10" ht="15.75" customHeight="1" x14ac:dyDescent="0.3">
      <c r="A825" s="13"/>
      <c r="B825" s="13"/>
      <c r="C825" s="13"/>
      <c r="F825" s="177"/>
      <c r="I825" s="177"/>
      <c r="J825" s="42"/>
    </row>
    <row r="826" spans="1:10" ht="15.75" customHeight="1" x14ac:dyDescent="0.3">
      <c r="A826" s="13"/>
      <c r="B826" s="13"/>
      <c r="C826" s="13"/>
      <c r="F826" s="177"/>
      <c r="I826" s="177"/>
      <c r="J826" s="42"/>
    </row>
    <row r="827" spans="1:10" ht="15.75" customHeight="1" x14ac:dyDescent="0.3">
      <c r="A827" s="13"/>
      <c r="B827" s="13"/>
      <c r="C827" s="13"/>
      <c r="F827" s="177"/>
      <c r="I827" s="177"/>
      <c r="J827" s="42"/>
    </row>
    <row r="828" spans="1:10" ht="15.75" customHeight="1" x14ac:dyDescent="0.3">
      <c r="A828" s="13"/>
      <c r="B828" s="13"/>
      <c r="C828" s="13"/>
      <c r="F828" s="177"/>
      <c r="I828" s="177"/>
      <c r="J828" s="42"/>
    </row>
    <row r="829" spans="1:10" ht="15.75" customHeight="1" x14ac:dyDescent="0.3">
      <c r="A829" s="13"/>
      <c r="B829" s="13"/>
      <c r="C829" s="13"/>
      <c r="F829" s="177"/>
      <c r="I829" s="177"/>
      <c r="J829" s="42"/>
    </row>
    <row r="830" spans="1:10" ht="15.75" customHeight="1" x14ac:dyDescent="0.3">
      <c r="A830" s="13"/>
      <c r="B830" s="13"/>
      <c r="C830" s="13"/>
      <c r="F830" s="177"/>
      <c r="I830" s="177"/>
      <c r="J830" s="42"/>
    </row>
    <row r="831" spans="1:10" ht="15.75" customHeight="1" x14ac:dyDescent="0.3">
      <c r="A831" s="13"/>
      <c r="B831" s="13"/>
      <c r="C831" s="13"/>
      <c r="F831" s="177"/>
      <c r="I831" s="177"/>
      <c r="J831" s="42"/>
    </row>
    <row r="832" spans="1:10" ht="15.75" customHeight="1" x14ac:dyDescent="0.3">
      <c r="A832" s="13"/>
      <c r="B832" s="13"/>
      <c r="C832" s="13"/>
      <c r="F832" s="177"/>
      <c r="I832" s="177"/>
      <c r="J832" s="42"/>
    </row>
    <row r="833" spans="1:10" ht="15.75" customHeight="1" x14ac:dyDescent="0.3">
      <c r="A833" s="13"/>
      <c r="B833" s="13"/>
      <c r="C833" s="13"/>
      <c r="F833" s="177"/>
      <c r="I833" s="177"/>
      <c r="J833" s="42"/>
    </row>
    <row r="834" spans="1:10" ht="15.75" customHeight="1" x14ac:dyDescent="0.3">
      <c r="A834" s="13"/>
      <c r="B834" s="13"/>
      <c r="C834" s="13"/>
      <c r="F834" s="177"/>
      <c r="I834" s="177"/>
      <c r="J834" s="42"/>
    </row>
    <row r="835" spans="1:10" ht="15.75" customHeight="1" x14ac:dyDescent="0.3">
      <c r="A835" s="13"/>
      <c r="B835" s="13"/>
      <c r="C835" s="13"/>
      <c r="F835" s="177"/>
      <c r="I835" s="177"/>
      <c r="J835" s="42"/>
    </row>
    <row r="836" spans="1:10" ht="15.75" customHeight="1" x14ac:dyDescent="0.3">
      <c r="A836" s="13"/>
      <c r="B836" s="13"/>
      <c r="C836" s="13"/>
      <c r="F836" s="177"/>
      <c r="I836" s="177"/>
      <c r="J836" s="42"/>
    </row>
    <row r="837" spans="1:10" ht="15.75" customHeight="1" x14ac:dyDescent="0.3">
      <c r="A837" s="13"/>
      <c r="B837" s="13"/>
      <c r="C837" s="13"/>
      <c r="F837" s="177"/>
      <c r="I837" s="177"/>
      <c r="J837" s="42"/>
    </row>
    <row r="838" spans="1:10" ht="15.75" customHeight="1" x14ac:dyDescent="0.3">
      <c r="A838" s="13"/>
      <c r="B838" s="13"/>
      <c r="C838" s="13"/>
      <c r="F838" s="177"/>
      <c r="I838" s="177"/>
      <c r="J838" s="42"/>
    </row>
    <row r="839" spans="1:10" ht="15.75" customHeight="1" x14ac:dyDescent="0.3">
      <c r="A839" s="13"/>
      <c r="B839" s="13"/>
      <c r="C839" s="13"/>
      <c r="F839" s="177"/>
      <c r="I839" s="177"/>
      <c r="J839" s="42"/>
    </row>
    <row r="840" spans="1:10" ht="15.75" customHeight="1" x14ac:dyDescent="0.3">
      <c r="A840" s="13"/>
      <c r="B840" s="13"/>
      <c r="C840" s="13"/>
      <c r="F840" s="177"/>
      <c r="I840" s="177"/>
      <c r="J840" s="42"/>
    </row>
    <row r="841" spans="1:10" ht="15.75" customHeight="1" x14ac:dyDescent="0.3">
      <c r="A841" s="13"/>
      <c r="B841" s="13"/>
      <c r="C841" s="13"/>
      <c r="F841" s="177"/>
      <c r="I841" s="177"/>
      <c r="J841" s="42"/>
    </row>
    <row r="842" spans="1:10" ht="15.75" customHeight="1" x14ac:dyDescent="0.3">
      <c r="A842" s="13"/>
      <c r="B842" s="13"/>
      <c r="C842" s="13"/>
      <c r="F842" s="177"/>
      <c r="I842" s="177"/>
      <c r="J842" s="42"/>
    </row>
    <row r="843" spans="1:10" ht="15.75" customHeight="1" x14ac:dyDescent="0.3">
      <c r="A843" s="13"/>
      <c r="B843" s="13"/>
      <c r="C843" s="13"/>
      <c r="F843" s="177"/>
      <c r="I843" s="177"/>
      <c r="J843" s="42"/>
    </row>
    <row r="844" spans="1:10" ht="15.75" customHeight="1" x14ac:dyDescent="0.3">
      <c r="A844" s="13"/>
      <c r="B844" s="13"/>
      <c r="C844" s="13"/>
      <c r="F844" s="177"/>
      <c r="I844" s="177"/>
      <c r="J844" s="42"/>
    </row>
    <row r="845" spans="1:10" ht="15.75" customHeight="1" x14ac:dyDescent="0.3">
      <c r="A845" s="13"/>
      <c r="B845" s="13"/>
      <c r="C845" s="13"/>
      <c r="F845" s="177"/>
      <c r="I845" s="177"/>
      <c r="J845" s="42"/>
    </row>
    <row r="846" spans="1:10" ht="15.75" customHeight="1" x14ac:dyDescent="0.3">
      <c r="A846" s="13"/>
      <c r="B846" s="13"/>
      <c r="C846" s="13"/>
      <c r="F846" s="177"/>
      <c r="I846" s="177"/>
      <c r="J846" s="42"/>
    </row>
    <row r="847" spans="1:10" ht="15.75" customHeight="1" x14ac:dyDescent="0.3">
      <c r="A847" s="13"/>
      <c r="B847" s="13"/>
      <c r="C847" s="13"/>
      <c r="F847" s="177"/>
      <c r="I847" s="177"/>
      <c r="J847" s="42"/>
    </row>
    <row r="848" spans="1:10" ht="15.75" customHeight="1" x14ac:dyDescent="0.3">
      <c r="A848" s="13"/>
      <c r="B848" s="13"/>
      <c r="C848" s="13"/>
      <c r="F848" s="177"/>
      <c r="I848" s="177"/>
      <c r="J848" s="42"/>
    </row>
    <row r="849" spans="1:10" ht="15.75" customHeight="1" x14ac:dyDescent="0.3">
      <c r="A849" s="13"/>
      <c r="B849" s="13"/>
      <c r="C849" s="13"/>
      <c r="F849" s="177"/>
      <c r="I849" s="177"/>
      <c r="J849" s="42"/>
    </row>
    <row r="850" spans="1:10" ht="15.75" customHeight="1" x14ac:dyDescent="0.3">
      <c r="A850" s="13"/>
      <c r="B850" s="13"/>
      <c r="C850" s="13"/>
      <c r="F850" s="177"/>
      <c r="I850" s="177"/>
      <c r="J850" s="42"/>
    </row>
    <row r="851" spans="1:10" ht="15.75" customHeight="1" x14ac:dyDescent="0.3">
      <c r="A851" s="13"/>
      <c r="B851" s="13"/>
      <c r="C851" s="13"/>
      <c r="F851" s="177"/>
      <c r="I851" s="177"/>
      <c r="J851" s="42"/>
    </row>
    <row r="852" spans="1:10" ht="15.75" customHeight="1" x14ac:dyDescent="0.3">
      <c r="A852" s="13"/>
      <c r="B852" s="13"/>
      <c r="C852" s="13"/>
      <c r="F852" s="177"/>
      <c r="I852" s="177"/>
      <c r="J852" s="42"/>
    </row>
    <row r="853" spans="1:10" ht="15.75" customHeight="1" x14ac:dyDescent="0.3">
      <c r="A853" s="13"/>
      <c r="B853" s="13"/>
      <c r="C853" s="13"/>
      <c r="F853" s="177"/>
      <c r="I853" s="177"/>
      <c r="J853" s="42"/>
    </row>
    <row r="854" spans="1:10" ht="15.75" customHeight="1" x14ac:dyDescent="0.3">
      <c r="A854" s="13"/>
      <c r="B854" s="13"/>
      <c r="C854" s="13"/>
      <c r="F854" s="177"/>
      <c r="I854" s="177"/>
      <c r="J854" s="42"/>
    </row>
    <row r="855" spans="1:10" ht="15.75" customHeight="1" x14ac:dyDescent="0.3">
      <c r="A855" s="13"/>
      <c r="B855" s="13"/>
      <c r="C855" s="13"/>
      <c r="F855" s="177"/>
      <c r="I855" s="177"/>
      <c r="J855" s="42"/>
    </row>
    <row r="856" spans="1:10" ht="15.75" customHeight="1" x14ac:dyDescent="0.3">
      <c r="A856" s="13"/>
      <c r="B856" s="13"/>
      <c r="C856" s="13"/>
      <c r="F856" s="177"/>
      <c r="I856" s="177"/>
      <c r="J856" s="42"/>
    </row>
    <row r="857" spans="1:10" ht="15.75" customHeight="1" x14ac:dyDescent="0.3">
      <c r="A857" s="13"/>
      <c r="B857" s="13"/>
      <c r="C857" s="13"/>
      <c r="F857" s="177"/>
      <c r="I857" s="177"/>
      <c r="J857" s="42"/>
    </row>
    <row r="858" spans="1:10" ht="15.75" customHeight="1" x14ac:dyDescent="0.3">
      <c r="A858" s="13"/>
      <c r="B858" s="13"/>
      <c r="C858" s="13"/>
      <c r="F858" s="177"/>
      <c r="I858" s="177"/>
      <c r="J858" s="42"/>
    </row>
    <row r="859" spans="1:10" ht="15.75" customHeight="1" x14ac:dyDescent="0.3">
      <c r="A859" s="13"/>
      <c r="B859" s="13"/>
      <c r="C859" s="13"/>
      <c r="F859" s="177"/>
      <c r="I859" s="177"/>
      <c r="J859" s="42"/>
    </row>
    <row r="860" spans="1:10" ht="15.75" customHeight="1" x14ac:dyDescent="0.3">
      <c r="A860" s="13"/>
      <c r="B860" s="13"/>
      <c r="C860" s="13"/>
      <c r="F860" s="177"/>
      <c r="I860" s="177"/>
      <c r="J860" s="42"/>
    </row>
    <row r="861" spans="1:10" ht="15.75" customHeight="1" x14ac:dyDescent="0.3">
      <c r="A861" s="13"/>
      <c r="B861" s="13"/>
      <c r="C861" s="13"/>
      <c r="F861" s="177"/>
      <c r="I861" s="177"/>
      <c r="J861" s="42"/>
    </row>
    <row r="862" spans="1:10" ht="15.75" customHeight="1" x14ac:dyDescent="0.3">
      <c r="A862" s="13"/>
      <c r="B862" s="13"/>
      <c r="C862" s="13"/>
      <c r="F862" s="177"/>
      <c r="I862" s="177"/>
      <c r="J862" s="42"/>
    </row>
    <row r="863" spans="1:10" ht="15.75" customHeight="1" x14ac:dyDescent="0.3">
      <c r="A863" s="13"/>
      <c r="B863" s="13"/>
      <c r="C863" s="13"/>
      <c r="F863" s="177"/>
      <c r="I863" s="177"/>
      <c r="J863" s="42"/>
    </row>
    <row r="864" spans="1:10" ht="15.75" customHeight="1" x14ac:dyDescent="0.3">
      <c r="A864" s="13"/>
      <c r="B864" s="13"/>
      <c r="C864" s="13"/>
      <c r="F864" s="177"/>
      <c r="I864" s="177"/>
      <c r="J864" s="42"/>
    </row>
    <row r="865" spans="1:10" ht="15.75" customHeight="1" x14ac:dyDescent="0.3">
      <c r="A865" s="13"/>
      <c r="B865" s="13"/>
      <c r="C865" s="13"/>
      <c r="F865" s="177"/>
      <c r="I865" s="177"/>
      <c r="J865" s="42"/>
    </row>
    <row r="866" spans="1:10" ht="15.75" customHeight="1" x14ac:dyDescent="0.3">
      <c r="A866" s="13"/>
      <c r="B866" s="13"/>
      <c r="C866" s="13"/>
      <c r="F866" s="177"/>
      <c r="I866" s="177"/>
      <c r="J866" s="42"/>
    </row>
    <row r="867" spans="1:10" ht="15.75" customHeight="1" x14ac:dyDescent="0.3">
      <c r="A867" s="13"/>
      <c r="B867" s="13"/>
      <c r="C867" s="13"/>
      <c r="F867" s="177"/>
      <c r="I867" s="177"/>
      <c r="J867" s="42"/>
    </row>
    <row r="868" spans="1:10" ht="15.75" customHeight="1" x14ac:dyDescent="0.3">
      <c r="A868" s="13"/>
      <c r="B868" s="13"/>
      <c r="C868" s="13"/>
      <c r="F868" s="177"/>
      <c r="I868" s="177"/>
      <c r="J868" s="42"/>
    </row>
    <row r="869" spans="1:10" ht="15.75" customHeight="1" x14ac:dyDescent="0.3">
      <c r="A869" s="13"/>
      <c r="B869" s="13"/>
      <c r="C869" s="13"/>
      <c r="F869" s="177"/>
      <c r="I869" s="177"/>
      <c r="J869" s="42"/>
    </row>
    <row r="870" spans="1:10" ht="15.75" customHeight="1" x14ac:dyDescent="0.3">
      <c r="A870" s="13"/>
      <c r="B870" s="13"/>
      <c r="C870" s="13"/>
      <c r="F870" s="177"/>
      <c r="I870" s="177"/>
      <c r="J870" s="42"/>
    </row>
    <row r="871" spans="1:10" ht="15.75" customHeight="1" x14ac:dyDescent="0.3">
      <c r="A871" s="13"/>
      <c r="B871" s="13"/>
      <c r="C871" s="13"/>
      <c r="F871" s="177"/>
      <c r="I871" s="177"/>
      <c r="J871" s="42"/>
    </row>
    <row r="872" spans="1:10" ht="15.75" customHeight="1" x14ac:dyDescent="0.3">
      <c r="A872" s="13"/>
      <c r="B872" s="13"/>
      <c r="C872" s="13"/>
      <c r="F872" s="177"/>
      <c r="I872" s="177"/>
      <c r="J872" s="42"/>
    </row>
    <row r="873" spans="1:10" ht="15.75" customHeight="1" x14ac:dyDescent="0.3">
      <c r="A873" s="13"/>
      <c r="B873" s="13"/>
      <c r="C873" s="13"/>
      <c r="F873" s="177"/>
      <c r="I873" s="177"/>
      <c r="J873" s="42"/>
    </row>
    <row r="874" spans="1:10" ht="15.75" customHeight="1" x14ac:dyDescent="0.3">
      <c r="A874" s="13"/>
      <c r="B874" s="13"/>
      <c r="C874" s="13"/>
      <c r="F874" s="177"/>
      <c r="I874" s="177"/>
      <c r="J874" s="42"/>
    </row>
    <row r="875" spans="1:10" ht="15.75" customHeight="1" x14ac:dyDescent="0.3">
      <c r="A875" s="13"/>
      <c r="B875" s="13"/>
      <c r="C875" s="13"/>
      <c r="F875" s="177"/>
      <c r="I875" s="177"/>
      <c r="J875" s="42"/>
    </row>
    <row r="876" spans="1:10" ht="15.75" customHeight="1" x14ac:dyDescent="0.3">
      <c r="A876" s="13"/>
      <c r="B876" s="13"/>
      <c r="C876" s="13"/>
      <c r="F876" s="177"/>
      <c r="I876" s="177"/>
      <c r="J876" s="42"/>
    </row>
    <row r="877" spans="1:10" ht="15.75" customHeight="1" x14ac:dyDescent="0.3">
      <c r="A877" s="13"/>
      <c r="B877" s="13"/>
      <c r="C877" s="13"/>
      <c r="F877" s="177"/>
      <c r="I877" s="177"/>
      <c r="J877" s="42"/>
    </row>
    <row r="878" spans="1:10" ht="15.75" customHeight="1" x14ac:dyDescent="0.3">
      <c r="A878" s="13"/>
      <c r="B878" s="13"/>
      <c r="C878" s="13"/>
      <c r="F878" s="177"/>
      <c r="I878" s="177"/>
      <c r="J878" s="42"/>
    </row>
    <row r="879" spans="1:10" ht="15.75" customHeight="1" x14ac:dyDescent="0.3">
      <c r="A879" s="13"/>
      <c r="B879" s="13"/>
      <c r="C879" s="13"/>
      <c r="F879" s="177"/>
      <c r="I879" s="177"/>
      <c r="J879" s="42"/>
    </row>
    <row r="880" spans="1:10" ht="15.75" customHeight="1" x14ac:dyDescent="0.3">
      <c r="A880" s="13"/>
      <c r="B880" s="13"/>
      <c r="C880" s="13"/>
      <c r="F880" s="177"/>
      <c r="I880" s="177"/>
      <c r="J880" s="42"/>
    </row>
    <row r="881" spans="1:10" ht="15.75" customHeight="1" x14ac:dyDescent="0.3">
      <c r="A881" s="13"/>
      <c r="B881" s="13"/>
      <c r="C881" s="13"/>
      <c r="F881" s="177"/>
      <c r="I881" s="177"/>
      <c r="J881" s="42"/>
    </row>
    <row r="882" spans="1:10" ht="15.75" customHeight="1" x14ac:dyDescent="0.3">
      <c r="A882" s="13"/>
      <c r="B882" s="13"/>
      <c r="C882" s="13"/>
      <c r="F882" s="177"/>
      <c r="I882" s="177"/>
      <c r="J882" s="42"/>
    </row>
    <row r="883" spans="1:10" ht="15.75" customHeight="1" x14ac:dyDescent="0.3">
      <c r="A883" s="13"/>
      <c r="B883" s="13"/>
      <c r="C883" s="13"/>
      <c r="F883" s="177"/>
      <c r="I883" s="177"/>
      <c r="J883" s="42"/>
    </row>
    <row r="884" spans="1:10" ht="15.75" customHeight="1" x14ac:dyDescent="0.3">
      <c r="A884" s="13"/>
      <c r="B884" s="13"/>
      <c r="C884" s="13"/>
      <c r="F884" s="177"/>
      <c r="I884" s="177"/>
      <c r="J884" s="42"/>
    </row>
    <row r="885" spans="1:10" ht="15.75" customHeight="1" x14ac:dyDescent="0.3">
      <c r="A885" s="13"/>
      <c r="B885" s="13"/>
      <c r="C885" s="13"/>
      <c r="F885" s="177"/>
      <c r="I885" s="177"/>
      <c r="J885" s="42"/>
    </row>
    <row r="886" spans="1:10" ht="15.75" customHeight="1" x14ac:dyDescent="0.3">
      <c r="A886" s="13"/>
      <c r="B886" s="13"/>
      <c r="C886" s="13"/>
      <c r="F886" s="177"/>
      <c r="I886" s="177"/>
      <c r="J886" s="42"/>
    </row>
    <row r="887" spans="1:10" ht="15.75" customHeight="1" x14ac:dyDescent="0.3">
      <c r="A887" s="13"/>
      <c r="B887" s="13"/>
      <c r="C887" s="13"/>
      <c r="F887" s="177"/>
      <c r="I887" s="177"/>
      <c r="J887" s="42"/>
    </row>
    <row r="888" spans="1:10" ht="15.75" customHeight="1" x14ac:dyDescent="0.3">
      <c r="A888" s="13"/>
      <c r="B888" s="13"/>
      <c r="C888" s="13"/>
      <c r="F888" s="177"/>
      <c r="I888" s="177"/>
      <c r="J888" s="42"/>
    </row>
    <row r="889" spans="1:10" ht="15.75" customHeight="1" x14ac:dyDescent="0.3">
      <c r="A889" s="13"/>
      <c r="B889" s="13"/>
      <c r="C889" s="13"/>
      <c r="F889" s="177"/>
      <c r="I889" s="177"/>
      <c r="J889" s="42"/>
    </row>
    <row r="890" spans="1:10" ht="15.75" customHeight="1" x14ac:dyDescent="0.3">
      <c r="A890" s="13"/>
      <c r="B890" s="13"/>
      <c r="C890" s="13"/>
      <c r="F890" s="177"/>
      <c r="I890" s="177"/>
      <c r="J890" s="42"/>
    </row>
    <row r="891" spans="1:10" ht="15.75" customHeight="1" x14ac:dyDescent="0.3">
      <c r="A891" s="13"/>
      <c r="B891" s="13"/>
      <c r="C891" s="13"/>
      <c r="F891" s="177"/>
      <c r="I891" s="177"/>
      <c r="J891" s="42"/>
    </row>
    <row r="892" spans="1:10" ht="15.75" customHeight="1" x14ac:dyDescent="0.3">
      <c r="A892" s="13"/>
      <c r="B892" s="13"/>
      <c r="C892" s="13"/>
      <c r="F892" s="177"/>
      <c r="I892" s="177"/>
      <c r="J892" s="42"/>
    </row>
    <row r="893" spans="1:10" ht="15.75" customHeight="1" x14ac:dyDescent="0.3">
      <c r="A893" s="13"/>
      <c r="B893" s="13"/>
      <c r="C893" s="13"/>
      <c r="F893" s="177"/>
      <c r="I893" s="177"/>
      <c r="J893" s="42"/>
    </row>
    <row r="894" spans="1:10" ht="15.75" customHeight="1" x14ac:dyDescent="0.3">
      <c r="A894" s="13"/>
      <c r="B894" s="13"/>
      <c r="C894" s="13"/>
      <c r="F894" s="177"/>
      <c r="I894" s="177"/>
      <c r="J894" s="42"/>
    </row>
    <row r="895" spans="1:10" ht="15.75" customHeight="1" x14ac:dyDescent="0.3">
      <c r="A895" s="13"/>
      <c r="B895" s="13"/>
      <c r="C895" s="13"/>
      <c r="F895" s="177"/>
      <c r="I895" s="177"/>
      <c r="J895" s="42"/>
    </row>
    <row r="896" spans="1:10" ht="15.75" customHeight="1" x14ac:dyDescent="0.3">
      <c r="A896" s="13"/>
      <c r="B896" s="13"/>
      <c r="C896" s="13"/>
      <c r="F896" s="177"/>
      <c r="I896" s="177"/>
      <c r="J896" s="42"/>
    </row>
    <row r="897" spans="1:10" ht="15.75" customHeight="1" x14ac:dyDescent="0.3">
      <c r="A897" s="13"/>
      <c r="B897" s="13"/>
      <c r="C897" s="13"/>
      <c r="F897" s="177"/>
      <c r="I897" s="177"/>
      <c r="J897" s="42"/>
    </row>
    <row r="898" spans="1:10" ht="15.75" customHeight="1" x14ac:dyDescent="0.3">
      <c r="A898" s="13"/>
      <c r="B898" s="13"/>
      <c r="C898" s="13"/>
      <c r="F898" s="177"/>
      <c r="I898" s="177"/>
      <c r="J898" s="42"/>
    </row>
    <row r="899" spans="1:10" ht="15.75" customHeight="1" x14ac:dyDescent="0.3">
      <c r="A899" s="13"/>
      <c r="B899" s="13"/>
      <c r="C899" s="13"/>
      <c r="F899" s="177"/>
      <c r="I899" s="177"/>
      <c r="J899" s="42"/>
    </row>
    <row r="900" spans="1:10" ht="15.75" customHeight="1" x14ac:dyDescent="0.3">
      <c r="A900" s="13"/>
      <c r="B900" s="13"/>
      <c r="C900" s="13"/>
      <c r="F900" s="177"/>
      <c r="I900" s="177"/>
      <c r="J900" s="42"/>
    </row>
    <row r="901" spans="1:10" ht="15.75" customHeight="1" x14ac:dyDescent="0.3">
      <c r="A901" s="13"/>
      <c r="B901" s="13"/>
      <c r="C901" s="13"/>
      <c r="F901" s="177"/>
      <c r="I901" s="177"/>
      <c r="J901" s="42"/>
    </row>
    <row r="902" spans="1:10" ht="15.75" customHeight="1" x14ac:dyDescent="0.3">
      <c r="A902" s="13"/>
      <c r="B902" s="13"/>
      <c r="C902" s="13"/>
      <c r="F902" s="177"/>
      <c r="I902" s="177"/>
      <c r="J902" s="42"/>
    </row>
    <row r="903" spans="1:10" ht="15.75" customHeight="1" x14ac:dyDescent="0.3">
      <c r="A903" s="13"/>
      <c r="B903" s="13"/>
      <c r="C903" s="13"/>
      <c r="F903" s="177"/>
      <c r="I903" s="177"/>
      <c r="J903" s="42"/>
    </row>
    <row r="904" spans="1:10" ht="15.75" customHeight="1" x14ac:dyDescent="0.3">
      <c r="A904" s="13"/>
      <c r="B904" s="13"/>
      <c r="C904" s="13"/>
      <c r="F904" s="177"/>
      <c r="I904" s="177"/>
      <c r="J904" s="42"/>
    </row>
    <row r="905" spans="1:10" ht="15.75" customHeight="1" x14ac:dyDescent="0.3">
      <c r="A905" s="13"/>
      <c r="B905" s="13"/>
      <c r="C905" s="13"/>
      <c r="F905" s="177"/>
      <c r="I905" s="177"/>
      <c r="J905" s="42"/>
    </row>
    <row r="906" spans="1:10" ht="15.75" customHeight="1" x14ac:dyDescent="0.3">
      <c r="A906" s="13"/>
      <c r="B906" s="13"/>
      <c r="C906" s="13"/>
      <c r="F906" s="177"/>
      <c r="I906" s="177"/>
      <c r="J906" s="42"/>
    </row>
    <row r="907" spans="1:10" ht="15.75" customHeight="1" x14ac:dyDescent="0.3">
      <c r="A907" s="13"/>
      <c r="B907" s="13"/>
      <c r="C907" s="13"/>
      <c r="F907" s="177"/>
      <c r="I907" s="177"/>
      <c r="J907" s="42"/>
    </row>
    <row r="908" spans="1:10" ht="15.75" customHeight="1" x14ac:dyDescent="0.3">
      <c r="A908" s="13"/>
      <c r="B908" s="13"/>
      <c r="C908" s="13"/>
      <c r="F908" s="177"/>
      <c r="I908" s="177"/>
      <c r="J908" s="42"/>
    </row>
    <row r="909" spans="1:10" ht="15.75" customHeight="1" x14ac:dyDescent="0.3">
      <c r="A909" s="13"/>
      <c r="B909" s="13"/>
      <c r="C909" s="13"/>
      <c r="F909" s="177"/>
      <c r="I909" s="177"/>
      <c r="J909" s="42"/>
    </row>
    <row r="910" spans="1:10" ht="15.75" customHeight="1" x14ac:dyDescent="0.3">
      <c r="A910" s="13"/>
      <c r="B910" s="13"/>
      <c r="C910" s="13"/>
      <c r="F910" s="177"/>
      <c r="I910" s="177"/>
      <c r="J910" s="42"/>
    </row>
    <row r="911" spans="1:10" ht="15.75" customHeight="1" x14ac:dyDescent="0.3">
      <c r="A911" s="13"/>
      <c r="B911" s="13"/>
      <c r="C911" s="13"/>
      <c r="F911" s="177"/>
      <c r="I911" s="177"/>
      <c r="J911" s="42"/>
    </row>
    <row r="912" spans="1:10" ht="15.75" customHeight="1" x14ac:dyDescent="0.3">
      <c r="A912" s="13"/>
      <c r="B912" s="13"/>
      <c r="C912" s="13"/>
      <c r="F912" s="177"/>
      <c r="I912" s="177"/>
      <c r="J912" s="42"/>
    </row>
    <row r="913" spans="1:10" ht="15.75" customHeight="1" x14ac:dyDescent="0.3">
      <c r="A913" s="13"/>
      <c r="B913" s="13"/>
      <c r="C913" s="13"/>
      <c r="F913" s="177"/>
      <c r="I913" s="177"/>
      <c r="J913" s="42"/>
    </row>
    <row r="914" spans="1:10" ht="15.75" customHeight="1" x14ac:dyDescent="0.3">
      <c r="A914" s="13"/>
      <c r="B914" s="13"/>
      <c r="C914" s="13"/>
      <c r="F914" s="177"/>
      <c r="I914" s="177"/>
      <c r="J914" s="42"/>
    </row>
    <row r="915" spans="1:10" ht="15.75" customHeight="1" x14ac:dyDescent="0.3">
      <c r="A915" s="13"/>
      <c r="B915" s="13"/>
      <c r="C915" s="13"/>
      <c r="F915" s="177"/>
      <c r="I915" s="177"/>
      <c r="J915" s="42"/>
    </row>
    <row r="916" spans="1:10" ht="15.75" customHeight="1" x14ac:dyDescent="0.3">
      <c r="A916" s="13"/>
      <c r="B916" s="13"/>
      <c r="C916" s="13"/>
      <c r="F916" s="177"/>
      <c r="I916" s="177"/>
      <c r="J916" s="42"/>
    </row>
    <row r="917" spans="1:10" ht="15.75" customHeight="1" x14ac:dyDescent="0.3">
      <c r="A917" s="13"/>
      <c r="B917" s="13"/>
      <c r="C917" s="13"/>
      <c r="F917" s="177"/>
      <c r="I917" s="177"/>
      <c r="J917" s="42"/>
    </row>
    <row r="918" spans="1:10" ht="15.75" customHeight="1" x14ac:dyDescent="0.3">
      <c r="A918" s="13"/>
      <c r="B918" s="13"/>
      <c r="C918" s="13"/>
      <c r="F918" s="177"/>
      <c r="I918" s="177"/>
      <c r="J918" s="42"/>
    </row>
    <row r="919" spans="1:10" ht="15.75" customHeight="1" x14ac:dyDescent="0.3">
      <c r="A919" s="13"/>
      <c r="B919" s="13"/>
      <c r="C919" s="13"/>
      <c r="F919" s="177"/>
      <c r="I919" s="177"/>
      <c r="J919" s="42"/>
    </row>
    <row r="920" spans="1:10" ht="15.75" customHeight="1" x14ac:dyDescent="0.3">
      <c r="A920" s="13"/>
      <c r="B920" s="13"/>
      <c r="C920" s="13"/>
      <c r="F920" s="177"/>
      <c r="I920" s="177"/>
      <c r="J920" s="42"/>
    </row>
    <row r="921" spans="1:10" ht="15.75" customHeight="1" x14ac:dyDescent="0.3">
      <c r="A921" s="13"/>
      <c r="B921" s="13"/>
      <c r="C921" s="13"/>
      <c r="F921" s="177"/>
      <c r="I921" s="177"/>
      <c r="J921" s="42"/>
    </row>
    <row r="922" spans="1:10" ht="15.75" customHeight="1" x14ac:dyDescent="0.3">
      <c r="A922" s="13"/>
      <c r="B922" s="13"/>
      <c r="C922" s="13"/>
      <c r="F922" s="177"/>
      <c r="I922" s="177"/>
      <c r="J922" s="42"/>
    </row>
    <row r="923" spans="1:10" ht="15.75" customHeight="1" x14ac:dyDescent="0.3">
      <c r="A923" s="13"/>
      <c r="B923" s="13"/>
      <c r="C923" s="13"/>
      <c r="F923" s="177"/>
      <c r="I923" s="177"/>
      <c r="J923" s="42"/>
    </row>
    <row r="924" spans="1:10" ht="15.75" customHeight="1" x14ac:dyDescent="0.3">
      <c r="A924" s="13"/>
      <c r="B924" s="13"/>
      <c r="C924" s="13"/>
      <c r="F924" s="177"/>
      <c r="I924" s="177"/>
      <c r="J924" s="42"/>
    </row>
    <row r="925" spans="1:10" ht="15.75" customHeight="1" x14ac:dyDescent="0.3">
      <c r="A925" s="13"/>
      <c r="B925" s="13"/>
      <c r="C925" s="13"/>
      <c r="F925" s="177"/>
      <c r="I925" s="177"/>
      <c r="J925" s="42"/>
    </row>
    <row r="926" spans="1:10" ht="15.75" customHeight="1" x14ac:dyDescent="0.3">
      <c r="A926" s="13"/>
      <c r="B926" s="13"/>
      <c r="C926" s="13"/>
      <c r="F926" s="177"/>
      <c r="I926" s="177"/>
      <c r="J926" s="42"/>
    </row>
    <row r="927" spans="1:10" ht="15.75" customHeight="1" x14ac:dyDescent="0.3">
      <c r="A927" s="13"/>
      <c r="B927" s="13"/>
      <c r="C927" s="13"/>
      <c r="F927" s="177"/>
      <c r="I927" s="177"/>
      <c r="J927" s="42"/>
    </row>
    <row r="928" spans="1:10" ht="15.75" customHeight="1" x14ac:dyDescent="0.3">
      <c r="A928" s="13"/>
      <c r="B928" s="13"/>
      <c r="C928" s="13"/>
      <c r="F928" s="177"/>
      <c r="I928" s="177"/>
      <c r="J928" s="42"/>
    </row>
    <row r="929" spans="1:10" ht="15.75" customHeight="1" x14ac:dyDescent="0.3">
      <c r="A929" s="13"/>
      <c r="B929" s="13"/>
      <c r="C929" s="13"/>
      <c r="F929" s="177"/>
      <c r="I929" s="177"/>
      <c r="J929" s="42"/>
    </row>
    <row r="930" spans="1:10" ht="15.75" customHeight="1" x14ac:dyDescent="0.3">
      <c r="A930" s="13"/>
      <c r="B930" s="13"/>
      <c r="C930" s="13"/>
      <c r="F930" s="177"/>
      <c r="I930" s="177"/>
      <c r="J930" s="42"/>
    </row>
    <row r="931" spans="1:10" ht="15.75" customHeight="1" x14ac:dyDescent="0.3">
      <c r="A931" s="13"/>
      <c r="B931" s="13"/>
      <c r="C931" s="13"/>
      <c r="F931" s="177"/>
      <c r="I931" s="177"/>
      <c r="J931" s="42"/>
    </row>
    <row r="932" spans="1:10" ht="15.75" customHeight="1" x14ac:dyDescent="0.3">
      <c r="A932" s="13"/>
      <c r="B932" s="13"/>
      <c r="C932" s="13"/>
      <c r="F932" s="177"/>
      <c r="I932" s="177"/>
      <c r="J932" s="42"/>
    </row>
    <row r="933" spans="1:10" ht="15.75" customHeight="1" x14ac:dyDescent="0.3">
      <c r="A933" s="13"/>
      <c r="B933" s="13"/>
      <c r="C933" s="13"/>
      <c r="F933" s="177"/>
      <c r="I933" s="177"/>
      <c r="J933" s="42"/>
    </row>
    <row r="934" spans="1:10" ht="15.75" customHeight="1" x14ac:dyDescent="0.3">
      <c r="A934" s="13"/>
      <c r="B934" s="13"/>
      <c r="C934" s="13"/>
      <c r="F934" s="177"/>
      <c r="I934" s="177"/>
      <c r="J934" s="42"/>
    </row>
    <row r="935" spans="1:10" ht="15.75" customHeight="1" x14ac:dyDescent="0.3">
      <c r="A935" s="13"/>
      <c r="B935" s="13"/>
      <c r="C935" s="13"/>
      <c r="F935" s="177"/>
      <c r="I935" s="177"/>
      <c r="J935" s="42"/>
    </row>
    <row r="936" spans="1:10" ht="15.75" customHeight="1" x14ac:dyDescent="0.3">
      <c r="A936" s="13"/>
      <c r="B936" s="13"/>
      <c r="C936" s="13"/>
      <c r="F936" s="177"/>
      <c r="I936" s="177"/>
      <c r="J936" s="42"/>
    </row>
    <row r="937" spans="1:10" ht="15.75" customHeight="1" x14ac:dyDescent="0.3">
      <c r="A937" s="13"/>
      <c r="B937" s="13"/>
      <c r="C937" s="13"/>
      <c r="F937" s="177"/>
      <c r="I937" s="177"/>
      <c r="J937" s="42"/>
    </row>
    <row r="938" spans="1:10" ht="15.75" customHeight="1" x14ac:dyDescent="0.3">
      <c r="A938" s="13"/>
      <c r="B938" s="13"/>
      <c r="C938" s="13"/>
      <c r="F938" s="177"/>
      <c r="I938" s="177"/>
      <c r="J938" s="42"/>
    </row>
    <row r="939" spans="1:10" ht="15.75" customHeight="1" x14ac:dyDescent="0.3">
      <c r="A939" s="13"/>
      <c r="B939" s="13"/>
      <c r="C939" s="13"/>
      <c r="F939" s="177"/>
      <c r="I939" s="177"/>
      <c r="J939" s="42"/>
    </row>
    <row r="940" spans="1:10" ht="15.75" customHeight="1" x14ac:dyDescent="0.3">
      <c r="A940" s="13"/>
      <c r="B940" s="13"/>
      <c r="C940" s="13"/>
      <c r="F940" s="177"/>
      <c r="I940" s="177"/>
      <c r="J940" s="42"/>
    </row>
    <row r="941" spans="1:10" ht="15.75" customHeight="1" x14ac:dyDescent="0.3">
      <c r="A941" s="13"/>
      <c r="B941" s="13"/>
      <c r="C941" s="13"/>
      <c r="F941" s="177"/>
      <c r="I941" s="177"/>
      <c r="J941" s="42"/>
    </row>
    <row r="942" spans="1:10" ht="15.75" customHeight="1" x14ac:dyDescent="0.3">
      <c r="A942" s="13"/>
      <c r="B942" s="13"/>
      <c r="C942" s="13"/>
      <c r="F942" s="177"/>
      <c r="I942" s="177"/>
      <c r="J942" s="42"/>
    </row>
    <row r="943" spans="1:10" ht="15.75" customHeight="1" x14ac:dyDescent="0.3">
      <c r="A943" s="13"/>
      <c r="B943" s="13"/>
      <c r="C943" s="13"/>
      <c r="F943" s="177"/>
      <c r="I943" s="177"/>
      <c r="J943" s="42"/>
    </row>
    <row r="944" spans="1:10" ht="15.75" customHeight="1" x14ac:dyDescent="0.3">
      <c r="A944" s="13"/>
      <c r="B944" s="13"/>
      <c r="C944" s="13"/>
      <c r="F944" s="177"/>
      <c r="I944" s="177"/>
      <c r="J944" s="42"/>
    </row>
    <row r="945" spans="1:10" ht="15.75" customHeight="1" x14ac:dyDescent="0.3">
      <c r="A945" s="13"/>
      <c r="B945" s="13"/>
      <c r="C945" s="13"/>
      <c r="F945" s="177"/>
      <c r="I945" s="177"/>
      <c r="J945" s="42"/>
    </row>
    <row r="946" spans="1:10" ht="15.75" customHeight="1" x14ac:dyDescent="0.3">
      <c r="A946" s="13"/>
      <c r="B946" s="13"/>
      <c r="C946" s="13"/>
      <c r="F946" s="177"/>
      <c r="I946" s="177"/>
      <c r="J946" s="42"/>
    </row>
    <row r="947" spans="1:10" ht="15.75" customHeight="1" x14ac:dyDescent="0.3">
      <c r="A947" s="13"/>
      <c r="B947" s="13"/>
      <c r="C947" s="13"/>
      <c r="F947" s="177"/>
      <c r="I947" s="177"/>
      <c r="J947" s="42"/>
    </row>
    <row r="948" spans="1:10" ht="15.75" customHeight="1" x14ac:dyDescent="0.3">
      <c r="A948" s="13"/>
      <c r="B948" s="13"/>
      <c r="C948" s="13"/>
      <c r="F948" s="177"/>
      <c r="I948" s="177"/>
      <c r="J948" s="42"/>
    </row>
    <row r="949" spans="1:10" ht="15.75" customHeight="1" x14ac:dyDescent="0.3">
      <c r="A949" s="13"/>
      <c r="B949" s="13"/>
      <c r="C949" s="13"/>
      <c r="F949" s="177"/>
      <c r="I949" s="177"/>
      <c r="J949" s="42"/>
    </row>
    <row r="950" spans="1:10" ht="15.75" customHeight="1" x14ac:dyDescent="0.3">
      <c r="A950" s="13"/>
      <c r="B950" s="13"/>
      <c r="C950" s="13"/>
      <c r="F950" s="177"/>
      <c r="I950" s="177"/>
      <c r="J950" s="42"/>
    </row>
    <row r="951" spans="1:10" ht="15.75" customHeight="1" x14ac:dyDescent="0.3">
      <c r="A951" s="13"/>
      <c r="B951" s="13"/>
      <c r="C951" s="13"/>
      <c r="F951" s="177"/>
      <c r="I951" s="177"/>
      <c r="J951" s="42"/>
    </row>
    <row r="952" spans="1:10" ht="15.75" customHeight="1" x14ac:dyDescent="0.3">
      <c r="A952" s="13"/>
      <c r="B952" s="13"/>
      <c r="C952" s="13"/>
      <c r="F952" s="177"/>
      <c r="I952" s="177"/>
      <c r="J952" s="42"/>
    </row>
    <row r="953" spans="1:10" ht="15.75" customHeight="1" x14ac:dyDescent="0.3">
      <c r="A953" s="13"/>
      <c r="B953" s="13"/>
      <c r="C953" s="13"/>
      <c r="F953" s="177"/>
      <c r="I953" s="177"/>
      <c r="J953" s="42"/>
    </row>
    <row r="954" spans="1:10" ht="15.75" customHeight="1" x14ac:dyDescent="0.3">
      <c r="A954" s="13"/>
      <c r="B954" s="13"/>
      <c r="C954" s="13"/>
      <c r="F954" s="177"/>
      <c r="I954" s="177"/>
      <c r="J954" s="42"/>
    </row>
    <row r="955" spans="1:10" ht="15.75" customHeight="1" x14ac:dyDescent="0.3">
      <c r="A955" s="13"/>
      <c r="B955" s="13"/>
      <c r="C955" s="13"/>
      <c r="F955" s="177"/>
      <c r="I955" s="177"/>
      <c r="J955" s="42"/>
    </row>
    <row r="956" spans="1:10" ht="15.75" customHeight="1" x14ac:dyDescent="0.3">
      <c r="A956" s="13"/>
      <c r="B956" s="13"/>
      <c r="C956" s="13"/>
      <c r="F956" s="177"/>
      <c r="I956" s="177"/>
      <c r="J956" s="42"/>
    </row>
    <row r="957" spans="1:10" ht="15.75" customHeight="1" x14ac:dyDescent="0.3">
      <c r="A957" s="13"/>
      <c r="B957" s="13"/>
      <c r="C957" s="13"/>
      <c r="F957" s="177"/>
      <c r="I957" s="177"/>
      <c r="J957" s="42"/>
    </row>
    <row r="958" spans="1:10" ht="15.75" customHeight="1" x14ac:dyDescent="0.3">
      <c r="A958" s="13"/>
      <c r="B958" s="13"/>
      <c r="C958" s="13"/>
      <c r="F958" s="177"/>
      <c r="I958" s="177"/>
      <c r="J958" s="42"/>
    </row>
    <row r="959" spans="1:10" ht="15.75" customHeight="1" x14ac:dyDescent="0.3">
      <c r="A959" s="13"/>
      <c r="B959" s="13"/>
      <c r="C959" s="13"/>
      <c r="F959" s="177"/>
      <c r="I959" s="177"/>
      <c r="J959" s="42"/>
    </row>
    <row r="960" spans="1:10" ht="15.75" customHeight="1" x14ac:dyDescent="0.3">
      <c r="A960" s="13"/>
      <c r="B960" s="13"/>
      <c r="C960" s="13"/>
      <c r="F960" s="177"/>
      <c r="I960" s="177"/>
      <c r="J960" s="42"/>
    </row>
    <row r="961" spans="1:10" ht="15.75" customHeight="1" x14ac:dyDescent="0.3">
      <c r="A961" s="13"/>
      <c r="B961" s="13"/>
      <c r="C961" s="13"/>
      <c r="F961" s="177"/>
      <c r="I961" s="177"/>
      <c r="J961" s="42"/>
    </row>
    <row r="962" spans="1:10" ht="15.75" customHeight="1" x14ac:dyDescent="0.3">
      <c r="A962" s="13"/>
      <c r="B962" s="13"/>
      <c r="C962" s="13"/>
      <c r="F962" s="177"/>
      <c r="I962" s="177"/>
      <c r="J962" s="42"/>
    </row>
    <row r="963" spans="1:10" ht="15.75" customHeight="1" x14ac:dyDescent="0.3">
      <c r="A963" s="13"/>
      <c r="B963" s="13"/>
      <c r="C963" s="13"/>
      <c r="F963" s="177"/>
      <c r="I963" s="177"/>
      <c r="J963" s="42"/>
    </row>
  </sheetData>
  <mergeCells count="3">
    <mergeCell ref="D53:H55"/>
    <mergeCell ref="D56:H59"/>
    <mergeCell ref="D60:H6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624D-0842-B94F-ABFD-8F78080CAB94}">
  <dimension ref="B1:P89"/>
  <sheetViews>
    <sheetView showGridLines="0" zoomScale="78" workbookViewId="0">
      <selection activeCell="D61" sqref="D61"/>
    </sheetView>
  </sheetViews>
  <sheetFormatPr defaultColWidth="10.765625" defaultRowHeight="14.15" outlineLevelRow="1" x14ac:dyDescent="0.35"/>
  <cols>
    <col min="1" max="1" width="3.69140625" style="542" customWidth="1"/>
    <col min="2" max="2" width="54.3046875" style="542" customWidth="1"/>
    <col min="3" max="3" width="37.69140625" style="542" customWidth="1"/>
    <col min="4" max="16384" width="10.765625" style="542"/>
  </cols>
  <sheetData>
    <row r="1" spans="2:9" s="579" customFormat="1" ht="17.600000000000001" x14ac:dyDescent="0.35">
      <c r="B1" s="578" t="s">
        <v>364</v>
      </c>
    </row>
    <row r="2" spans="2:9" outlineLevel="1" x14ac:dyDescent="0.35"/>
    <row r="3" spans="2:9" outlineLevel="1" x14ac:dyDescent="0.35">
      <c r="B3" s="543" t="s">
        <v>333</v>
      </c>
      <c r="C3" s="544">
        <v>47119</v>
      </c>
      <c r="E3" s="639" t="s">
        <v>345</v>
      </c>
      <c r="F3" s="639"/>
      <c r="G3" s="639"/>
      <c r="H3" s="639"/>
      <c r="I3" s="639"/>
    </row>
    <row r="4" spans="2:9" outlineLevel="1" x14ac:dyDescent="0.35">
      <c r="B4" s="543" t="s">
        <v>334</v>
      </c>
      <c r="C4" s="545" t="s">
        <v>335</v>
      </c>
      <c r="E4" s="546">
        <v>2029</v>
      </c>
      <c r="F4" s="546">
        <v>2030</v>
      </c>
      <c r="G4" s="546">
        <v>2031</v>
      </c>
      <c r="H4" s="546">
        <v>2032</v>
      </c>
      <c r="I4" s="546">
        <v>2033</v>
      </c>
    </row>
    <row r="5" spans="2:9" outlineLevel="1" x14ac:dyDescent="0.35">
      <c r="B5" s="543" t="s">
        <v>336</v>
      </c>
      <c r="C5" s="545" t="s">
        <v>337</v>
      </c>
      <c r="E5" s="547">
        <v>0</v>
      </c>
      <c r="F5" s="547">
        <v>1.1499999999999999</v>
      </c>
      <c r="G5" s="547">
        <v>0.2</v>
      </c>
      <c r="H5" s="547">
        <v>0.2</v>
      </c>
      <c r="I5" s="547">
        <v>0.2</v>
      </c>
    </row>
    <row r="6" spans="2:9" outlineLevel="1" x14ac:dyDescent="0.35">
      <c r="B6" s="543" t="s">
        <v>39</v>
      </c>
      <c r="C6" s="545" t="s">
        <v>338</v>
      </c>
    </row>
    <row r="7" spans="2:9" outlineLevel="1" x14ac:dyDescent="0.35">
      <c r="B7" s="543" t="s">
        <v>41</v>
      </c>
      <c r="C7" s="545" t="s">
        <v>339</v>
      </c>
    </row>
    <row r="8" spans="2:9" outlineLevel="1" x14ac:dyDescent="0.35">
      <c r="B8" s="543" t="s">
        <v>340</v>
      </c>
      <c r="C8" s="548">
        <v>0.45</v>
      </c>
    </row>
    <row r="9" spans="2:9" outlineLevel="1" x14ac:dyDescent="0.35">
      <c r="B9" s="543" t="s">
        <v>341</v>
      </c>
      <c r="C9" s="545" t="s">
        <v>342</v>
      </c>
      <c r="E9" s="640" t="s">
        <v>374</v>
      </c>
      <c r="F9" s="640"/>
      <c r="G9" s="640"/>
      <c r="H9" s="640"/>
      <c r="I9" s="640"/>
    </row>
    <row r="10" spans="2:9" outlineLevel="1" x14ac:dyDescent="0.35">
      <c r="B10" s="543" t="s">
        <v>90</v>
      </c>
      <c r="C10" s="545" t="s">
        <v>343</v>
      </c>
    </row>
    <row r="11" spans="2:9" outlineLevel="1" x14ac:dyDescent="0.35">
      <c r="B11" s="543" t="s">
        <v>95</v>
      </c>
      <c r="C11" s="545" t="s">
        <v>344</v>
      </c>
    </row>
    <row r="12" spans="2:9" outlineLevel="1" x14ac:dyDescent="0.35">
      <c r="B12" s="543" t="s">
        <v>125</v>
      </c>
      <c r="C12" s="548">
        <v>0.1</v>
      </c>
    </row>
    <row r="13" spans="2:9" outlineLevel="1" x14ac:dyDescent="0.35">
      <c r="B13" s="543" t="s">
        <v>126</v>
      </c>
      <c r="C13" s="548">
        <v>0.25</v>
      </c>
    </row>
    <row r="14" spans="2:9" outlineLevel="1" x14ac:dyDescent="0.35">
      <c r="B14" s="543" t="s">
        <v>35</v>
      </c>
      <c r="C14" s="548" t="s">
        <v>376</v>
      </c>
    </row>
    <row r="16" spans="2:9" s="579" customFormat="1" ht="17.600000000000001" x14ac:dyDescent="0.35">
      <c r="B16" s="578" t="s">
        <v>365</v>
      </c>
    </row>
    <row r="18" spans="2:16" hidden="1" outlineLevel="1" x14ac:dyDescent="0.35">
      <c r="B18" s="549" t="s">
        <v>348</v>
      </c>
      <c r="C18" s="550"/>
      <c r="E18" s="639" t="s">
        <v>347</v>
      </c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639"/>
    </row>
    <row r="19" spans="2:16" hidden="1" outlineLevel="1" x14ac:dyDescent="0.35">
      <c r="B19" s="551" t="s">
        <v>70</v>
      </c>
      <c r="C19" s="552"/>
      <c r="E19" s="546">
        <v>1</v>
      </c>
      <c r="F19" s="546">
        <v>2</v>
      </c>
      <c r="G19" s="546">
        <v>3</v>
      </c>
      <c r="H19" s="546">
        <v>4</v>
      </c>
      <c r="I19" s="546">
        <v>5</v>
      </c>
      <c r="J19" s="546">
        <v>6</v>
      </c>
      <c r="K19" s="546">
        <v>7</v>
      </c>
      <c r="L19" s="546">
        <v>8</v>
      </c>
      <c r="M19" s="546">
        <v>9</v>
      </c>
      <c r="N19" s="546">
        <v>10</v>
      </c>
      <c r="O19" s="546">
        <v>11</v>
      </c>
      <c r="P19" s="546">
        <v>12</v>
      </c>
    </row>
    <row r="20" spans="2:16" hidden="1" outlineLevel="1" x14ac:dyDescent="0.35">
      <c r="B20" s="553" t="s">
        <v>71</v>
      </c>
      <c r="C20" s="554">
        <v>90000000</v>
      </c>
      <c r="E20" s="555">
        <v>0.75</v>
      </c>
      <c r="F20" s="555">
        <v>0.85</v>
      </c>
      <c r="G20" s="555">
        <v>0.9</v>
      </c>
      <c r="H20" s="555">
        <v>1.1000000000000001</v>
      </c>
      <c r="I20" s="555">
        <v>1.2</v>
      </c>
      <c r="J20" s="555">
        <v>1.25</v>
      </c>
      <c r="K20" s="555">
        <v>1.2</v>
      </c>
      <c r="L20" s="555">
        <v>1.1000000000000001</v>
      </c>
      <c r="M20" s="555">
        <v>1.05</v>
      </c>
      <c r="N20" s="555">
        <v>0.95</v>
      </c>
      <c r="O20" s="555">
        <v>0.85</v>
      </c>
      <c r="P20" s="555">
        <v>0.8</v>
      </c>
    </row>
    <row r="21" spans="2:16" hidden="1" outlineLevel="1" x14ac:dyDescent="0.35">
      <c r="B21" s="553" t="s">
        <v>75</v>
      </c>
      <c r="C21" s="554">
        <v>70000000</v>
      </c>
    </row>
    <row r="22" spans="2:16" hidden="1" outlineLevel="1" x14ac:dyDescent="0.35">
      <c r="B22" s="553" t="s">
        <v>77</v>
      </c>
      <c r="C22" s="554">
        <v>55000000</v>
      </c>
    </row>
    <row r="23" spans="2:16" hidden="1" outlineLevel="1" x14ac:dyDescent="0.35">
      <c r="B23" s="553" t="s">
        <v>78</v>
      </c>
      <c r="C23" s="554">
        <v>90000000</v>
      </c>
    </row>
    <row r="24" spans="2:16" hidden="1" outlineLevel="1" x14ac:dyDescent="0.35">
      <c r="B24" s="551" t="s">
        <v>79</v>
      </c>
      <c r="C24" s="552"/>
      <c r="E24" s="639" t="s">
        <v>346</v>
      </c>
      <c r="F24" s="639"/>
      <c r="G24" s="639"/>
      <c r="H24" s="639"/>
      <c r="I24" s="639"/>
    </row>
    <row r="25" spans="2:16" hidden="1" outlineLevel="1" x14ac:dyDescent="0.35">
      <c r="B25" s="553" t="s">
        <v>80</v>
      </c>
      <c r="C25" s="554">
        <v>70000000</v>
      </c>
      <c r="E25" s="556">
        <v>2029</v>
      </c>
      <c r="F25" s="556">
        <v>2030</v>
      </c>
      <c r="G25" s="556">
        <v>2031</v>
      </c>
      <c r="H25" s="556">
        <v>2032</v>
      </c>
      <c r="I25" s="556">
        <v>2033</v>
      </c>
    </row>
    <row r="26" spans="2:16" hidden="1" outlineLevel="1" x14ac:dyDescent="0.35">
      <c r="B26" s="553" t="s">
        <v>83</v>
      </c>
      <c r="C26" s="554">
        <v>40000000</v>
      </c>
      <c r="E26" s="557">
        <v>0.05</v>
      </c>
      <c r="F26" s="557">
        <v>3.7999999999999999E-2</v>
      </c>
      <c r="G26" s="557">
        <v>0.04</v>
      </c>
      <c r="H26" s="557">
        <v>0.04</v>
      </c>
      <c r="I26" s="557">
        <v>0.04</v>
      </c>
    </row>
    <row r="27" spans="2:16" hidden="1" outlineLevel="1" x14ac:dyDescent="0.35">
      <c r="B27" s="558" t="s">
        <v>349</v>
      </c>
      <c r="C27" s="552" t="s">
        <v>350</v>
      </c>
    </row>
    <row r="28" spans="2:16" s="583" customFormat="1" hidden="1" outlineLevel="1" x14ac:dyDescent="0.35">
      <c r="B28" s="558" t="s">
        <v>351</v>
      </c>
      <c r="C28" s="552" t="s">
        <v>352</v>
      </c>
    </row>
    <row r="29" spans="2:16" s="583" customFormat="1" hidden="1" outlineLevel="1" x14ac:dyDescent="0.35">
      <c r="B29" s="584"/>
      <c r="C29" s="585"/>
    </row>
    <row r="30" spans="2:16" s="586" customFormat="1" hidden="1" outlineLevel="1" x14ac:dyDescent="0.35">
      <c r="B30" s="549" t="s">
        <v>373</v>
      </c>
      <c r="C30" s="550"/>
    </row>
    <row r="31" spans="2:16" s="583" customFormat="1" hidden="1" outlineLevel="1" x14ac:dyDescent="0.35">
      <c r="B31" s="551" t="s">
        <v>372</v>
      </c>
      <c r="C31" s="574">
        <v>0.2</v>
      </c>
    </row>
    <row r="32" spans="2:16" hidden="1" outlineLevel="1" x14ac:dyDescent="0.35">
      <c r="B32" s="551" t="s">
        <v>32</v>
      </c>
      <c r="C32" s="574">
        <v>0.2</v>
      </c>
    </row>
    <row r="33" spans="2:9" hidden="1" outlineLevel="1" x14ac:dyDescent="0.35"/>
    <row r="34" spans="2:9" s="579" customFormat="1" ht="17.600000000000001" collapsed="1" x14ac:dyDescent="0.35">
      <c r="B34" s="578" t="s">
        <v>366</v>
      </c>
    </row>
    <row r="35" spans="2:9" ht="17.600000000000001" hidden="1" outlineLevel="1" x14ac:dyDescent="0.35">
      <c r="B35" s="577"/>
    </row>
    <row r="36" spans="2:9" hidden="1" outlineLevel="1" x14ac:dyDescent="0.35">
      <c r="B36" s="639" t="s">
        <v>353</v>
      </c>
      <c r="C36" s="639"/>
      <c r="D36" s="587"/>
      <c r="E36" s="645" t="s">
        <v>357</v>
      </c>
      <c r="F36" s="645"/>
      <c r="G36" s="645"/>
      <c r="H36" s="645"/>
      <c r="I36" s="645"/>
    </row>
    <row r="37" spans="2:9" hidden="1" outlineLevel="1" x14ac:dyDescent="0.35">
      <c r="B37" s="553" t="s">
        <v>49</v>
      </c>
      <c r="C37" s="555">
        <v>380</v>
      </c>
      <c r="D37" s="587"/>
      <c r="E37" s="646" t="s">
        <v>98</v>
      </c>
      <c r="F37" s="646"/>
      <c r="G37" s="646"/>
      <c r="H37" s="646"/>
      <c r="I37" s="646"/>
    </row>
    <row r="38" spans="2:9" hidden="1" outlineLevel="1" x14ac:dyDescent="0.35">
      <c r="B38" s="553" t="s">
        <v>51</v>
      </c>
      <c r="C38" s="555">
        <v>75</v>
      </c>
      <c r="D38" s="587"/>
      <c r="E38" s="646" t="s">
        <v>101</v>
      </c>
      <c r="F38" s="646"/>
      <c r="G38" s="646"/>
      <c r="H38" s="646"/>
      <c r="I38" s="646"/>
    </row>
    <row r="39" spans="2:9" hidden="1" outlineLevel="1" x14ac:dyDescent="0.35">
      <c r="B39" s="553" t="s">
        <v>52</v>
      </c>
      <c r="C39" s="555">
        <v>4500</v>
      </c>
      <c r="D39" s="587"/>
      <c r="E39" s="646" t="s">
        <v>104</v>
      </c>
      <c r="F39" s="646"/>
      <c r="G39" s="646"/>
      <c r="H39" s="646"/>
      <c r="I39" s="646"/>
    </row>
    <row r="40" spans="2:9" hidden="1" outlineLevel="1" x14ac:dyDescent="0.35">
      <c r="B40" s="553" t="s">
        <v>53</v>
      </c>
      <c r="C40" s="555">
        <v>1500</v>
      </c>
      <c r="D40" s="587"/>
      <c r="E40" s="587"/>
      <c r="F40" s="587"/>
      <c r="G40" s="587"/>
      <c r="H40" s="587"/>
      <c r="I40" s="587"/>
    </row>
    <row r="41" spans="2:9" hidden="1" outlineLevel="1" x14ac:dyDescent="0.35">
      <c r="B41" s="553" t="s">
        <v>54</v>
      </c>
      <c r="C41" s="555">
        <v>234</v>
      </c>
      <c r="D41" s="587"/>
      <c r="E41" s="587"/>
      <c r="F41" s="587"/>
      <c r="G41" s="587"/>
      <c r="H41" s="587"/>
      <c r="I41" s="587"/>
    </row>
    <row r="42" spans="2:9" hidden="1" outlineLevel="1" x14ac:dyDescent="0.35">
      <c r="B42" s="639" t="s">
        <v>354</v>
      </c>
      <c r="C42" s="639"/>
      <c r="D42" s="587"/>
      <c r="E42" s="645" t="s">
        <v>358</v>
      </c>
      <c r="F42" s="645"/>
      <c r="G42" s="645"/>
      <c r="H42" s="645"/>
      <c r="I42" s="645"/>
    </row>
    <row r="43" spans="2:9" hidden="1" outlineLevel="1" x14ac:dyDescent="0.35">
      <c r="B43" s="553" t="s">
        <v>56</v>
      </c>
      <c r="C43" s="555">
        <v>0.17</v>
      </c>
      <c r="D43" s="587"/>
      <c r="E43" s="641" t="s">
        <v>359</v>
      </c>
      <c r="F43" s="641"/>
      <c r="G43" s="641"/>
      <c r="H43" s="641"/>
      <c r="I43" s="545">
        <v>120</v>
      </c>
    </row>
    <row r="44" spans="2:9" hidden="1" outlineLevel="1" x14ac:dyDescent="0.35">
      <c r="B44" s="553" t="s">
        <v>57</v>
      </c>
      <c r="C44" s="555">
        <v>0.01</v>
      </c>
      <c r="D44" s="587"/>
      <c r="E44" s="641" t="s">
        <v>360</v>
      </c>
      <c r="F44" s="641"/>
      <c r="G44" s="641"/>
      <c r="H44" s="641"/>
      <c r="I44" s="545">
        <v>5</v>
      </c>
    </row>
    <row r="45" spans="2:9" hidden="1" outlineLevel="1" x14ac:dyDescent="0.35">
      <c r="B45" s="553" t="s">
        <v>52</v>
      </c>
      <c r="C45" s="555">
        <v>7.0000000000000001E-3</v>
      </c>
      <c r="D45" s="587"/>
      <c r="E45" s="641" t="s">
        <v>361</v>
      </c>
      <c r="F45" s="641"/>
      <c r="G45" s="641"/>
      <c r="H45" s="641"/>
      <c r="I45" s="545">
        <v>95</v>
      </c>
    </row>
    <row r="46" spans="2:9" hidden="1" outlineLevel="1" x14ac:dyDescent="0.35">
      <c r="B46" s="553" t="s">
        <v>58</v>
      </c>
      <c r="C46" s="555">
        <v>8.0000000000000002E-3</v>
      </c>
      <c r="D46" s="587"/>
      <c r="E46" s="587"/>
      <c r="F46" s="587"/>
      <c r="G46" s="587"/>
      <c r="H46" s="587"/>
      <c r="I46" s="587"/>
    </row>
    <row r="47" spans="2:9" hidden="1" outlineLevel="1" x14ac:dyDescent="0.35">
      <c r="B47" s="553" t="s">
        <v>59</v>
      </c>
      <c r="C47" s="555">
        <v>5.0000000000000001E-3</v>
      </c>
      <c r="D47" s="587"/>
      <c r="E47" s="587"/>
      <c r="F47" s="587"/>
      <c r="G47" s="587"/>
      <c r="H47" s="587"/>
      <c r="I47" s="587"/>
    </row>
    <row r="48" spans="2:9" hidden="1" outlineLevel="1" x14ac:dyDescent="0.35">
      <c r="B48" s="553" t="s">
        <v>60</v>
      </c>
      <c r="C48" s="555">
        <v>0.8</v>
      </c>
      <c r="D48" s="587"/>
      <c r="E48" s="587"/>
      <c r="F48" s="587"/>
      <c r="G48" s="587"/>
      <c r="H48" s="587"/>
      <c r="I48" s="587"/>
    </row>
    <row r="49" spans="2:14" hidden="1" outlineLevel="1" x14ac:dyDescent="0.35">
      <c r="B49" s="639" t="s">
        <v>355</v>
      </c>
      <c r="C49" s="639"/>
      <c r="D49" s="587"/>
      <c r="E49" s="587"/>
      <c r="F49" s="587"/>
      <c r="G49" s="587"/>
      <c r="H49" s="587"/>
      <c r="I49" s="587"/>
    </row>
    <row r="50" spans="2:14" hidden="1" outlineLevel="1" x14ac:dyDescent="0.35">
      <c r="B50" s="553" t="s">
        <v>62</v>
      </c>
      <c r="C50" s="555">
        <v>20</v>
      </c>
      <c r="D50" s="587"/>
      <c r="E50" s="587"/>
      <c r="F50" s="587"/>
      <c r="G50" s="587"/>
      <c r="H50" s="587"/>
      <c r="I50" s="587"/>
    </row>
    <row r="51" spans="2:14" hidden="1" outlineLevel="1" x14ac:dyDescent="0.35">
      <c r="B51" s="553" t="s">
        <v>64</v>
      </c>
      <c r="C51" s="555">
        <v>5</v>
      </c>
      <c r="D51" s="587"/>
      <c r="E51" s="587"/>
      <c r="F51" s="587"/>
      <c r="G51" s="587"/>
      <c r="H51" s="587"/>
      <c r="I51" s="587"/>
    </row>
    <row r="52" spans="2:14" hidden="1" outlineLevel="1" x14ac:dyDescent="0.35">
      <c r="B52" s="553"/>
      <c r="C52" s="555"/>
      <c r="D52" s="587"/>
      <c r="E52" s="587"/>
      <c r="F52" s="587"/>
      <c r="G52" s="587"/>
      <c r="H52" s="587"/>
      <c r="I52" s="587"/>
    </row>
    <row r="53" spans="2:14" hidden="1" outlineLevel="1" x14ac:dyDescent="0.35">
      <c r="B53" s="639" t="s">
        <v>356</v>
      </c>
      <c r="C53" s="639"/>
      <c r="D53" s="587"/>
      <c r="E53" s="587"/>
      <c r="F53" s="587"/>
      <c r="G53" s="587"/>
      <c r="H53" s="587"/>
      <c r="I53" s="587"/>
    </row>
    <row r="54" spans="2:14" hidden="1" outlineLevel="1" x14ac:dyDescent="0.35">
      <c r="B54" s="553" t="s">
        <v>66</v>
      </c>
      <c r="C54" s="554">
        <v>4500000</v>
      </c>
      <c r="D54" s="587"/>
      <c r="E54" s="587"/>
      <c r="F54" s="587"/>
      <c r="G54" s="587"/>
      <c r="H54" s="587"/>
      <c r="I54" s="587"/>
    </row>
    <row r="55" spans="2:14" hidden="1" outlineLevel="1" x14ac:dyDescent="0.35">
      <c r="B55" s="553" t="s">
        <v>67</v>
      </c>
      <c r="C55" s="554">
        <v>4000000</v>
      </c>
      <c r="D55" s="587"/>
      <c r="E55" s="587"/>
      <c r="F55" s="587"/>
      <c r="G55" s="587"/>
      <c r="H55" s="587"/>
      <c r="I55" s="587"/>
    </row>
    <row r="56" spans="2:14" hidden="1" outlineLevel="1" x14ac:dyDescent="0.35">
      <c r="B56" s="553" t="s">
        <v>68</v>
      </c>
      <c r="C56" s="554">
        <v>8000000</v>
      </c>
      <c r="D56" s="587"/>
      <c r="E56" s="587"/>
      <c r="F56" s="587"/>
      <c r="G56" s="587"/>
      <c r="H56" s="587"/>
      <c r="I56" s="587"/>
    </row>
    <row r="57" spans="2:14" hidden="1" outlineLevel="1" x14ac:dyDescent="0.35"/>
    <row r="58" spans="2:14" collapsed="1" x14ac:dyDescent="0.35"/>
    <row r="59" spans="2:14" s="579" customFormat="1" ht="17.600000000000001" x14ac:dyDescent="0.35">
      <c r="B59" s="578" t="s">
        <v>367</v>
      </c>
    </row>
    <row r="60" spans="2:14" ht="21" customHeight="1" outlineLevel="1" x14ac:dyDescent="0.35"/>
    <row r="61" spans="2:14" ht="25.1" customHeight="1" outlineLevel="1" x14ac:dyDescent="0.35">
      <c r="B61" s="588" t="s">
        <v>114</v>
      </c>
      <c r="C61" s="573" t="s">
        <v>115</v>
      </c>
      <c r="D61" s="575">
        <v>5.96E-2</v>
      </c>
    </row>
    <row r="62" spans="2:14" ht="28.3" outlineLevel="1" x14ac:dyDescent="0.35">
      <c r="B62" s="588" t="s">
        <v>116</v>
      </c>
      <c r="C62" s="573" t="s">
        <v>117</v>
      </c>
      <c r="D62" s="573">
        <v>0.72</v>
      </c>
    </row>
    <row r="63" spans="2:14" outlineLevel="1" x14ac:dyDescent="0.35"/>
    <row r="64" spans="2:14" ht="19.95" customHeight="1" outlineLevel="1" x14ac:dyDescent="0.35">
      <c r="B64" s="576" t="s">
        <v>362</v>
      </c>
      <c r="C64" s="576" t="s">
        <v>363</v>
      </c>
      <c r="D64" s="576"/>
      <c r="E64" s="576"/>
      <c r="F64" s="576"/>
      <c r="G64" s="576"/>
      <c r="H64" s="576"/>
      <c r="I64" s="576"/>
      <c r="J64" s="576"/>
      <c r="K64" s="576"/>
      <c r="L64" s="576"/>
      <c r="M64" s="576"/>
      <c r="N64" s="576"/>
    </row>
    <row r="65" spans="2:14" ht="15" outlineLevel="1" x14ac:dyDescent="0.35">
      <c r="B65" s="559" t="s">
        <v>232</v>
      </c>
      <c r="C65" s="642" t="s">
        <v>233</v>
      </c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4"/>
    </row>
    <row r="66" spans="2:14" ht="15" outlineLevel="1" x14ac:dyDescent="0.35">
      <c r="B66" s="560">
        <v>0.25</v>
      </c>
      <c r="C66" s="560">
        <v>0.5</v>
      </c>
      <c r="D66" s="563">
        <v>0.75</v>
      </c>
      <c r="E66" s="563">
        <v>1</v>
      </c>
      <c r="F66" s="563">
        <v>2</v>
      </c>
      <c r="G66" s="563">
        <v>3</v>
      </c>
      <c r="H66" s="563">
        <v>5</v>
      </c>
      <c r="I66" s="563">
        <v>7</v>
      </c>
      <c r="J66" s="563">
        <v>10</v>
      </c>
      <c r="K66" s="563">
        <v>15</v>
      </c>
      <c r="L66" s="563">
        <v>20</v>
      </c>
      <c r="M66" s="563">
        <v>30</v>
      </c>
      <c r="N66" s="564"/>
    </row>
    <row r="67" spans="2:14" ht="16.3" outlineLevel="1" x14ac:dyDescent="0.4">
      <c r="B67" s="561">
        <v>43647</v>
      </c>
      <c r="C67" s="565">
        <v>6.99</v>
      </c>
      <c r="D67" s="566">
        <v>7.01</v>
      </c>
      <c r="E67" s="566">
        <v>7.04</v>
      </c>
      <c r="F67" s="566">
        <v>7.06</v>
      </c>
      <c r="G67" s="566">
        <v>7.15</v>
      </c>
      <c r="H67" s="566">
        <v>7.22</v>
      </c>
      <c r="I67" s="566">
        <v>7.31</v>
      </c>
      <c r="J67" s="566">
        <v>7.38</v>
      </c>
      <c r="K67" s="566">
        <v>7.45</v>
      </c>
      <c r="L67" s="566">
        <v>7.54</v>
      </c>
      <c r="M67" s="566">
        <v>7.58</v>
      </c>
      <c r="N67" s="567">
        <v>7.61</v>
      </c>
    </row>
    <row r="68" spans="2:14" ht="16.3" outlineLevel="1" x14ac:dyDescent="0.4">
      <c r="B68" s="561">
        <v>43644</v>
      </c>
      <c r="C68" s="565">
        <v>6.93</v>
      </c>
      <c r="D68" s="566">
        <v>6.97</v>
      </c>
      <c r="E68" s="566">
        <v>7.01</v>
      </c>
      <c r="F68" s="566">
        <v>7.05</v>
      </c>
      <c r="G68" s="566">
        <v>7.18</v>
      </c>
      <c r="H68" s="566">
        <v>7.25</v>
      </c>
      <c r="I68" s="566">
        <v>7.35</v>
      </c>
      <c r="J68" s="568">
        <v>7.41</v>
      </c>
      <c r="K68" s="566">
        <v>7.49</v>
      </c>
      <c r="L68" s="566">
        <v>7.56</v>
      </c>
      <c r="M68" s="566">
        <v>7.59</v>
      </c>
      <c r="N68" s="567">
        <v>7.62</v>
      </c>
    </row>
    <row r="69" spans="2:14" ht="16.3" outlineLevel="1" x14ac:dyDescent="0.4">
      <c r="B69" s="561">
        <v>43643</v>
      </c>
      <c r="C69" s="565">
        <v>6.96</v>
      </c>
      <c r="D69" s="566">
        <v>7</v>
      </c>
      <c r="E69" s="566">
        <v>7.03</v>
      </c>
      <c r="F69" s="566">
        <v>7.06</v>
      </c>
      <c r="G69" s="566">
        <v>7.17</v>
      </c>
      <c r="H69" s="566">
        <v>7.25</v>
      </c>
      <c r="I69" s="566">
        <v>7.36</v>
      </c>
      <c r="J69" s="568">
        <v>7.43</v>
      </c>
      <c r="K69" s="566">
        <v>7.5</v>
      </c>
      <c r="L69" s="566">
        <v>7.58</v>
      </c>
      <c r="M69" s="566">
        <v>7.62</v>
      </c>
      <c r="N69" s="567">
        <v>7.65</v>
      </c>
    </row>
    <row r="70" spans="2:14" ht="16.3" outlineLevel="1" x14ac:dyDescent="0.4">
      <c r="B70" s="561">
        <v>43642</v>
      </c>
      <c r="C70" s="565">
        <v>6.99</v>
      </c>
      <c r="D70" s="566">
        <v>7.01</v>
      </c>
      <c r="E70" s="566">
        <v>7.04</v>
      </c>
      <c r="F70" s="566">
        <v>7.07</v>
      </c>
      <c r="G70" s="566">
        <v>7.2</v>
      </c>
      <c r="H70" s="566">
        <v>7.27</v>
      </c>
      <c r="I70" s="566">
        <v>7.36</v>
      </c>
      <c r="J70" s="568">
        <v>7.42</v>
      </c>
      <c r="K70" s="566">
        <v>7.51</v>
      </c>
      <c r="L70" s="566">
        <v>7.6</v>
      </c>
      <c r="M70" s="566">
        <v>7.65</v>
      </c>
      <c r="N70" s="567">
        <v>7.71</v>
      </c>
    </row>
    <row r="71" spans="2:14" ht="16.3" outlineLevel="1" x14ac:dyDescent="0.4">
      <c r="B71" s="561">
        <v>43641</v>
      </c>
      <c r="C71" s="565">
        <v>7.03</v>
      </c>
      <c r="D71" s="566">
        <v>7.03</v>
      </c>
      <c r="E71" s="566">
        <v>7.04</v>
      </c>
      <c r="F71" s="566">
        <v>7.06</v>
      </c>
      <c r="G71" s="566">
        <v>7.15</v>
      </c>
      <c r="H71" s="566">
        <v>7.22</v>
      </c>
      <c r="I71" s="566">
        <v>7.33</v>
      </c>
      <c r="J71" s="568">
        <v>7.41</v>
      </c>
      <c r="K71" s="566">
        <v>7.5</v>
      </c>
      <c r="L71" s="566">
        <v>7.6</v>
      </c>
      <c r="M71" s="566">
        <v>7.65</v>
      </c>
      <c r="N71" s="567">
        <v>7.71</v>
      </c>
    </row>
    <row r="72" spans="2:14" ht="16.3" outlineLevel="1" x14ac:dyDescent="0.4">
      <c r="B72" s="561">
        <v>43640</v>
      </c>
      <c r="C72" s="565">
        <v>6.99</v>
      </c>
      <c r="D72" s="566">
        <v>7</v>
      </c>
      <c r="E72" s="566">
        <v>7.03</v>
      </c>
      <c r="F72" s="566">
        <v>7.05</v>
      </c>
      <c r="G72" s="566">
        <v>7.16</v>
      </c>
      <c r="H72" s="566">
        <v>7.23</v>
      </c>
      <c r="I72" s="566">
        <v>7.32</v>
      </c>
      <c r="J72" s="568">
        <v>7.39</v>
      </c>
      <c r="K72" s="566">
        <v>7.49</v>
      </c>
      <c r="L72" s="566">
        <v>7.59</v>
      </c>
      <c r="M72" s="566">
        <v>7.65</v>
      </c>
      <c r="N72" s="567">
        <v>7.7</v>
      </c>
    </row>
    <row r="73" spans="2:14" ht="16.3" outlineLevel="1" x14ac:dyDescent="0.4">
      <c r="B73" s="561">
        <v>43637</v>
      </c>
      <c r="C73" s="565">
        <v>7</v>
      </c>
      <c r="D73" s="566">
        <v>7.02</v>
      </c>
      <c r="E73" s="566">
        <v>7.04</v>
      </c>
      <c r="F73" s="566">
        <v>7.07</v>
      </c>
      <c r="G73" s="566">
        <v>7.16</v>
      </c>
      <c r="H73" s="566">
        <v>7.24</v>
      </c>
      <c r="I73" s="566">
        <v>7.37</v>
      </c>
      <c r="J73" s="568">
        <v>7.45</v>
      </c>
      <c r="K73" s="566">
        <v>7.53</v>
      </c>
      <c r="L73" s="566">
        <v>7.62</v>
      </c>
      <c r="M73" s="566">
        <v>7.69</v>
      </c>
      <c r="N73" s="567">
        <v>7.76</v>
      </c>
    </row>
    <row r="74" spans="2:14" ht="16.3" outlineLevel="1" x14ac:dyDescent="0.4">
      <c r="B74" s="561">
        <v>43636</v>
      </c>
      <c r="C74" s="565">
        <v>7</v>
      </c>
      <c r="D74" s="566">
        <v>7.02</v>
      </c>
      <c r="E74" s="566">
        <v>7.03</v>
      </c>
      <c r="F74" s="566">
        <v>7.05</v>
      </c>
      <c r="G74" s="566">
        <v>7.14</v>
      </c>
      <c r="H74" s="566">
        <v>7.19</v>
      </c>
      <c r="I74" s="566">
        <v>7.29</v>
      </c>
      <c r="J74" s="568">
        <v>7.37</v>
      </c>
      <c r="K74" s="566">
        <v>7.44</v>
      </c>
      <c r="L74" s="566">
        <v>7.54</v>
      </c>
      <c r="M74" s="566">
        <v>7.6</v>
      </c>
      <c r="N74" s="567">
        <v>7.67</v>
      </c>
    </row>
    <row r="75" spans="2:14" ht="16.3" outlineLevel="1" x14ac:dyDescent="0.4">
      <c r="B75" s="561">
        <v>43635</v>
      </c>
      <c r="C75" s="565">
        <v>7.08</v>
      </c>
      <c r="D75" s="566">
        <v>7.07</v>
      </c>
      <c r="E75" s="566">
        <v>7.07</v>
      </c>
      <c r="F75" s="566">
        <v>7.09</v>
      </c>
      <c r="G75" s="566">
        <v>7.19</v>
      </c>
      <c r="H75" s="566">
        <v>7.27</v>
      </c>
      <c r="I75" s="566">
        <v>7.36</v>
      </c>
      <c r="J75" s="568">
        <v>7.43</v>
      </c>
      <c r="K75" s="566">
        <v>7.52</v>
      </c>
      <c r="L75" s="566">
        <v>7.62</v>
      </c>
      <c r="M75" s="566">
        <v>7.68</v>
      </c>
      <c r="N75" s="567">
        <v>7.75</v>
      </c>
    </row>
    <row r="76" spans="2:14" ht="16.3" outlineLevel="1" x14ac:dyDescent="0.4">
      <c r="B76" s="561">
        <v>43634</v>
      </c>
      <c r="C76" s="565">
        <v>7.04</v>
      </c>
      <c r="D76" s="566">
        <v>7.07</v>
      </c>
      <c r="E76" s="566">
        <v>7.1</v>
      </c>
      <c r="F76" s="566">
        <v>7.12</v>
      </c>
      <c r="G76" s="566">
        <v>7.23</v>
      </c>
      <c r="H76" s="566">
        <v>7.31</v>
      </c>
      <c r="I76" s="566">
        <v>7.44</v>
      </c>
      <c r="J76" s="568">
        <v>7.53</v>
      </c>
      <c r="K76" s="566">
        <v>7.62</v>
      </c>
      <c r="L76" s="566">
        <v>7.72</v>
      </c>
      <c r="M76" s="566">
        <v>7.78</v>
      </c>
      <c r="N76" s="567">
        <v>7.83</v>
      </c>
    </row>
    <row r="77" spans="2:14" ht="16.3" outlineLevel="1" x14ac:dyDescent="0.4">
      <c r="B77" s="561">
        <v>43633</v>
      </c>
      <c r="C77" s="565">
        <v>7.12</v>
      </c>
      <c r="D77" s="566">
        <v>7.14</v>
      </c>
      <c r="E77" s="566">
        <v>7.15</v>
      </c>
      <c r="F77" s="566">
        <v>7.17</v>
      </c>
      <c r="G77" s="566">
        <v>7.25</v>
      </c>
      <c r="H77" s="566">
        <v>7.34</v>
      </c>
      <c r="I77" s="566">
        <v>7.49</v>
      </c>
      <c r="J77" s="568">
        <v>7.59</v>
      </c>
      <c r="K77" s="566">
        <v>7.69</v>
      </c>
      <c r="L77" s="566">
        <v>7.81</v>
      </c>
      <c r="M77" s="566">
        <v>7.9</v>
      </c>
      <c r="N77" s="567">
        <v>8</v>
      </c>
    </row>
    <row r="78" spans="2:14" ht="16.3" outlineLevel="1" x14ac:dyDescent="0.4">
      <c r="B78" s="561">
        <v>43630</v>
      </c>
      <c r="C78" s="565">
        <v>7.22</v>
      </c>
      <c r="D78" s="566">
        <v>7.24</v>
      </c>
      <c r="E78" s="566">
        <v>7.25</v>
      </c>
      <c r="F78" s="566">
        <v>7.26</v>
      </c>
      <c r="G78" s="566">
        <v>7.3</v>
      </c>
      <c r="H78" s="566">
        <v>7.37</v>
      </c>
      <c r="I78" s="566">
        <v>7.5</v>
      </c>
      <c r="J78" s="568">
        <v>7.61</v>
      </c>
      <c r="K78" s="566">
        <v>7.73</v>
      </c>
      <c r="L78" s="566">
        <v>7.87</v>
      </c>
      <c r="M78" s="566">
        <v>7.97</v>
      </c>
      <c r="N78" s="567">
        <v>8.08</v>
      </c>
    </row>
    <row r="79" spans="2:14" ht="16.3" outlineLevel="1" x14ac:dyDescent="0.4">
      <c r="B79" s="561">
        <v>43629</v>
      </c>
      <c r="C79" s="565">
        <v>7.26</v>
      </c>
      <c r="D79" s="566">
        <v>7.27</v>
      </c>
      <c r="E79" s="566">
        <v>7.29</v>
      </c>
      <c r="F79" s="566">
        <v>7.3</v>
      </c>
      <c r="G79" s="566">
        <v>7.34</v>
      </c>
      <c r="H79" s="566">
        <v>7.41</v>
      </c>
      <c r="I79" s="566">
        <v>7.54</v>
      </c>
      <c r="J79" s="568">
        <v>7.65</v>
      </c>
      <c r="K79" s="566">
        <v>7.77</v>
      </c>
      <c r="L79" s="566">
        <v>7.92</v>
      </c>
      <c r="M79" s="566">
        <v>8.0299999999999994</v>
      </c>
      <c r="N79" s="567">
        <v>8.16</v>
      </c>
    </row>
    <row r="80" spans="2:14" ht="16.3" outlineLevel="1" x14ac:dyDescent="0.4">
      <c r="B80" s="561">
        <v>43627</v>
      </c>
      <c r="C80" s="565">
        <v>7.31</v>
      </c>
      <c r="D80" s="566">
        <v>7.32</v>
      </c>
      <c r="E80" s="566">
        <v>7.32</v>
      </c>
      <c r="F80" s="566">
        <v>7.33</v>
      </c>
      <c r="G80" s="566">
        <v>7.36</v>
      </c>
      <c r="H80" s="566">
        <v>7.41</v>
      </c>
      <c r="I80" s="566">
        <v>7.52</v>
      </c>
      <c r="J80" s="568">
        <v>7.62</v>
      </c>
      <c r="K80" s="566">
        <v>7.73</v>
      </c>
      <c r="L80" s="566">
        <v>7.89</v>
      </c>
      <c r="M80" s="566">
        <v>8</v>
      </c>
      <c r="N80" s="567">
        <v>8.1199999999999992</v>
      </c>
    </row>
    <row r="81" spans="2:14" ht="16.3" outlineLevel="1" x14ac:dyDescent="0.4">
      <c r="B81" s="561">
        <v>43626</v>
      </c>
      <c r="C81" s="565">
        <v>7.3</v>
      </c>
      <c r="D81" s="566">
        <v>7.31</v>
      </c>
      <c r="E81" s="566">
        <v>7.32</v>
      </c>
      <c r="F81" s="566">
        <v>7.33</v>
      </c>
      <c r="G81" s="566">
        <v>7.36</v>
      </c>
      <c r="H81" s="566">
        <v>7.41</v>
      </c>
      <c r="I81" s="566">
        <v>7.53</v>
      </c>
      <c r="J81" s="568">
        <v>7.64</v>
      </c>
      <c r="K81" s="566">
        <v>7.75</v>
      </c>
      <c r="L81" s="566">
        <v>7.91</v>
      </c>
      <c r="M81" s="566">
        <v>8.0299999999999994</v>
      </c>
      <c r="N81" s="567">
        <v>8.17</v>
      </c>
    </row>
    <row r="82" spans="2:14" ht="16.3" outlineLevel="1" x14ac:dyDescent="0.4">
      <c r="B82" s="561">
        <v>43623</v>
      </c>
      <c r="C82" s="565">
        <v>7.33</v>
      </c>
      <c r="D82" s="566">
        <v>7.33</v>
      </c>
      <c r="E82" s="566">
        <v>7.34</v>
      </c>
      <c r="F82" s="566">
        <v>7.34</v>
      </c>
      <c r="G82" s="566">
        <v>7.37</v>
      </c>
      <c r="H82" s="566">
        <v>7.43</v>
      </c>
      <c r="I82" s="566">
        <v>7.57</v>
      </c>
      <c r="J82" s="568">
        <v>7.68</v>
      </c>
      <c r="K82" s="566">
        <v>7.79</v>
      </c>
      <c r="L82" s="566">
        <v>7.96</v>
      </c>
      <c r="M82" s="566">
        <v>8.08</v>
      </c>
      <c r="N82" s="567">
        <v>8.2200000000000006</v>
      </c>
    </row>
    <row r="83" spans="2:14" ht="16.3" outlineLevel="1" x14ac:dyDescent="0.4">
      <c r="B83" s="561">
        <v>43622</v>
      </c>
      <c r="C83" s="565">
        <v>7.35</v>
      </c>
      <c r="D83" s="566">
        <v>7.36</v>
      </c>
      <c r="E83" s="566">
        <v>7.37</v>
      </c>
      <c r="F83" s="566">
        <v>7.37</v>
      </c>
      <c r="G83" s="566">
        <v>7.39</v>
      </c>
      <c r="H83" s="566">
        <v>7.46</v>
      </c>
      <c r="I83" s="566">
        <v>7.58</v>
      </c>
      <c r="J83" s="568">
        <v>7.69</v>
      </c>
      <c r="K83" s="566">
        <v>7.82</v>
      </c>
      <c r="L83" s="566">
        <v>8</v>
      </c>
      <c r="M83" s="566">
        <v>8.1300000000000008</v>
      </c>
      <c r="N83" s="567">
        <v>8.27</v>
      </c>
    </row>
    <row r="84" spans="2:14" ht="16.3" outlineLevel="1" x14ac:dyDescent="0.4">
      <c r="B84" s="561">
        <v>43621</v>
      </c>
      <c r="C84" s="565">
        <v>7.34</v>
      </c>
      <c r="D84" s="566">
        <v>7.36</v>
      </c>
      <c r="E84" s="566">
        <v>7.37</v>
      </c>
      <c r="F84" s="566">
        <v>7.38</v>
      </c>
      <c r="G84" s="566">
        <v>7.4</v>
      </c>
      <c r="H84" s="566">
        <v>7.48</v>
      </c>
      <c r="I84" s="566">
        <v>7.63</v>
      </c>
      <c r="J84" s="568">
        <v>7.75</v>
      </c>
      <c r="K84" s="566">
        <v>7.9</v>
      </c>
      <c r="L84" s="566">
        <v>8.07</v>
      </c>
      <c r="M84" s="566">
        <v>8.18</v>
      </c>
      <c r="N84" s="567">
        <v>8.31</v>
      </c>
    </row>
    <row r="85" spans="2:14" ht="16.3" outlineLevel="1" x14ac:dyDescent="0.4">
      <c r="B85" s="561">
        <v>43620</v>
      </c>
      <c r="C85" s="565">
        <v>7.35</v>
      </c>
      <c r="D85" s="566">
        <v>7.36</v>
      </c>
      <c r="E85" s="566">
        <v>7.38</v>
      </c>
      <c r="F85" s="566">
        <v>7.39</v>
      </c>
      <c r="G85" s="566">
        <v>7.45</v>
      </c>
      <c r="H85" s="566">
        <v>7.53</v>
      </c>
      <c r="I85" s="566">
        <v>7.7</v>
      </c>
      <c r="J85" s="568">
        <v>7.82</v>
      </c>
      <c r="K85" s="566">
        <v>7.94</v>
      </c>
      <c r="L85" s="566">
        <v>8.11</v>
      </c>
      <c r="M85" s="566">
        <v>8.23</v>
      </c>
      <c r="N85" s="567">
        <v>8.3699999999999992</v>
      </c>
    </row>
    <row r="86" spans="2:14" ht="16.3" outlineLevel="1" x14ac:dyDescent="0.4">
      <c r="B86" s="562">
        <v>43619</v>
      </c>
      <c r="C86" s="569">
        <v>7.3</v>
      </c>
      <c r="D86" s="570">
        <v>7.32</v>
      </c>
      <c r="E86" s="570">
        <v>7.34</v>
      </c>
      <c r="F86" s="570">
        <v>7.37</v>
      </c>
      <c r="G86" s="570">
        <v>7.46</v>
      </c>
      <c r="H86" s="570">
        <v>7.56</v>
      </c>
      <c r="I86" s="570">
        <v>7.73</v>
      </c>
      <c r="J86" s="571">
        <v>7.86</v>
      </c>
      <c r="K86" s="570">
        <v>8.01</v>
      </c>
      <c r="L86" s="570">
        <v>8.1999999999999993</v>
      </c>
      <c r="M86" s="570">
        <v>8.32</v>
      </c>
      <c r="N86" s="572">
        <v>8.4600000000000009</v>
      </c>
    </row>
    <row r="87" spans="2:14" outlineLevel="1" x14ac:dyDescent="0.35"/>
    <row r="88" spans="2:14" outlineLevel="1" x14ac:dyDescent="0.35">
      <c r="H88" s="252" t="s">
        <v>234</v>
      </c>
      <c r="I88" s="252"/>
      <c r="J88" s="314">
        <f>AVERAGE(J68:J86)/100</f>
        <v>7.5657894736842105E-2</v>
      </c>
    </row>
    <row r="89" spans="2:14" outlineLevel="1" x14ac:dyDescent="0.35"/>
  </sheetData>
  <mergeCells count="17">
    <mergeCell ref="E44:H44"/>
    <mergeCell ref="E45:H45"/>
    <mergeCell ref="C65:N65"/>
    <mergeCell ref="B36:C36"/>
    <mergeCell ref="B42:C42"/>
    <mergeCell ref="B49:C49"/>
    <mergeCell ref="B53:C53"/>
    <mergeCell ref="E36:I36"/>
    <mergeCell ref="E37:I37"/>
    <mergeCell ref="E38:I38"/>
    <mergeCell ref="E39:I39"/>
    <mergeCell ref="E42:I42"/>
    <mergeCell ref="E3:I3"/>
    <mergeCell ref="E18:P18"/>
    <mergeCell ref="E24:I24"/>
    <mergeCell ref="E9:I9"/>
    <mergeCell ref="E43:H43"/>
  </mergeCells>
  <hyperlinks>
    <hyperlink ref="B67" r:id="rId1" display="https://www.cbr.ru/hd_base/zcyc_params/zcyc/?DateTo=01.07.2019" xr:uid="{344C587D-459D-0349-AFE5-8E15D0964A25}"/>
    <hyperlink ref="B68" r:id="rId2" display="https://www.cbr.ru/hd_base/zcyc_params/zcyc/?DateTo=28.06.2019" xr:uid="{0BFB7409-C720-7A4D-9F9F-E213FD88F744}"/>
    <hyperlink ref="B69" r:id="rId3" display="https://www.cbr.ru/hd_base/zcyc_params/zcyc/?DateTo=27.06.2019" xr:uid="{6C6022C1-4319-1E4F-A280-5FD26176C910}"/>
    <hyperlink ref="B70" r:id="rId4" display="https://www.cbr.ru/hd_base/zcyc_params/zcyc/?DateTo=26.06.2019" xr:uid="{189E13F6-E80A-284D-BCEE-12DEEE3D277A}"/>
    <hyperlink ref="B71" r:id="rId5" display="https://www.cbr.ru/hd_base/zcyc_params/zcyc/?DateTo=25.06.2019" xr:uid="{7626FD26-C7B0-5D4B-8405-B600943A4FA0}"/>
    <hyperlink ref="B72" r:id="rId6" display="https://www.cbr.ru/hd_base/zcyc_params/zcyc/?DateTo=24.06.2019" xr:uid="{35F7A5C7-7EAE-AA4B-9191-884E946EA1CA}"/>
    <hyperlink ref="B73" r:id="rId7" display="https://www.cbr.ru/hd_base/zcyc_params/zcyc/?DateTo=21.06.2019" xr:uid="{377F9F72-A8D4-EB47-A1B2-88DD6A41CDBD}"/>
    <hyperlink ref="B74" r:id="rId8" display="https://www.cbr.ru/hd_base/zcyc_params/zcyc/?DateTo=20.06.2019" xr:uid="{B4B5DB57-C488-2146-93F8-CBFDBE8A6C88}"/>
    <hyperlink ref="B75" r:id="rId9" display="https://www.cbr.ru/hd_base/zcyc_params/zcyc/?DateTo=19.06.2019" xr:uid="{36115ECB-D31F-934B-B401-ECB0119F5A72}"/>
    <hyperlink ref="B76" r:id="rId10" display="https://www.cbr.ru/hd_base/zcyc_params/zcyc/?DateTo=18.06.2019" xr:uid="{0666EA95-5C18-1D46-A83B-F5D9984D9F25}"/>
    <hyperlink ref="B77" r:id="rId11" display="https://www.cbr.ru/hd_base/zcyc_params/zcyc/?DateTo=17.06.2019" xr:uid="{B751DA46-D86D-8B40-BEFC-D25AF5943908}"/>
    <hyperlink ref="B78" r:id="rId12" display="https://www.cbr.ru/hd_base/zcyc_params/zcyc/?DateTo=14.06.2019" xr:uid="{7881D4CD-2E63-2E48-8C10-BF57047CDFDA}"/>
    <hyperlink ref="B79" r:id="rId13" display="https://www.cbr.ru/hd_base/zcyc_params/zcyc/?DateTo=13.06.2019" xr:uid="{66E9C89A-40E0-D442-B0C7-E59647B99741}"/>
    <hyperlink ref="B80" r:id="rId14" display="https://www.cbr.ru/hd_base/zcyc_params/zcyc/?DateTo=11.06.2019" xr:uid="{BFEEC6D4-9815-DC4D-A088-0817C0D18D84}"/>
    <hyperlink ref="B81" r:id="rId15" display="https://www.cbr.ru/hd_base/zcyc_params/zcyc/?DateTo=10.06.2019" xr:uid="{04910C28-2CEB-BC48-82AC-BE9EC47D3E69}"/>
    <hyperlink ref="B82" r:id="rId16" display="https://www.cbr.ru/hd_base/zcyc_params/zcyc/?DateTo=07.06.2019" xr:uid="{8EFCBE69-2274-0D47-8B31-03EF9E951512}"/>
    <hyperlink ref="B83" r:id="rId17" display="https://www.cbr.ru/hd_base/zcyc_params/zcyc/?DateTo=06.06.2019" xr:uid="{4860E2B1-8749-7C43-8423-429E928CBCB8}"/>
    <hyperlink ref="B84" r:id="rId18" display="https://www.cbr.ru/hd_base/zcyc_params/zcyc/?DateTo=05.06.2019" xr:uid="{AC79E0C3-6666-6946-947D-195CACA3283B}"/>
    <hyperlink ref="B85" r:id="rId19" display="https://www.cbr.ru/hd_base/zcyc_params/zcyc/?DateTo=04.06.2019" xr:uid="{D83611AB-D636-554E-A64A-54ECF1A70213}"/>
    <hyperlink ref="B86" r:id="rId20" display="https://www.cbr.ru/hd_base/zcyc_params/zcyc/?DateTo=03.06.2019" xr:uid="{6382AC99-6F6E-954B-B831-4664149B90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Содержание</vt:lpstr>
      <vt:lpstr>Comments</vt:lpstr>
      <vt:lpstr>Введение</vt:lpstr>
      <vt:lpstr>Assumptions and inputs</vt:lpstr>
      <vt:lpstr>Прогнозы</vt:lpstr>
      <vt:lpstr>Себестоимость</vt:lpstr>
      <vt:lpstr>CF</vt:lpstr>
      <vt:lpstr>P&amp;L</vt:lpstr>
      <vt:lpstr>Показатели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Pashchenko, Georgiy</dc:creator>
  <cp:lastModifiedBy>who's there</cp:lastModifiedBy>
  <dcterms:created xsi:type="dcterms:W3CDTF">2019-06-29T13:15:38Z</dcterms:created>
  <dcterms:modified xsi:type="dcterms:W3CDTF">2026-02-20T12:36:27Z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